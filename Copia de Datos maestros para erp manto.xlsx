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Servidor Manto\CMMS\"/>
    </mc:Choice>
  </mc:AlternateContent>
  <bookViews>
    <workbookView xWindow="0" yWindow="0" windowWidth="28800" windowHeight="12210" activeTab="1"/>
  </bookViews>
  <sheets>
    <sheet name="base de datos" sheetId="6" r:id="rId1"/>
    <sheet name="OT" sheetId="7" r:id="rId2"/>
    <sheet name="general" sheetId="5" r:id="rId3"/>
    <sheet name="Actividades" sheetId="8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" i="7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711" i="6"/>
  <c r="K712" i="6"/>
  <c r="K713" i="6"/>
  <c r="K714" i="6"/>
  <c r="K715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46" i="6"/>
  <c r="K147" i="6"/>
  <c r="K148" i="6"/>
  <c r="K149" i="6"/>
  <c r="K716" i="6"/>
  <c r="K717" i="6"/>
  <c r="K1195" i="6"/>
  <c r="K1196" i="6"/>
  <c r="K1197" i="6"/>
  <c r="K1198" i="6"/>
  <c r="K1199" i="6"/>
  <c r="K150" i="6"/>
  <c r="K151" i="6"/>
  <c r="K152" i="6"/>
  <c r="K153" i="6"/>
  <c r="K718" i="6"/>
  <c r="K719" i="6"/>
  <c r="K720" i="6"/>
  <c r="K1200" i="6"/>
  <c r="K1201" i="6"/>
  <c r="K1202" i="6"/>
  <c r="K1203" i="6"/>
  <c r="K1204" i="6"/>
  <c r="K154" i="6"/>
  <c r="K155" i="6"/>
  <c r="K156" i="6"/>
  <c r="K157" i="6"/>
  <c r="K721" i="6"/>
  <c r="K722" i="6"/>
  <c r="K723" i="6"/>
  <c r="K724" i="6"/>
  <c r="K1205" i="6"/>
  <c r="K1206" i="6"/>
  <c r="K1207" i="6"/>
  <c r="K158" i="6"/>
  <c r="K159" i="6"/>
  <c r="K160" i="6"/>
  <c r="K161" i="6"/>
  <c r="K725" i="6"/>
  <c r="K1208" i="6"/>
  <c r="K1209" i="6"/>
  <c r="K1210" i="6"/>
  <c r="K1211" i="6"/>
  <c r="K162" i="6"/>
  <c r="K163" i="6"/>
  <c r="K164" i="6"/>
  <c r="K165" i="6"/>
  <c r="K726" i="6"/>
  <c r="K1212" i="6"/>
  <c r="K1213" i="6"/>
  <c r="K607" i="6"/>
  <c r="K608" i="6"/>
  <c r="K609" i="6"/>
  <c r="K610" i="6"/>
  <c r="K611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612" i="6"/>
  <c r="K613" i="6"/>
  <c r="K637" i="6"/>
  <c r="K638" i="6"/>
  <c r="K639" i="6"/>
  <c r="K640" i="6"/>
  <c r="K641" i="6"/>
  <c r="K741" i="6"/>
  <c r="K742" i="6"/>
  <c r="K743" i="6"/>
  <c r="K744" i="6"/>
  <c r="K614" i="6"/>
  <c r="K642" i="6"/>
  <c r="K643" i="6"/>
  <c r="K644" i="6"/>
  <c r="K745" i="6"/>
  <c r="K746" i="6"/>
  <c r="K747" i="6"/>
  <c r="K748" i="6"/>
  <c r="K749" i="6"/>
  <c r="K615" i="6"/>
  <c r="K616" i="6"/>
  <c r="K617" i="6"/>
  <c r="K618" i="6"/>
  <c r="K645" i="6"/>
  <c r="K646" i="6"/>
  <c r="K647" i="6"/>
  <c r="K750" i="6"/>
  <c r="K751" i="6"/>
  <c r="K752" i="6"/>
  <c r="K753" i="6"/>
  <c r="K619" i="6"/>
  <c r="K648" i="6"/>
  <c r="K649" i="6"/>
  <c r="K650" i="6"/>
  <c r="K651" i="6"/>
  <c r="K754" i="6"/>
  <c r="K755" i="6"/>
  <c r="K756" i="6"/>
  <c r="K757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972" i="6"/>
  <c r="K973" i="6"/>
  <c r="K974" i="6"/>
  <c r="K975" i="6"/>
  <c r="K976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80" i="6"/>
  <c r="K181" i="6"/>
  <c r="K182" i="6"/>
  <c r="K183" i="6"/>
  <c r="K977" i="6"/>
  <c r="K978" i="6"/>
  <c r="K1161" i="6"/>
  <c r="K1162" i="6"/>
  <c r="K1163" i="6"/>
  <c r="K1164" i="6"/>
  <c r="K1165" i="6"/>
  <c r="K184" i="6"/>
  <c r="K185" i="6"/>
  <c r="K186" i="6"/>
  <c r="K187" i="6"/>
  <c r="K188" i="6"/>
  <c r="K979" i="6"/>
  <c r="K1166" i="6"/>
  <c r="K1167" i="6"/>
  <c r="K1168" i="6"/>
  <c r="K189" i="6"/>
  <c r="K190" i="6"/>
  <c r="K191" i="6"/>
  <c r="K192" i="6"/>
  <c r="K980" i="6"/>
  <c r="K981" i="6"/>
  <c r="K982" i="6"/>
  <c r="K983" i="6"/>
  <c r="K1169" i="6"/>
  <c r="K1170" i="6"/>
  <c r="K1171" i="6"/>
  <c r="K193" i="6"/>
  <c r="K194" i="6"/>
  <c r="K195" i="6"/>
  <c r="K196" i="6"/>
  <c r="K984" i="6"/>
  <c r="K1172" i="6"/>
  <c r="K1173" i="6"/>
  <c r="K1174" i="6"/>
  <c r="K1175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197" i="6"/>
  <c r="K198" i="6"/>
  <c r="K345" i="6"/>
  <c r="K346" i="6"/>
  <c r="K347" i="6"/>
  <c r="K348" i="6"/>
  <c r="K349" i="6"/>
  <c r="K350" i="6"/>
  <c r="K351" i="6"/>
  <c r="K352" i="6"/>
  <c r="K353" i="6"/>
  <c r="K354" i="6"/>
  <c r="K199" i="6"/>
  <c r="K200" i="6"/>
  <c r="K355" i="6"/>
  <c r="K356" i="6"/>
  <c r="K357" i="6"/>
  <c r="K358" i="6"/>
  <c r="K359" i="6"/>
  <c r="K360" i="6"/>
  <c r="K361" i="6"/>
  <c r="K362" i="6"/>
  <c r="K363" i="6"/>
  <c r="K364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01" i="6"/>
  <c r="K202" i="6"/>
  <c r="K203" i="6"/>
  <c r="K204" i="6"/>
  <c r="K205" i="6"/>
  <c r="K206" i="6"/>
  <c r="K207" i="6"/>
  <c r="K208" i="6"/>
  <c r="K209" i="6"/>
  <c r="K25" i="6"/>
  <c r="K26" i="6"/>
  <c r="K27" i="6"/>
  <c r="K28" i="6"/>
  <c r="K29" i="6"/>
  <c r="K30" i="6"/>
  <c r="K31" i="6"/>
  <c r="K210" i="6"/>
  <c r="K211" i="6"/>
  <c r="K212" i="6"/>
  <c r="K213" i="6"/>
  <c r="K32" i="6"/>
  <c r="K33" i="6"/>
  <c r="K34" i="6"/>
  <c r="K35" i="6"/>
  <c r="K214" i="6"/>
  <c r="K215" i="6"/>
  <c r="K216" i="6"/>
  <c r="K217" i="6"/>
  <c r="K218" i="6"/>
  <c r="K219" i="6"/>
  <c r="K220" i="6"/>
  <c r="K221" i="6"/>
  <c r="K222" i="6"/>
  <c r="K967" i="6"/>
  <c r="K985" i="6"/>
  <c r="K986" i="6"/>
  <c r="K987" i="6"/>
  <c r="K223" i="6"/>
  <c r="K224" i="6"/>
  <c r="K225" i="6"/>
  <c r="K226" i="6"/>
  <c r="K968" i="6"/>
  <c r="K988" i="6"/>
  <c r="K989" i="6"/>
  <c r="K990" i="6"/>
  <c r="K991" i="6"/>
  <c r="K36" i="6"/>
  <c r="K227" i="6"/>
  <c r="K228" i="6"/>
  <c r="K37" i="6"/>
  <c r="K38" i="6"/>
  <c r="K229" i="6"/>
  <c r="K39" i="6"/>
  <c r="K40" i="6"/>
  <c r="K230" i="6"/>
  <c r="K992" i="6"/>
  <c r="K231" i="6"/>
  <c r="K232" i="6"/>
  <c r="K233" i="6"/>
  <c r="K828" i="6"/>
  <c r="K993" i="6"/>
  <c r="K994" i="6"/>
  <c r="K995" i="6"/>
  <c r="K996" i="6"/>
  <c r="K997" i="6"/>
  <c r="K998" i="6"/>
  <c r="K234" i="6"/>
  <c r="K235" i="6"/>
  <c r="K236" i="6"/>
  <c r="K237" i="6"/>
  <c r="K238" i="6"/>
  <c r="K239" i="6"/>
  <c r="K344" i="6"/>
  <c r="K999" i="6"/>
  <c r="K1000" i="6"/>
  <c r="K1001" i="6"/>
  <c r="K1002" i="6"/>
  <c r="K1003" i="6"/>
  <c r="K1004" i="6"/>
  <c r="K240" i="6"/>
  <c r="K241" i="6"/>
  <c r="K242" i="6"/>
  <c r="K243" i="6"/>
  <c r="K244" i="6"/>
  <c r="K245" i="6"/>
  <c r="K246" i="6"/>
  <c r="K247" i="6"/>
  <c r="K248" i="6"/>
  <c r="K969" i="6"/>
  <c r="K970" i="6"/>
  <c r="K971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249" i="6"/>
  <c r="K250" i="6"/>
  <c r="K251" i="6"/>
  <c r="K252" i="6"/>
  <c r="K1047" i="6"/>
  <c r="K1048" i="6"/>
  <c r="K1049" i="6"/>
  <c r="K1050" i="6"/>
  <c r="K1051" i="6"/>
  <c r="K1052" i="6"/>
  <c r="K253" i="6"/>
  <c r="K254" i="6"/>
  <c r="K255" i="6"/>
  <c r="K256" i="6"/>
  <c r="K1053" i="6"/>
  <c r="K1054" i="6"/>
  <c r="K1055" i="6"/>
  <c r="K1056" i="6"/>
  <c r="K41" i="6"/>
  <c r="K42" i="6"/>
  <c r="K43" i="6"/>
  <c r="K257" i="6"/>
  <c r="K258" i="6"/>
  <c r="K259" i="6"/>
  <c r="K260" i="6"/>
  <c r="K1119" i="6"/>
  <c r="K44" i="6"/>
  <c r="K45" i="6"/>
  <c r="K261" i="6"/>
  <c r="K262" i="6"/>
  <c r="K263" i="6"/>
  <c r="K264" i="6"/>
  <c r="K1120" i="6"/>
  <c r="K1121" i="6"/>
  <c r="K1122" i="6"/>
  <c r="K1123" i="6"/>
  <c r="K46" i="6"/>
  <c r="K47" i="6"/>
  <c r="K48" i="6"/>
  <c r="K265" i="6"/>
  <c r="K266" i="6"/>
  <c r="K267" i="6"/>
  <c r="K1124" i="6"/>
  <c r="K1125" i="6"/>
  <c r="K1126" i="6"/>
  <c r="K49" i="6"/>
  <c r="K50" i="6"/>
  <c r="K51" i="6"/>
  <c r="K52" i="6"/>
  <c r="K53" i="6"/>
  <c r="K54" i="6"/>
  <c r="K268" i="6"/>
  <c r="K269" i="6"/>
  <c r="K270" i="6"/>
  <c r="K271" i="6"/>
  <c r="K55" i="6"/>
  <c r="K56" i="6"/>
  <c r="K57" i="6"/>
  <c r="K58" i="6"/>
  <c r="K59" i="6"/>
  <c r="K60" i="6"/>
  <c r="K272" i="6"/>
  <c r="K273" i="6"/>
  <c r="K274" i="6"/>
  <c r="K275" i="6"/>
  <c r="K1127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276" i="6"/>
  <c r="K277" i="6"/>
  <c r="K278" i="6"/>
  <c r="K279" i="6"/>
  <c r="K280" i="6"/>
  <c r="K1128" i="6"/>
  <c r="K1129" i="6"/>
  <c r="K1130" i="6"/>
  <c r="K102" i="6"/>
  <c r="K103" i="6"/>
  <c r="K104" i="6"/>
  <c r="K105" i="6"/>
  <c r="K106" i="6"/>
  <c r="K107" i="6"/>
  <c r="K108" i="6"/>
  <c r="K109" i="6"/>
  <c r="K281" i="6"/>
  <c r="K282" i="6"/>
  <c r="K283" i="6"/>
  <c r="K284" i="6"/>
  <c r="K285" i="6"/>
  <c r="K1131" i="6"/>
  <c r="K1132" i="6"/>
  <c r="K1133" i="6"/>
  <c r="K110" i="6"/>
  <c r="K111" i="6"/>
  <c r="K112" i="6"/>
  <c r="K113" i="6"/>
  <c r="K114" i="6"/>
  <c r="K115" i="6"/>
  <c r="K286" i="6"/>
  <c r="K287" i="6"/>
  <c r="K288" i="6"/>
  <c r="K289" i="6"/>
  <c r="K116" i="6"/>
  <c r="K117" i="6"/>
  <c r="K290" i="6"/>
  <c r="K291" i="6"/>
  <c r="K292" i="6"/>
  <c r="K293" i="6"/>
  <c r="K113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294" i="6"/>
  <c r="K399" i="6"/>
  <c r="K400" i="6"/>
  <c r="K401" i="6"/>
  <c r="K829" i="6"/>
  <c r="K830" i="6"/>
  <c r="K831" i="6"/>
  <c r="K1112" i="6"/>
  <c r="K402" i="6"/>
  <c r="K403" i="6"/>
  <c r="K404" i="6"/>
  <c r="K405" i="6"/>
  <c r="K832" i="6"/>
  <c r="K833" i="6"/>
  <c r="K834" i="6"/>
  <c r="K835" i="6"/>
  <c r="K1113" i="6"/>
  <c r="K406" i="6"/>
  <c r="K407" i="6"/>
  <c r="K408" i="6"/>
  <c r="K409" i="6"/>
  <c r="K410" i="6"/>
  <c r="K411" i="6"/>
  <c r="K836" i="6"/>
  <c r="K837" i="6"/>
  <c r="K838" i="6"/>
  <c r="K839" i="6"/>
  <c r="K412" i="6"/>
  <c r="K413" i="6"/>
  <c r="K414" i="6"/>
  <c r="K415" i="6"/>
  <c r="K416" i="6"/>
  <c r="K417" i="6"/>
  <c r="K418" i="6"/>
  <c r="K605" i="6"/>
  <c r="K840" i="6"/>
  <c r="K841" i="6"/>
  <c r="K842" i="6"/>
  <c r="K843" i="6"/>
  <c r="K844" i="6"/>
  <c r="K419" i="6"/>
  <c r="K420" i="6"/>
  <c r="K421" i="6"/>
  <c r="K422" i="6"/>
  <c r="K423" i="6"/>
  <c r="K424" i="6"/>
  <c r="K425" i="6"/>
  <c r="K606" i="6"/>
  <c r="K845" i="6"/>
  <c r="K846" i="6"/>
  <c r="K847" i="6"/>
  <c r="K848" i="6"/>
  <c r="K849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850" i="6"/>
  <c r="K851" i="6"/>
  <c r="K852" i="6"/>
  <c r="K853" i="6"/>
  <c r="K854" i="6"/>
  <c r="K855" i="6"/>
  <c r="K856" i="6"/>
  <c r="K857" i="6"/>
  <c r="K858" i="6"/>
  <c r="K1114" i="6"/>
  <c r="K1115" i="6"/>
  <c r="K1116" i="6"/>
  <c r="K468" i="6"/>
  <c r="K469" i="6"/>
  <c r="K470" i="6"/>
  <c r="K471" i="6"/>
  <c r="K472" i="6"/>
  <c r="K473" i="6"/>
  <c r="K474" i="6"/>
  <c r="K475" i="6"/>
  <c r="K620" i="6"/>
  <c r="K859" i="6"/>
  <c r="K860" i="6"/>
  <c r="K861" i="6"/>
  <c r="K862" i="6"/>
  <c r="K863" i="6"/>
  <c r="K1117" i="6"/>
  <c r="K1118" i="6"/>
  <c r="K476" i="6"/>
  <c r="K477" i="6"/>
  <c r="K478" i="6"/>
  <c r="K479" i="6"/>
  <c r="K480" i="6"/>
  <c r="K481" i="6"/>
  <c r="K864" i="6"/>
  <c r="K865" i="6"/>
  <c r="K866" i="6"/>
  <c r="K867" i="6"/>
  <c r="K482" i="6"/>
  <c r="K483" i="6"/>
  <c r="K484" i="6"/>
  <c r="K485" i="6"/>
  <c r="K868" i="6"/>
  <c r="K869" i="6"/>
  <c r="K870" i="6"/>
  <c r="K871" i="6"/>
  <c r="K652" i="6"/>
  <c r="K653" i="6"/>
  <c r="K654" i="6"/>
  <c r="K872" i="6"/>
  <c r="K873" i="6"/>
  <c r="K874" i="6"/>
  <c r="K875" i="6"/>
  <c r="K1135" i="6"/>
  <c r="K655" i="6"/>
  <c r="K656" i="6"/>
  <c r="K657" i="6"/>
  <c r="K658" i="6"/>
  <c r="K876" i="6"/>
  <c r="K877" i="6"/>
  <c r="K878" i="6"/>
  <c r="K879" i="6"/>
  <c r="K1136" i="6"/>
  <c r="K486" i="6"/>
  <c r="K487" i="6"/>
  <c r="K880" i="6"/>
  <c r="K881" i="6"/>
  <c r="K882" i="6"/>
  <c r="K883" i="6"/>
  <c r="K1137" i="6"/>
  <c r="K1138" i="6"/>
  <c r="K1139" i="6"/>
  <c r="K1140" i="6"/>
  <c r="K659" i="6"/>
  <c r="K660" i="6"/>
  <c r="K661" i="6"/>
  <c r="K662" i="6"/>
  <c r="K663" i="6"/>
  <c r="K664" i="6"/>
  <c r="K884" i="6"/>
  <c r="K885" i="6"/>
  <c r="K886" i="6"/>
  <c r="K887" i="6"/>
  <c r="K488" i="6"/>
  <c r="K489" i="6"/>
  <c r="K490" i="6"/>
  <c r="K491" i="6"/>
  <c r="K492" i="6"/>
  <c r="K493" i="6"/>
  <c r="K494" i="6"/>
  <c r="K888" i="6"/>
  <c r="K889" i="6"/>
  <c r="K890" i="6"/>
  <c r="K891" i="6"/>
  <c r="K892" i="6"/>
  <c r="K1141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893" i="6"/>
  <c r="K894" i="6"/>
  <c r="K895" i="6"/>
  <c r="K896" i="6"/>
  <c r="K897" i="6"/>
  <c r="K898" i="6"/>
  <c r="K899" i="6"/>
  <c r="K900" i="6"/>
  <c r="K901" i="6"/>
  <c r="K1142" i="6"/>
  <c r="K1143" i="6"/>
  <c r="K1144" i="6"/>
  <c r="K495" i="6"/>
  <c r="K496" i="6"/>
  <c r="K497" i="6"/>
  <c r="K498" i="6"/>
  <c r="K499" i="6"/>
  <c r="K500" i="6"/>
  <c r="K902" i="6"/>
  <c r="K903" i="6"/>
  <c r="K904" i="6"/>
  <c r="K905" i="6"/>
  <c r="K707" i="6"/>
  <c r="K708" i="6"/>
  <c r="K709" i="6"/>
  <c r="K710" i="6"/>
  <c r="K906" i="6"/>
  <c r="K907" i="6"/>
  <c r="K908" i="6"/>
  <c r="K909" i="6"/>
  <c r="K2" i="6"/>
  <c r="K501" i="6"/>
  <c r="K502" i="6"/>
  <c r="K503" i="6"/>
  <c r="K910" i="6"/>
  <c r="K911" i="6"/>
  <c r="K912" i="6"/>
  <c r="K913" i="6"/>
  <c r="K3" i="6"/>
  <c r="K504" i="6"/>
  <c r="K505" i="6"/>
  <c r="K506" i="6"/>
  <c r="K507" i="6"/>
  <c r="K914" i="6"/>
  <c r="K915" i="6"/>
  <c r="K916" i="6"/>
  <c r="K917" i="6"/>
  <c r="K508" i="6"/>
  <c r="K509" i="6"/>
  <c r="K918" i="6"/>
  <c r="K919" i="6"/>
  <c r="K920" i="6"/>
  <c r="K921" i="6"/>
  <c r="K961" i="6"/>
  <c r="K962" i="6"/>
  <c r="K963" i="6"/>
  <c r="K964" i="6"/>
  <c r="K510" i="6"/>
  <c r="K511" i="6"/>
  <c r="K512" i="6"/>
  <c r="K513" i="6"/>
  <c r="K514" i="6"/>
  <c r="K515" i="6"/>
  <c r="K922" i="6"/>
  <c r="K923" i="6"/>
  <c r="K924" i="6"/>
  <c r="K925" i="6"/>
  <c r="K295" i="6"/>
  <c r="K296" i="6"/>
  <c r="K297" i="6"/>
  <c r="K298" i="6"/>
  <c r="K516" i="6"/>
  <c r="K517" i="6"/>
  <c r="K518" i="6"/>
  <c r="K519" i="6"/>
  <c r="K520" i="6"/>
  <c r="K521" i="6"/>
  <c r="K4" i="6"/>
  <c r="K5" i="6"/>
  <c r="K6" i="6"/>
  <c r="K299" i="6"/>
  <c r="K300" i="6"/>
  <c r="K301" i="6"/>
  <c r="K302" i="6"/>
  <c r="K303" i="6"/>
  <c r="K304" i="6"/>
  <c r="K305" i="6"/>
  <c r="K306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926" i="6"/>
  <c r="K927" i="6"/>
  <c r="K928" i="6"/>
  <c r="K929" i="6"/>
  <c r="K930" i="6"/>
  <c r="K307" i="6"/>
  <c r="K308" i="6"/>
  <c r="K570" i="6"/>
  <c r="K571" i="6"/>
  <c r="K572" i="6"/>
  <c r="K573" i="6"/>
  <c r="K574" i="6"/>
  <c r="K575" i="6"/>
  <c r="K576" i="6"/>
  <c r="K931" i="6"/>
  <c r="K932" i="6"/>
  <c r="K933" i="6"/>
  <c r="K965" i="6"/>
  <c r="K577" i="6"/>
  <c r="K578" i="6"/>
  <c r="K579" i="6"/>
  <c r="K580" i="6"/>
  <c r="K581" i="6"/>
  <c r="K582" i="6"/>
  <c r="K583" i="6"/>
  <c r="K934" i="6"/>
  <c r="K935" i="6"/>
  <c r="K936" i="6"/>
  <c r="K937" i="6"/>
  <c r="K938" i="6"/>
  <c r="K966" i="6"/>
  <c r="K309" i="6"/>
  <c r="K310" i="6"/>
  <c r="K311" i="6"/>
  <c r="K312" i="6"/>
  <c r="K584" i="6"/>
  <c r="K585" i="6"/>
  <c r="K586" i="6"/>
  <c r="K587" i="6"/>
  <c r="K588" i="6"/>
  <c r="K589" i="6"/>
  <c r="K313" i="6"/>
  <c r="K314" i="6"/>
  <c r="K315" i="6"/>
  <c r="K316" i="6"/>
  <c r="K590" i="6"/>
  <c r="K591" i="6"/>
  <c r="K592" i="6"/>
  <c r="K593" i="6"/>
  <c r="K939" i="6"/>
  <c r="K940" i="6"/>
  <c r="K941" i="6"/>
  <c r="K1068" i="6"/>
  <c r="K1069" i="6"/>
  <c r="K1070" i="6"/>
  <c r="K1071" i="6"/>
  <c r="K942" i="6"/>
  <c r="K943" i="6"/>
  <c r="K944" i="6"/>
  <c r="K1072" i="6"/>
  <c r="K1073" i="6"/>
  <c r="K1074" i="6"/>
  <c r="K1075" i="6"/>
  <c r="K317" i="6"/>
  <c r="K318" i="6"/>
  <c r="K319" i="6"/>
  <c r="K1076" i="6"/>
  <c r="K1077" i="6"/>
  <c r="K1078" i="6"/>
  <c r="K1079" i="6"/>
  <c r="K945" i="6"/>
  <c r="K946" i="6"/>
  <c r="K947" i="6"/>
  <c r="K1080" i="6"/>
  <c r="K1081" i="6"/>
  <c r="K1082" i="6"/>
  <c r="K1083" i="6"/>
  <c r="K320" i="6"/>
  <c r="K321" i="6"/>
  <c r="K322" i="6"/>
  <c r="K1084" i="6"/>
  <c r="K1085" i="6"/>
  <c r="K1086" i="6"/>
  <c r="K1087" i="6"/>
  <c r="K948" i="6"/>
  <c r="K949" i="6"/>
  <c r="K950" i="6"/>
  <c r="K1088" i="6"/>
  <c r="K1089" i="6"/>
  <c r="K1090" i="6"/>
  <c r="K1091" i="6"/>
  <c r="K323" i="6"/>
  <c r="K324" i="6"/>
  <c r="K325" i="6"/>
  <c r="K1092" i="6"/>
  <c r="K1093" i="6"/>
  <c r="K1094" i="6"/>
  <c r="K1095" i="6"/>
  <c r="K951" i="6"/>
  <c r="K952" i="6"/>
  <c r="K953" i="6"/>
  <c r="K1096" i="6"/>
  <c r="K1097" i="6"/>
  <c r="K1098" i="6"/>
  <c r="K1099" i="6"/>
  <c r="K326" i="6"/>
  <c r="K327" i="6"/>
  <c r="K328" i="6"/>
  <c r="K1100" i="6"/>
  <c r="K1101" i="6"/>
  <c r="K1102" i="6"/>
  <c r="K1103" i="6"/>
  <c r="K954" i="6"/>
  <c r="K955" i="6"/>
  <c r="K956" i="6"/>
  <c r="K1104" i="6"/>
  <c r="K1105" i="6"/>
  <c r="K1106" i="6"/>
  <c r="K1107" i="6"/>
  <c r="K329" i="6"/>
  <c r="K330" i="6"/>
  <c r="K331" i="6"/>
  <c r="K1108" i="6"/>
  <c r="K1109" i="6"/>
  <c r="K1110" i="6"/>
  <c r="K1111" i="6"/>
  <c r="K7" i="6"/>
  <c r="K8" i="6"/>
  <c r="K9" i="6"/>
  <c r="K332" i="6"/>
  <c r="K333" i="6"/>
  <c r="K334" i="6"/>
  <c r="K335" i="6"/>
  <c r="K594" i="6"/>
  <c r="K595" i="6"/>
  <c r="K596" i="6"/>
  <c r="K597" i="6"/>
  <c r="K598" i="6"/>
  <c r="K599" i="6"/>
  <c r="K600" i="6"/>
  <c r="K601" i="6"/>
  <c r="K602" i="6"/>
  <c r="K603" i="6"/>
  <c r="K604" i="6"/>
  <c r="K957" i="6"/>
  <c r="K958" i="6"/>
  <c r="K959" i="6"/>
  <c r="K960" i="6"/>
  <c r="K1057" i="6"/>
  <c r="K1058" i="6"/>
  <c r="K1059" i="6"/>
  <c r="K1060" i="6"/>
  <c r="K1061" i="6"/>
  <c r="K1062" i="6"/>
  <c r="K1063" i="6"/>
  <c r="K1064" i="6"/>
  <c r="K1065" i="6"/>
  <c r="K1066" i="6"/>
  <c r="K1067" i="6"/>
  <c r="K1176" i="6"/>
  <c r="K1177" i="6"/>
  <c r="K1178" i="6"/>
  <c r="K118" i="6"/>
  <c r="K119" i="6"/>
  <c r="K120" i="6"/>
  <c r="K121" i="6"/>
  <c r="K122" i="6"/>
  <c r="K123" i="6"/>
  <c r="K124" i="6"/>
  <c r="K336" i="6"/>
  <c r="K337" i="6"/>
  <c r="K338" i="6"/>
  <c r="K339" i="6"/>
  <c r="K125" i="6"/>
  <c r="K126" i="6"/>
  <c r="K127" i="6"/>
  <c r="K128" i="6"/>
  <c r="K129" i="6"/>
  <c r="K130" i="6"/>
  <c r="K131" i="6"/>
  <c r="K340" i="6"/>
  <c r="K341" i="6"/>
  <c r="K342" i="6"/>
  <c r="K343" i="6"/>
  <c r="K2" i="8" l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E2" i="8"/>
  <c r="G2" i="8" s="1"/>
  <c r="E3" i="8"/>
  <c r="G3" i="8" s="1"/>
  <c r="E4" i="8"/>
  <c r="G4" i="8" s="1"/>
  <c r="E5" i="8"/>
  <c r="G5" i="8" s="1"/>
  <c r="E6" i="8"/>
  <c r="G6" i="8" s="1"/>
  <c r="E7" i="8"/>
  <c r="G7" i="8" s="1"/>
  <c r="E8" i="8"/>
  <c r="G8" i="8" s="1"/>
  <c r="E9" i="8"/>
  <c r="G9" i="8" s="1"/>
  <c r="E10" i="8"/>
  <c r="G10" i="8" s="1"/>
  <c r="E11" i="8"/>
  <c r="G11" i="8" s="1"/>
  <c r="E12" i="8"/>
  <c r="G12" i="8" s="1"/>
  <c r="E13" i="8"/>
  <c r="G13" i="8" s="1"/>
  <c r="E14" i="8"/>
  <c r="G14" i="8" s="1"/>
  <c r="E15" i="8"/>
  <c r="G15" i="8" s="1"/>
  <c r="E16" i="8"/>
  <c r="G16" i="8" s="1"/>
  <c r="E17" i="8"/>
  <c r="G17" i="8" s="1"/>
  <c r="E18" i="8"/>
  <c r="G18" i="8" s="1"/>
  <c r="E19" i="8"/>
  <c r="G19" i="8" s="1"/>
  <c r="E20" i="8"/>
  <c r="G20" i="8" s="1"/>
  <c r="E21" i="8"/>
  <c r="G21" i="8" s="1"/>
  <c r="E22" i="8"/>
  <c r="G22" i="8" s="1"/>
  <c r="E23" i="8"/>
  <c r="G23" i="8" s="1"/>
  <c r="E24" i="8"/>
  <c r="G24" i="8" s="1"/>
  <c r="E25" i="8"/>
  <c r="G25" i="8" s="1"/>
  <c r="E26" i="8"/>
  <c r="G26" i="8" s="1"/>
  <c r="E27" i="8"/>
  <c r="G27" i="8" s="1"/>
  <c r="E28" i="8"/>
  <c r="G28" i="8" s="1"/>
  <c r="E29" i="8"/>
  <c r="G29" i="8" s="1"/>
  <c r="E30" i="8"/>
  <c r="G30" i="8" s="1"/>
  <c r="E31" i="8"/>
  <c r="G31" i="8" s="1"/>
  <c r="E32" i="8"/>
  <c r="G32" i="8" s="1"/>
  <c r="E33" i="8"/>
  <c r="G33" i="8" s="1"/>
  <c r="E34" i="8"/>
  <c r="G34" i="8" s="1"/>
  <c r="E35" i="8"/>
  <c r="G35" i="8" s="1"/>
  <c r="E36" i="8"/>
  <c r="G36" i="8" s="1"/>
  <c r="E37" i="8"/>
  <c r="G37" i="8" s="1"/>
  <c r="E38" i="8"/>
  <c r="G38" i="8" s="1"/>
  <c r="E39" i="8"/>
  <c r="G39" i="8" s="1"/>
  <c r="E40" i="8"/>
  <c r="G40" i="8" s="1"/>
  <c r="E41" i="8"/>
  <c r="G41" i="8" s="1"/>
  <c r="E42" i="8"/>
  <c r="G42" i="8" s="1"/>
  <c r="E43" i="8"/>
  <c r="G43" i="8" s="1"/>
  <c r="E44" i="8"/>
  <c r="G44" i="8" s="1"/>
  <c r="E45" i="8"/>
  <c r="G45" i="8" s="1"/>
  <c r="E46" i="8"/>
  <c r="G46" i="8" s="1"/>
  <c r="E47" i="8"/>
  <c r="G47" i="8" s="1"/>
  <c r="E48" i="8"/>
  <c r="G48" i="8" s="1"/>
  <c r="E49" i="8"/>
  <c r="G49" i="8" s="1"/>
  <c r="E50" i="8"/>
  <c r="G50" i="8" s="1"/>
  <c r="E51" i="8"/>
  <c r="G51" i="8" s="1"/>
  <c r="E52" i="8"/>
  <c r="G52" i="8" s="1"/>
  <c r="E53" i="8"/>
  <c r="G53" i="8" s="1"/>
  <c r="E54" i="8"/>
  <c r="G54" i="8" s="1"/>
  <c r="E55" i="8"/>
  <c r="G55" i="8" s="1"/>
  <c r="E56" i="8"/>
  <c r="G56" i="8" s="1"/>
  <c r="E57" i="8"/>
  <c r="G57" i="8" s="1"/>
  <c r="E58" i="8"/>
  <c r="G58" i="8" s="1"/>
  <c r="E59" i="8"/>
  <c r="G59" i="8" s="1"/>
  <c r="E60" i="8"/>
  <c r="G60" i="8" s="1"/>
  <c r="E61" i="8"/>
  <c r="G61" i="8" s="1"/>
  <c r="E62" i="8"/>
  <c r="G62" i="8" s="1"/>
  <c r="E63" i="8"/>
  <c r="G63" i="8" s="1"/>
  <c r="E64" i="8"/>
  <c r="G64" i="8" s="1"/>
  <c r="E65" i="8"/>
  <c r="G65" i="8" s="1"/>
  <c r="E66" i="8"/>
  <c r="G66" i="8" s="1"/>
  <c r="E67" i="8"/>
  <c r="G67" i="8" s="1"/>
  <c r="E68" i="8"/>
  <c r="G68" i="8" s="1"/>
  <c r="E69" i="8"/>
  <c r="G69" i="8" s="1"/>
  <c r="E70" i="8"/>
  <c r="G70" i="8" s="1"/>
  <c r="E71" i="8"/>
  <c r="G71" i="8" s="1"/>
  <c r="E72" i="8"/>
  <c r="G72" i="8" s="1"/>
  <c r="E73" i="8"/>
  <c r="G73" i="8" s="1"/>
  <c r="E74" i="8"/>
  <c r="G74" i="8" s="1"/>
  <c r="E75" i="8"/>
  <c r="G75" i="8" s="1"/>
  <c r="E76" i="8"/>
  <c r="G76" i="8" s="1"/>
  <c r="E77" i="8"/>
  <c r="G77" i="8" s="1"/>
  <c r="E78" i="8"/>
  <c r="G78" i="8" s="1"/>
  <c r="E79" i="8"/>
  <c r="G79" i="8" s="1"/>
  <c r="E80" i="8"/>
  <c r="G80" i="8" s="1"/>
  <c r="E81" i="8"/>
  <c r="G81" i="8" s="1"/>
  <c r="E82" i="8"/>
  <c r="G82" i="8" s="1"/>
  <c r="E83" i="8"/>
  <c r="G83" i="8" s="1"/>
  <c r="E84" i="8"/>
  <c r="G84" i="8" s="1"/>
  <c r="E85" i="8"/>
  <c r="G85" i="8" s="1"/>
  <c r="E86" i="8"/>
  <c r="G86" i="8" s="1"/>
  <c r="E87" i="8"/>
  <c r="G87" i="8" s="1"/>
  <c r="E88" i="8"/>
  <c r="G88" i="8" s="1"/>
  <c r="E89" i="8"/>
  <c r="G89" i="8" s="1"/>
  <c r="E90" i="8"/>
  <c r="G90" i="8" s="1"/>
  <c r="E91" i="8"/>
  <c r="G91" i="8" s="1"/>
  <c r="E92" i="8"/>
  <c r="G92" i="8" s="1"/>
  <c r="E93" i="8"/>
  <c r="G93" i="8" s="1"/>
  <c r="E94" i="8"/>
  <c r="G94" i="8" s="1"/>
  <c r="E95" i="8"/>
  <c r="G95" i="8" s="1"/>
  <c r="E96" i="8"/>
  <c r="G96" i="8" s="1"/>
  <c r="E97" i="8"/>
  <c r="G97" i="8" s="1"/>
  <c r="E98" i="8"/>
  <c r="G98" i="8" s="1"/>
  <c r="E99" i="8"/>
  <c r="G99" i="8" s="1"/>
  <c r="E100" i="8"/>
  <c r="G100" i="8" s="1"/>
  <c r="E101" i="8"/>
  <c r="G101" i="8" s="1"/>
  <c r="E102" i="8"/>
  <c r="G102" i="8" s="1"/>
  <c r="E103" i="8"/>
  <c r="G103" i="8" s="1"/>
  <c r="E104" i="8"/>
  <c r="G104" i="8" s="1"/>
  <c r="E105" i="8"/>
  <c r="G105" i="8" s="1"/>
  <c r="E106" i="8"/>
  <c r="G106" i="8" s="1"/>
  <c r="E107" i="8"/>
  <c r="G107" i="8" s="1"/>
  <c r="E108" i="8"/>
  <c r="G108" i="8" s="1"/>
  <c r="E109" i="8"/>
  <c r="G109" i="8" s="1"/>
  <c r="E110" i="8"/>
  <c r="G110" i="8" s="1"/>
  <c r="E111" i="8"/>
  <c r="G111" i="8" s="1"/>
  <c r="E112" i="8"/>
  <c r="G112" i="8" s="1"/>
  <c r="E113" i="8"/>
  <c r="G113" i="8" s="1"/>
  <c r="E114" i="8"/>
  <c r="G114" i="8" s="1"/>
  <c r="E115" i="8"/>
  <c r="G115" i="8" s="1"/>
  <c r="E116" i="8"/>
  <c r="G116" i="8" s="1"/>
  <c r="E117" i="8"/>
  <c r="G117" i="8" s="1"/>
  <c r="E118" i="8"/>
  <c r="G118" i="8" s="1"/>
  <c r="E119" i="8"/>
  <c r="G119" i="8" s="1"/>
  <c r="E120" i="8"/>
  <c r="G120" i="8" s="1"/>
  <c r="E121" i="8"/>
  <c r="G121" i="8" s="1"/>
  <c r="E122" i="8"/>
  <c r="G122" i="8" s="1"/>
  <c r="E123" i="8"/>
  <c r="G123" i="8" s="1"/>
  <c r="E124" i="8"/>
  <c r="G124" i="8" s="1"/>
  <c r="E125" i="8"/>
  <c r="G125" i="8" s="1"/>
  <c r="E126" i="8"/>
  <c r="G126" i="8" s="1"/>
  <c r="E127" i="8"/>
  <c r="G127" i="8" s="1"/>
  <c r="E128" i="8"/>
  <c r="G128" i="8" s="1"/>
  <c r="E129" i="8"/>
  <c r="G129" i="8" s="1"/>
  <c r="E130" i="8"/>
  <c r="G130" i="8" s="1"/>
  <c r="E131" i="8"/>
  <c r="G131" i="8" s="1"/>
  <c r="E132" i="8"/>
  <c r="G132" i="8" s="1"/>
  <c r="E133" i="8"/>
  <c r="G133" i="8" s="1"/>
  <c r="E134" i="8"/>
  <c r="G134" i="8" s="1"/>
  <c r="E135" i="8"/>
  <c r="G135" i="8" s="1"/>
  <c r="E136" i="8"/>
  <c r="G136" i="8" s="1"/>
  <c r="E137" i="8"/>
  <c r="G137" i="8" s="1"/>
  <c r="E138" i="8"/>
  <c r="G138" i="8" s="1"/>
  <c r="E139" i="8"/>
  <c r="G139" i="8" s="1"/>
  <c r="E140" i="8"/>
  <c r="G140" i="8" s="1"/>
  <c r="E141" i="8"/>
  <c r="G141" i="8" s="1"/>
  <c r="E142" i="8"/>
  <c r="G142" i="8" s="1"/>
  <c r="E143" i="8"/>
  <c r="G143" i="8" s="1"/>
  <c r="E144" i="8"/>
  <c r="G144" i="8" s="1"/>
  <c r="E145" i="8"/>
  <c r="G145" i="8" s="1"/>
  <c r="E146" i="8"/>
  <c r="G146" i="8" s="1"/>
  <c r="E147" i="8"/>
  <c r="G147" i="8" s="1"/>
  <c r="E148" i="8"/>
  <c r="G148" i="8" s="1"/>
  <c r="E149" i="8"/>
  <c r="G149" i="8" s="1"/>
  <c r="E150" i="8"/>
  <c r="G150" i="8" s="1"/>
  <c r="E151" i="8"/>
  <c r="G151" i="8" s="1"/>
  <c r="E152" i="8"/>
  <c r="G152" i="8" s="1"/>
  <c r="E153" i="8"/>
  <c r="G153" i="8" s="1"/>
  <c r="E154" i="8"/>
  <c r="G154" i="8" s="1"/>
  <c r="E155" i="8"/>
  <c r="G155" i="8" s="1"/>
  <c r="E156" i="8"/>
  <c r="G156" i="8" s="1"/>
  <c r="E157" i="8"/>
  <c r="G157" i="8" s="1"/>
  <c r="E158" i="8"/>
  <c r="G158" i="8" s="1"/>
  <c r="E159" i="8"/>
  <c r="G159" i="8" s="1"/>
  <c r="E160" i="8"/>
  <c r="G160" i="8" s="1"/>
  <c r="E161" i="8"/>
  <c r="G161" i="8" s="1"/>
  <c r="E162" i="8"/>
  <c r="G162" i="8" s="1"/>
  <c r="E163" i="8"/>
  <c r="G163" i="8" s="1"/>
  <c r="E164" i="8"/>
  <c r="G164" i="8" s="1"/>
  <c r="E165" i="8"/>
  <c r="G165" i="8" s="1"/>
  <c r="E166" i="8"/>
  <c r="G166" i="8" s="1"/>
  <c r="E167" i="8"/>
  <c r="G167" i="8" s="1"/>
  <c r="E168" i="8"/>
  <c r="G168" i="8" s="1"/>
  <c r="E169" i="8"/>
  <c r="G169" i="8" s="1"/>
  <c r="E170" i="8"/>
  <c r="G170" i="8" s="1"/>
  <c r="E171" i="8"/>
  <c r="G171" i="8" s="1"/>
  <c r="E172" i="8"/>
  <c r="G172" i="8" s="1"/>
  <c r="E173" i="8"/>
  <c r="G173" i="8" s="1"/>
  <c r="E174" i="8"/>
  <c r="G174" i="8" s="1"/>
  <c r="E175" i="8"/>
  <c r="G175" i="8" s="1"/>
  <c r="E176" i="8"/>
  <c r="G176" i="8" s="1"/>
  <c r="E177" i="8"/>
  <c r="G177" i="8" s="1"/>
  <c r="E178" i="8"/>
  <c r="G178" i="8" s="1"/>
  <c r="E179" i="8"/>
  <c r="G179" i="8" s="1"/>
  <c r="E180" i="8"/>
  <c r="G180" i="8" s="1"/>
  <c r="E181" i="8"/>
  <c r="G181" i="8" s="1"/>
  <c r="E182" i="8"/>
  <c r="G182" i="8" s="1"/>
  <c r="E183" i="8"/>
  <c r="G183" i="8" s="1"/>
  <c r="E184" i="8"/>
  <c r="G184" i="8" s="1"/>
  <c r="E185" i="8"/>
  <c r="G185" i="8" s="1"/>
  <c r="E186" i="8"/>
  <c r="G186" i="8" s="1"/>
  <c r="E187" i="8"/>
  <c r="G187" i="8" s="1"/>
  <c r="E188" i="8"/>
  <c r="G188" i="8" s="1"/>
  <c r="E189" i="8"/>
  <c r="G189" i="8" s="1"/>
  <c r="E190" i="8"/>
  <c r="G190" i="8" s="1"/>
  <c r="E191" i="8"/>
  <c r="G191" i="8" s="1"/>
  <c r="E192" i="8"/>
  <c r="G192" i="8" s="1"/>
  <c r="E193" i="8"/>
  <c r="G193" i="8" s="1"/>
  <c r="E194" i="8"/>
  <c r="G194" i="8" s="1"/>
  <c r="E195" i="8"/>
  <c r="G195" i="8" s="1"/>
  <c r="E196" i="8"/>
  <c r="G196" i="8" s="1"/>
  <c r="E197" i="8"/>
  <c r="G197" i="8" s="1"/>
  <c r="E198" i="8"/>
  <c r="G198" i="8" s="1"/>
  <c r="E199" i="8"/>
  <c r="G199" i="8" s="1"/>
  <c r="E200" i="8"/>
  <c r="G200" i="8" s="1"/>
  <c r="E201" i="8"/>
  <c r="G201" i="8" s="1"/>
  <c r="E202" i="8"/>
  <c r="G202" i="8" s="1"/>
  <c r="E203" i="8"/>
  <c r="G203" i="8" s="1"/>
  <c r="E204" i="8"/>
  <c r="G204" i="8" s="1"/>
  <c r="E205" i="8"/>
  <c r="G205" i="8" s="1"/>
  <c r="E206" i="8"/>
  <c r="G206" i="8" s="1"/>
  <c r="E207" i="8"/>
  <c r="G207" i="8" s="1"/>
  <c r="E208" i="8"/>
  <c r="G208" i="8" s="1"/>
  <c r="E209" i="8"/>
  <c r="G209" i="8" s="1"/>
  <c r="E210" i="8"/>
  <c r="G210" i="8" s="1"/>
  <c r="E211" i="8"/>
  <c r="G211" i="8" s="1"/>
  <c r="E212" i="8"/>
  <c r="G212" i="8" s="1"/>
  <c r="E213" i="8"/>
  <c r="G213" i="8" s="1"/>
  <c r="E214" i="8"/>
  <c r="G214" i="8" s="1"/>
  <c r="E215" i="8"/>
  <c r="G215" i="8" s="1"/>
  <c r="E216" i="8"/>
  <c r="G216" i="8" s="1"/>
  <c r="E217" i="8"/>
  <c r="G217" i="8" s="1"/>
  <c r="E218" i="8"/>
  <c r="G218" i="8" s="1"/>
  <c r="E219" i="8"/>
  <c r="G219" i="8" s="1"/>
  <c r="E220" i="8"/>
  <c r="G220" i="8" s="1"/>
  <c r="E221" i="8"/>
  <c r="G221" i="8" s="1"/>
  <c r="E222" i="8"/>
  <c r="G222" i="8" s="1"/>
  <c r="E223" i="8"/>
  <c r="G223" i="8" s="1"/>
  <c r="E224" i="8"/>
  <c r="G224" i="8" s="1"/>
  <c r="E225" i="8"/>
  <c r="G225" i="8" s="1"/>
  <c r="E226" i="8"/>
  <c r="G226" i="8" s="1"/>
  <c r="E227" i="8"/>
  <c r="G227" i="8" s="1"/>
  <c r="E228" i="8"/>
  <c r="G228" i="8" s="1"/>
  <c r="E229" i="8"/>
  <c r="G229" i="8" s="1"/>
  <c r="E230" i="8"/>
  <c r="G230" i="8" s="1"/>
  <c r="E231" i="8"/>
  <c r="G231" i="8" s="1"/>
  <c r="E232" i="8"/>
  <c r="G232" i="8" s="1"/>
  <c r="E233" i="8"/>
  <c r="G233" i="8" s="1"/>
  <c r="E234" i="8"/>
  <c r="G234" i="8" s="1"/>
  <c r="E235" i="8"/>
  <c r="G235" i="8" s="1"/>
  <c r="E236" i="8"/>
  <c r="G236" i="8" s="1"/>
  <c r="E237" i="8"/>
  <c r="G237" i="8" s="1"/>
  <c r="E238" i="8"/>
  <c r="G238" i="8" s="1"/>
  <c r="E239" i="8"/>
  <c r="G239" i="8" s="1"/>
  <c r="E240" i="8"/>
  <c r="G240" i="8" s="1"/>
  <c r="E241" i="8"/>
  <c r="G241" i="8" s="1"/>
  <c r="E242" i="8"/>
  <c r="G242" i="8" s="1"/>
  <c r="E243" i="8"/>
  <c r="G243" i="8" s="1"/>
  <c r="E244" i="8"/>
  <c r="G244" i="8" s="1"/>
  <c r="E245" i="8"/>
  <c r="G245" i="8" s="1"/>
  <c r="E246" i="8"/>
  <c r="G246" i="8" s="1"/>
  <c r="E247" i="8"/>
  <c r="G247" i="8" s="1"/>
  <c r="E248" i="8"/>
  <c r="G248" i="8" s="1"/>
  <c r="E249" i="8"/>
  <c r="G249" i="8" s="1"/>
  <c r="E250" i="8"/>
  <c r="G250" i="8" s="1"/>
  <c r="E251" i="8"/>
  <c r="G251" i="8" s="1"/>
  <c r="E252" i="8"/>
  <c r="G252" i="8" s="1"/>
  <c r="E253" i="8"/>
  <c r="G253" i="8" s="1"/>
  <c r="E254" i="8"/>
  <c r="G254" i="8" s="1"/>
  <c r="E255" i="8"/>
  <c r="G255" i="8" s="1"/>
  <c r="E256" i="8"/>
  <c r="G256" i="8" s="1"/>
  <c r="E257" i="8"/>
  <c r="G257" i="8" s="1"/>
  <c r="E258" i="8"/>
  <c r="G258" i="8" s="1"/>
  <c r="E259" i="8"/>
  <c r="G259" i="8" s="1"/>
  <c r="E260" i="8"/>
  <c r="G260" i="8" s="1"/>
  <c r="E261" i="8"/>
  <c r="G261" i="8" s="1"/>
  <c r="E262" i="8"/>
  <c r="G262" i="8" s="1"/>
  <c r="E263" i="8"/>
  <c r="G263" i="8" s="1"/>
  <c r="E264" i="8"/>
  <c r="G264" i="8" s="1"/>
  <c r="E265" i="8"/>
  <c r="G265" i="8" s="1"/>
  <c r="E266" i="8"/>
  <c r="G266" i="8" s="1"/>
  <c r="E267" i="8"/>
  <c r="G267" i="8" s="1"/>
  <c r="E268" i="8"/>
  <c r="G268" i="8" s="1"/>
  <c r="E269" i="8"/>
  <c r="G269" i="8" s="1"/>
  <c r="E270" i="8"/>
  <c r="G270" i="8" s="1"/>
  <c r="E271" i="8"/>
  <c r="G271" i="8" s="1"/>
  <c r="E272" i="8"/>
  <c r="G272" i="8" s="1"/>
  <c r="E273" i="8"/>
  <c r="G273" i="8" s="1"/>
  <c r="E274" i="8"/>
  <c r="G274" i="8" s="1"/>
  <c r="E275" i="8"/>
  <c r="G275" i="8" s="1"/>
  <c r="E276" i="8"/>
  <c r="G276" i="8" s="1"/>
  <c r="E277" i="8"/>
  <c r="G277" i="8" s="1"/>
  <c r="E278" i="8"/>
  <c r="G278" i="8" s="1"/>
  <c r="E279" i="8"/>
  <c r="G279" i="8" s="1"/>
  <c r="E280" i="8"/>
  <c r="G280" i="8" s="1"/>
  <c r="E281" i="8"/>
  <c r="G281" i="8" s="1"/>
  <c r="E282" i="8"/>
  <c r="G282" i="8" s="1"/>
  <c r="E283" i="8"/>
  <c r="G283" i="8" s="1"/>
  <c r="E284" i="8"/>
  <c r="G284" i="8" s="1"/>
  <c r="E285" i="8"/>
  <c r="G285" i="8" s="1"/>
  <c r="E286" i="8"/>
  <c r="G286" i="8" s="1"/>
  <c r="E287" i="8"/>
  <c r="G287" i="8" s="1"/>
  <c r="E288" i="8"/>
  <c r="G288" i="8" s="1"/>
  <c r="E289" i="8"/>
  <c r="G289" i="8" s="1"/>
  <c r="E290" i="8"/>
  <c r="G290" i="8" s="1"/>
  <c r="E291" i="8"/>
  <c r="G291" i="8" s="1"/>
  <c r="E292" i="8"/>
  <c r="G292" i="8" s="1"/>
  <c r="E293" i="8"/>
  <c r="G293" i="8" s="1"/>
  <c r="E294" i="8"/>
  <c r="G294" i="8" s="1"/>
  <c r="E295" i="8"/>
  <c r="G295" i="8" s="1"/>
  <c r="E296" i="8"/>
  <c r="G296" i="8" s="1"/>
  <c r="E297" i="8"/>
  <c r="G297" i="8" s="1"/>
  <c r="E298" i="8"/>
  <c r="G298" i="8" s="1"/>
  <c r="E299" i="8"/>
  <c r="G299" i="8" s="1"/>
  <c r="E300" i="8"/>
  <c r="G300" i="8" s="1"/>
  <c r="E301" i="8"/>
  <c r="G301" i="8" s="1"/>
  <c r="E302" i="8"/>
  <c r="G302" i="8" s="1"/>
  <c r="E303" i="8"/>
  <c r="G303" i="8" s="1"/>
  <c r="E304" i="8"/>
  <c r="G304" i="8" s="1"/>
  <c r="E305" i="8"/>
  <c r="G305" i="8" s="1"/>
  <c r="E306" i="8"/>
  <c r="G306" i="8" s="1"/>
  <c r="E307" i="8"/>
  <c r="G307" i="8" s="1"/>
  <c r="E308" i="8"/>
  <c r="G308" i="8" s="1"/>
  <c r="E309" i="8"/>
  <c r="G309" i="8" s="1"/>
  <c r="E310" i="8"/>
  <c r="G310" i="8" s="1"/>
  <c r="E311" i="8"/>
  <c r="G311" i="8" s="1"/>
  <c r="E312" i="8"/>
  <c r="G312" i="8" s="1"/>
  <c r="E313" i="8"/>
  <c r="G313" i="8" s="1"/>
  <c r="E314" i="8"/>
  <c r="G314" i="8" s="1"/>
  <c r="E315" i="8"/>
  <c r="G315" i="8" s="1"/>
  <c r="E316" i="8"/>
  <c r="G316" i="8" s="1"/>
  <c r="E317" i="8"/>
  <c r="G317" i="8" s="1"/>
  <c r="E318" i="8"/>
  <c r="G318" i="8" s="1"/>
  <c r="E319" i="8"/>
  <c r="G319" i="8" s="1"/>
  <c r="E320" i="8"/>
  <c r="G320" i="8" s="1"/>
  <c r="E321" i="8"/>
  <c r="G321" i="8" s="1"/>
  <c r="E322" i="8"/>
  <c r="G322" i="8" s="1"/>
  <c r="E323" i="8"/>
  <c r="G323" i="8" s="1"/>
  <c r="E324" i="8"/>
  <c r="G324" i="8" s="1"/>
  <c r="E325" i="8"/>
  <c r="G325" i="8" s="1"/>
  <c r="E326" i="8"/>
  <c r="G326" i="8" s="1"/>
  <c r="E327" i="8"/>
  <c r="G327" i="8" s="1"/>
  <c r="E328" i="8"/>
  <c r="G328" i="8" s="1"/>
  <c r="E329" i="8"/>
  <c r="G329" i="8" s="1"/>
  <c r="E330" i="8"/>
  <c r="G330" i="8" s="1"/>
  <c r="E331" i="8"/>
  <c r="G331" i="8" s="1"/>
  <c r="E332" i="8"/>
  <c r="G332" i="8" s="1"/>
  <c r="E333" i="8"/>
  <c r="G333" i="8" s="1"/>
  <c r="E334" i="8"/>
  <c r="G334" i="8" s="1"/>
  <c r="E335" i="8"/>
  <c r="G335" i="8" s="1"/>
  <c r="E336" i="8"/>
  <c r="G336" i="8" s="1"/>
  <c r="E337" i="8"/>
  <c r="G337" i="8" s="1"/>
  <c r="E338" i="8"/>
  <c r="G338" i="8" s="1"/>
  <c r="E339" i="8"/>
  <c r="G339" i="8" s="1"/>
  <c r="E340" i="8"/>
  <c r="G340" i="8" s="1"/>
  <c r="E341" i="8"/>
  <c r="G341" i="8" s="1"/>
  <c r="E342" i="8"/>
  <c r="G342" i="8" s="1"/>
  <c r="E343" i="8"/>
  <c r="G343" i="8" s="1"/>
  <c r="E344" i="8"/>
  <c r="G344" i="8" s="1"/>
  <c r="E345" i="8"/>
  <c r="G345" i="8" s="1"/>
  <c r="E346" i="8"/>
  <c r="G346" i="8" s="1"/>
  <c r="E347" i="8"/>
  <c r="G347" i="8" s="1"/>
  <c r="E348" i="8"/>
  <c r="G348" i="8" s="1"/>
  <c r="E349" i="8"/>
  <c r="G349" i="8" s="1"/>
  <c r="E350" i="8"/>
  <c r="G350" i="8" s="1"/>
  <c r="E351" i="8"/>
  <c r="G351" i="8" s="1"/>
  <c r="E352" i="8"/>
  <c r="G352" i="8" s="1"/>
  <c r="E353" i="8"/>
  <c r="G353" i="8" s="1"/>
  <c r="E354" i="8"/>
  <c r="G354" i="8" s="1"/>
  <c r="E355" i="8"/>
  <c r="G355" i="8" s="1"/>
  <c r="E356" i="8"/>
  <c r="G356" i="8" s="1"/>
  <c r="E357" i="8"/>
  <c r="G357" i="8" s="1"/>
  <c r="E358" i="8"/>
  <c r="G358" i="8" s="1"/>
  <c r="E359" i="8"/>
  <c r="G359" i="8" s="1"/>
  <c r="E360" i="8"/>
  <c r="G360" i="8" s="1"/>
  <c r="E361" i="8"/>
  <c r="G361" i="8" s="1"/>
  <c r="E362" i="8"/>
  <c r="G362" i="8" s="1"/>
  <c r="E363" i="8"/>
  <c r="G363" i="8" s="1"/>
  <c r="E364" i="8"/>
  <c r="G364" i="8" s="1"/>
  <c r="E365" i="8"/>
  <c r="G365" i="8" s="1"/>
  <c r="E366" i="8"/>
  <c r="G366" i="8" s="1"/>
  <c r="E367" i="8"/>
  <c r="G367" i="8" s="1"/>
  <c r="E368" i="8"/>
  <c r="G368" i="8" s="1"/>
  <c r="E369" i="8"/>
  <c r="G369" i="8" s="1"/>
  <c r="E370" i="8"/>
  <c r="G370" i="8" s="1"/>
  <c r="E371" i="8"/>
  <c r="G371" i="8" s="1"/>
  <c r="E372" i="8"/>
  <c r="G372" i="8" s="1"/>
  <c r="E373" i="8"/>
  <c r="G373" i="8" s="1"/>
  <c r="E374" i="8"/>
  <c r="G374" i="8" s="1"/>
  <c r="E375" i="8"/>
  <c r="G375" i="8" s="1"/>
  <c r="E376" i="8"/>
  <c r="G376" i="8" s="1"/>
  <c r="E377" i="8"/>
  <c r="G377" i="8" s="1"/>
  <c r="E378" i="8"/>
  <c r="G378" i="8" s="1"/>
  <c r="E379" i="8"/>
  <c r="G379" i="8" s="1"/>
  <c r="E380" i="8"/>
  <c r="G380" i="8" s="1"/>
  <c r="E381" i="8"/>
  <c r="G381" i="8" s="1"/>
  <c r="E382" i="8"/>
  <c r="G382" i="8" s="1"/>
  <c r="E383" i="8"/>
  <c r="G383" i="8" s="1"/>
  <c r="E384" i="8"/>
  <c r="G384" i="8" s="1"/>
  <c r="E385" i="8"/>
  <c r="G385" i="8" s="1"/>
  <c r="E386" i="8"/>
  <c r="G386" i="8" s="1"/>
  <c r="E387" i="8"/>
  <c r="G387" i="8" s="1"/>
  <c r="E388" i="8"/>
  <c r="G388" i="8" s="1"/>
  <c r="E389" i="8"/>
  <c r="G389" i="8" s="1"/>
  <c r="E390" i="8"/>
  <c r="G390" i="8" s="1"/>
  <c r="E391" i="8"/>
  <c r="G391" i="8" s="1"/>
  <c r="E392" i="8"/>
  <c r="G392" i="8" s="1"/>
  <c r="E393" i="8"/>
  <c r="G393" i="8" s="1"/>
  <c r="E394" i="8"/>
  <c r="G394" i="8" s="1"/>
  <c r="E395" i="8"/>
  <c r="G395" i="8" s="1"/>
  <c r="E396" i="8"/>
  <c r="G396" i="8" s="1"/>
  <c r="E397" i="8"/>
  <c r="G397" i="8" s="1"/>
  <c r="E398" i="8"/>
  <c r="G398" i="8" s="1"/>
  <c r="E399" i="8"/>
  <c r="G399" i="8" s="1"/>
  <c r="E400" i="8"/>
  <c r="G400" i="8" s="1"/>
  <c r="E401" i="8"/>
  <c r="G401" i="8" s="1"/>
  <c r="E402" i="8"/>
  <c r="G402" i="8" s="1"/>
  <c r="E403" i="8"/>
  <c r="G403" i="8" s="1"/>
  <c r="E404" i="8"/>
  <c r="G404" i="8" s="1"/>
  <c r="E405" i="8"/>
  <c r="G405" i="8" s="1"/>
  <c r="E406" i="8"/>
  <c r="G406" i="8" s="1"/>
  <c r="E407" i="8"/>
  <c r="G407" i="8" s="1"/>
  <c r="E408" i="8"/>
  <c r="G408" i="8" s="1"/>
  <c r="E409" i="8"/>
  <c r="G409" i="8" s="1"/>
  <c r="E410" i="8"/>
  <c r="G410" i="8" s="1"/>
  <c r="E411" i="8"/>
  <c r="G411" i="8" s="1"/>
  <c r="E412" i="8"/>
  <c r="G412" i="8" s="1"/>
  <c r="E413" i="8"/>
  <c r="G413" i="8" s="1"/>
  <c r="E414" i="8"/>
  <c r="G414" i="8" s="1"/>
  <c r="E415" i="8"/>
  <c r="G415" i="8" s="1"/>
  <c r="E416" i="8"/>
  <c r="G416" i="8" s="1"/>
  <c r="E417" i="8"/>
  <c r="G417" i="8" s="1"/>
  <c r="E418" i="8"/>
  <c r="G418" i="8" s="1"/>
  <c r="E419" i="8"/>
  <c r="G419" i="8" s="1"/>
  <c r="E420" i="8"/>
  <c r="G420" i="8" s="1"/>
  <c r="E421" i="8"/>
  <c r="G421" i="8" s="1"/>
  <c r="E422" i="8"/>
  <c r="G422" i="8" s="1"/>
  <c r="E423" i="8"/>
  <c r="G423" i="8" s="1"/>
  <c r="E424" i="8"/>
  <c r="G424" i="8" s="1"/>
  <c r="E425" i="8"/>
  <c r="G425" i="8" s="1"/>
  <c r="E426" i="8"/>
  <c r="G426" i="8" s="1"/>
  <c r="E427" i="8"/>
  <c r="G427" i="8" s="1"/>
  <c r="E428" i="8"/>
  <c r="G428" i="8" s="1"/>
  <c r="E429" i="8"/>
  <c r="G429" i="8" s="1"/>
  <c r="E430" i="8"/>
  <c r="G430" i="8" s="1"/>
  <c r="E431" i="8"/>
  <c r="G431" i="8" s="1"/>
  <c r="E432" i="8"/>
  <c r="G432" i="8" s="1"/>
  <c r="E433" i="8"/>
  <c r="G433" i="8" s="1"/>
  <c r="E434" i="8"/>
  <c r="G434" i="8" s="1"/>
  <c r="E435" i="8"/>
  <c r="G435" i="8" s="1"/>
  <c r="E436" i="8"/>
  <c r="G436" i="8" s="1"/>
  <c r="E437" i="8"/>
  <c r="G437" i="8" s="1"/>
  <c r="E438" i="8"/>
  <c r="G438" i="8" s="1"/>
  <c r="E439" i="8"/>
  <c r="G439" i="8" s="1"/>
  <c r="E440" i="8"/>
  <c r="G440" i="8" s="1"/>
  <c r="E441" i="8"/>
  <c r="G441" i="8" s="1"/>
  <c r="E442" i="8"/>
  <c r="G442" i="8" s="1"/>
  <c r="E443" i="8"/>
  <c r="G443" i="8" s="1"/>
  <c r="E444" i="8"/>
  <c r="G444" i="8" s="1"/>
  <c r="E445" i="8"/>
  <c r="G445" i="8" s="1"/>
  <c r="E446" i="8"/>
  <c r="G446" i="8" s="1"/>
  <c r="E447" i="8"/>
  <c r="G447" i="8" s="1"/>
  <c r="E448" i="8"/>
  <c r="G448" i="8" s="1"/>
  <c r="E449" i="8"/>
  <c r="G449" i="8" s="1"/>
  <c r="E450" i="8"/>
  <c r="G450" i="8" s="1"/>
  <c r="E451" i="8"/>
  <c r="G451" i="8" s="1"/>
  <c r="E452" i="8"/>
  <c r="G452" i="8" s="1"/>
  <c r="E453" i="8"/>
  <c r="G453" i="8" s="1"/>
  <c r="E454" i="8"/>
  <c r="G454" i="8" s="1"/>
  <c r="E455" i="8"/>
  <c r="G455" i="8" s="1"/>
  <c r="E456" i="8"/>
  <c r="G456" i="8" s="1"/>
  <c r="E457" i="8"/>
  <c r="G457" i="8" s="1"/>
  <c r="E458" i="8"/>
  <c r="G458" i="8" s="1"/>
  <c r="E459" i="8"/>
  <c r="G459" i="8" s="1"/>
  <c r="E460" i="8"/>
  <c r="G460" i="8" s="1"/>
  <c r="E461" i="8"/>
  <c r="G461" i="8" s="1"/>
  <c r="E462" i="8"/>
  <c r="G462" i="8" s="1"/>
  <c r="E463" i="8"/>
  <c r="G463" i="8" s="1"/>
  <c r="E464" i="8"/>
  <c r="G464" i="8" s="1"/>
  <c r="E465" i="8"/>
  <c r="G465" i="8" s="1"/>
  <c r="E466" i="8"/>
  <c r="G466" i="8" s="1"/>
  <c r="E467" i="8"/>
  <c r="G467" i="8" s="1"/>
  <c r="E468" i="8"/>
  <c r="G468" i="8" s="1"/>
  <c r="E469" i="8"/>
  <c r="G469" i="8" s="1"/>
  <c r="E470" i="8"/>
  <c r="G470" i="8" s="1"/>
  <c r="E471" i="8"/>
  <c r="G471" i="8" s="1"/>
  <c r="E472" i="8"/>
  <c r="G472" i="8" s="1"/>
  <c r="E473" i="8"/>
  <c r="G473" i="8" s="1"/>
  <c r="E474" i="8"/>
  <c r="G474" i="8" s="1"/>
  <c r="E475" i="8"/>
  <c r="G475" i="8" s="1"/>
  <c r="E476" i="8"/>
  <c r="G476" i="8" s="1"/>
  <c r="E477" i="8"/>
  <c r="G477" i="8" s="1"/>
  <c r="E478" i="8"/>
  <c r="G478" i="8" s="1"/>
  <c r="E479" i="8"/>
  <c r="G479" i="8" s="1"/>
  <c r="E480" i="8"/>
  <c r="G480" i="8" s="1"/>
  <c r="E481" i="8"/>
  <c r="G481" i="8" s="1"/>
  <c r="E482" i="8"/>
  <c r="G482" i="8" s="1"/>
  <c r="E483" i="8"/>
  <c r="G483" i="8" s="1"/>
  <c r="E484" i="8"/>
  <c r="G484" i="8" s="1"/>
  <c r="E485" i="8"/>
  <c r="G485" i="8" s="1"/>
  <c r="E486" i="8"/>
  <c r="G486" i="8" s="1"/>
  <c r="E487" i="8"/>
  <c r="G487" i="8" s="1"/>
  <c r="E488" i="8"/>
  <c r="G488" i="8" s="1"/>
  <c r="E489" i="8"/>
  <c r="G489" i="8" s="1"/>
  <c r="E490" i="8"/>
  <c r="G490" i="8" s="1"/>
  <c r="E491" i="8"/>
  <c r="G491" i="8" s="1"/>
  <c r="E492" i="8"/>
  <c r="G492" i="8" s="1"/>
  <c r="E493" i="8"/>
  <c r="G493" i="8" s="1"/>
  <c r="E494" i="8"/>
  <c r="G494" i="8" s="1"/>
  <c r="E495" i="8"/>
  <c r="G495" i="8" s="1"/>
  <c r="E496" i="8"/>
  <c r="G496" i="8" s="1"/>
  <c r="E497" i="8"/>
  <c r="G497" i="8" s="1"/>
  <c r="E498" i="8"/>
  <c r="G498" i="8" s="1"/>
  <c r="E499" i="8"/>
  <c r="G499" i="8" s="1"/>
  <c r="E500" i="8"/>
  <c r="G500" i="8" s="1"/>
  <c r="E501" i="8"/>
  <c r="G501" i="8" s="1"/>
  <c r="E502" i="8"/>
  <c r="G502" i="8" s="1"/>
  <c r="E503" i="8"/>
  <c r="G503" i="8" s="1"/>
  <c r="E504" i="8"/>
  <c r="G504" i="8" s="1"/>
  <c r="E505" i="8"/>
  <c r="G505" i="8" s="1"/>
  <c r="E506" i="8"/>
  <c r="G506" i="8" s="1"/>
  <c r="E507" i="8"/>
  <c r="G507" i="8" s="1"/>
  <c r="E508" i="8"/>
  <c r="G508" i="8" s="1"/>
  <c r="E509" i="8"/>
  <c r="G509" i="8" s="1"/>
  <c r="E510" i="8"/>
  <c r="G510" i="8" s="1"/>
  <c r="E511" i="8"/>
  <c r="G511" i="8" s="1"/>
  <c r="E512" i="8"/>
  <c r="G512" i="8" s="1"/>
  <c r="E513" i="8"/>
  <c r="G513" i="8" s="1"/>
  <c r="E514" i="8"/>
  <c r="G514" i="8" s="1"/>
  <c r="E515" i="8"/>
  <c r="G515" i="8" s="1"/>
  <c r="E516" i="8"/>
  <c r="G516" i="8" s="1"/>
  <c r="E517" i="8"/>
  <c r="G517" i="8" s="1"/>
  <c r="E518" i="8"/>
  <c r="G518" i="8" s="1"/>
  <c r="E519" i="8"/>
  <c r="G519" i="8" s="1"/>
  <c r="E520" i="8"/>
  <c r="G520" i="8" s="1"/>
  <c r="E521" i="8"/>
  <c r="G521" i="8" s="1"/>
  <c r="E522" i="8"/>
  <c r="G522" i="8" s="1"/>
  <c r="E523" i="8"/>
  <c r="G523" i="8" s="1"/>
  <c r="E524" i="8"/>
  <c r="G524" i="8" s="1"/>
  <c r="E525" i="8"/>
  <c r="G525" i="8" s="1"/>
  <c r="E526" i="8"/>
  <c r="G526" i="8" s="1"/>
  <c r="E527" i="8"/>
  <c r="G527" i="8" s="1"/>
  <c r="E528" i="8"/>
  <c r="G528" i="8" s="1"/>
  <c r="E529" i="8"/>
  <c r="G529" i="8" s="1"/>
  <c r="E530" i="8"/>
  <c r="G530" i="8" s="1"/>
  <c r="E531" i="8"/>
  <c r="G531" i="8" s="1"/>
  <c r="E532" i="8"/>
  <c r="G532" i="8" s="1"/>
  <c r="E533" i="8"/>
  <c r="G533" i="8" s="1"/>
  <c r="E534" i="8"/>
  <c r="G534" i="8" s="1"/>
  <c r="E535" i="8"/>
  <c r="G535" i="8" s="1"/>
  <c r="E536" i="8"/>
  <c r="G536" i="8" s="1"/>
  <c r="E537" i="8"/>
  <c r="G537" i="8" s="1"/>
  <c r="E538" i="8"/>
  <c r="G538" i="8" s="1"/>
  <c r="E539" i="8"/>
  <c r="G539" i="8" s="1"/>
  <c r="E540" i="8"/>
  <c r="G540" i="8" s="1"/>
  <c r="E541" i="8"/>
  <c r="G541" i="8" s="1"/>
  <c r="E542" i="8"/>
  <c r="G542" i="8" s="1"/>
  <c r="E543" i="8"/>
  <c r="G543" i="8" s="1"/>
  <c r="E544" i="8"/>
  <c r="G544" i="8" s="1"/>
  <c r="E545" i="8"/>
  <c r="G545" i="8" s="1"/>
  <c r="E546" i="8"/>
  <c r="G546" i="8" s="1"/>
  <c r="E547" i="8"/>
  <c r="G547" i="8" s="1"/>
  <c r="E548" i="8"/>
  <c r="G548" i="8" s="1"/>
  <c r="E549" i="8"/>
  <c r="G549" i="8" s="1"/>
  <c r="E550" i="8"/>
  <c r="G550" i="8" s="1"/>
  <c r="E551" i="8"/>
  <c r="G551" i="8" s="1"/>
  <c r="E552" i="8"/>
  <c r="G552" i="8" s="1"/>
  <c r="E553" i="8"/>
  <c r="G553" i="8" s="1"/>
  <c r="E554" i="8"/>
  <c r="G554" i="8" s="1"/>
  <c r="E555" i="8"/>
  <c r="G555" i="8" s="1"/>
  <c r="E556" i="8"/>
  <c r="G556" i="8" s="1"/>
  <c r="E557" i="8"/>
  <c r="G557" i="8" s="1"/>
  <c r="E558" i="8"/>
  <c r="G558" i="8" s="1"/>
  <c r="E559" i="8"/>
  <c r="G559" i="8" s="1"/>
  <c r="E560" i="8"/>
  <c r="G560" i="8" s="1"/>
  <c r="E561" i="8"/>
  <c r="G561" i="8" s="1"/>
  <c r="E562" i="8"/>
  <c r="G562" i="8" s="1"/>
  <c r="E563" i="8"/>
  <c r="G563" i="8" s="1"/>
  <c r="E564" i="8"/>
  <c r="G564" i="8" s="1"/>
  <c r="E565" i="8"/>
  <c r="G565" i="8" s="1"/>
  <c r="E566" i="8"/>
  <c r="G566" i="8" s="1"/>
  <c r="E567" i="8"/>
  <c r="G567" i="8" s="1"/>
  <c r="E568" i="8"/>
  <c r="G568" i="8" s="1"/>
  <c r="E569" i="8"/>
  <c r="G569" i="8" s="1"/>
  <c r="E570" i="8"/>
  <c r="G570" i="8" s="1"/>
  <c r="E571" i="8"/>
  <c r="G571" i="8" s="1"/>
  <c r="E572" i="8"/>
  <c r="G572" i="8" s="1"/>
  <c r="E573" i="8"/>
  <c r="G573" i="8" s="1"/>
  <c r="E574" i="8"/>
  <c r="G574" i="8" s="1"/>
  <c r="E575" i="8"/>
  <c r="G575" i="8" s="1"/>
  <c r="E576" i="8"/>
  <c r="G576" i="8" s="1"/>
  <c r="E577" i="8"/>
  <c r="G577" i="8" s="1"/>
  <c r="E578" i="8"/>
  <c r="G578" i="8" s="1"/>
  <c r="E579" i="8"/>
  <c r="G579" i="8" s="1"/>
  <c r="E580" i="8"/>
  <c r="G580" i="8" s="1"/>
  <c r="E581" i="8"/>
  <c r="G581" i="8" s="1"/>
  <c r="E582" i="8"/>
  <c r="G582" i="8" s="1"/>
  <c r="E583" i="8"/>
  <c r="G583" i="8" s="1"/>
  <c r="E584" i="8"/>
  <c r="G584" i="8" s="1"/>
  <c r="E585" i="8"/>
  <c r="G585" i="8" s="1"/>
  <c r="E586" i="8"/>
  <c r="G586" i="8" s="1"/>
  <c r="E587" i="8"/>
  <c r="G587" i="8" s="1"/>
  <c r="E588" i="8"/>
  <c r="G588" i="8" s="1"/>
  <c r="E589" i="8"/>
  <c r="G589" i="8" s="1"/>
  <c r="E590" i="8"/>
  <c r="G590" i="8" s="1"/>
  <c r="E591" i="8"/>
  <c r="G591" i="8" s="1"/>
  <c r="E592" i="8"/>
  <c r="G592" i="8" s="1"/>
  <c r="E593" i="8"/>
  <c r="G593" i="8" s="1"/>
  <c r="E594" i="8"/>
  <c r="G594" i="8" s="1"/>
  <c r="E595" i="8"/>
  <c r="G595" i="8" s="1"/>
  <c r="E596" i="8"/>
  <c r="G596" i="8" s="1"/>
  <c r="E597" i="8"/>
  <c r="G597" i="8" s="1"/>
  <c r="E598" i="8"/>
  <c r="G598" i="8" s="1"/>
  <c r="E599" i="8"/>
  <c r="G599" i="8" s="1"/>
  <c r="E600" i="8"/>
  <c r="G600" i="8" s="1"/>
  <c r="E601" i="8"/>
  <c r="G601" i="8" s="1"/>
  <c r="E602" i="8"/>
  <c r="G602" i="8" s="1"/>
  <c r="E603" i="8"/>
  <c r="G603" i="8" s="1"/>
  <c r="E604" i="8"/>
  <c r="G604" i="8" s="1"/>
  <c r="E605" i="8"/>
  <c r="G605" i="8" s="1"/>
  <c r="E606" i="8"/>
  <c r="G606" i="8" s="1"/>
  <c r="E607" i="8"/>
  <c r="G607" i="8" s="1"/>
  <c r="E608" i="8"/>
  <c r="G608" i="8" s="1"/>
  <c r="E609" i="8"/>
  <c r="G609" i="8" s="1"/>
  <c r="E610" i="8"/>
  <c r="G610" i="8" s="1"/>
  <c r="E611" i="8"/>
  <c r="G611" i="8" s="1"/>
  <c r="E612" i="8"/>
  <c r="G612" i="8" s="1"/>
  <c r="E613" i="8"/>
  <c r="G613" i="8" s="1"/>
  <c r="E614" i="8"/>
  <c r="G614" i="8" s="1"/>
  <c r="E615" i="8"/>
  <c r="G615" i="8" s="1"/>
  <c r="E616" i="8"/>
  <c r="G616" i="8" s="1"/>
  <c r="E617" i="8"/>
  <c r="G617" i="8" s="1"/>
  <c r="E618" i="8"/>
  <c r="G618" i="8" s="1"/>
  <c r="E619" i="8"/>
  <c r="G619" i="8" s="1"/>
  <c r="E620" i="8"/>
  <c r="G620" i="8" s="1"/>
  <c r="E621" i="8"/>
  <c r="G621" i="8" s="1"/>
  <c r="E622" i="8"/>
  <c r="G622" i="8" s="1"/>
  <c r="E623" i="8"/>
  <c r="G623" i="8" s="1"/>
  <c r="E624" i="8"/>
  <c r="G624" i="8" s="1"/>
  <c r="E625" i="8"/>
  <c r="G625" i="8" s="1"/>
  <c r="E626" i="8"/>
  <c r="G626" i="8" s="1"/>
  <c r="E627" i="8"/>
  <c r="G627" i="8" s="1"/>
  <c r="E628" i="8"/>
  <c r="G628" i="8" s="1"/>
  <c r="E629" i="8"/>
  <c r="G629" i="8" s="1"/>
  <c r="E630" i="8"/>
  <c r="G630" i="8" s="1"/>
  <c r="E631" i="8"/>
  <c r="G631" i="8" s="1"/>
  <c r="E632" i="8"/>
  <c r="G632" i="8" s="1"/>
  <c r="E633" i="8"/>
  <c r="G633" i="8" s="1"/>
  <c r="E634" i="8"/>
  <c r="G634" i="8" s="1"/>
  <c r="E635" i="8"/>
  <c r="G635" i="8" s="1"/>
  <c r="E636" i="8"/>
  <c r="G636" i="8" s="1"/>
  <c r="E637" i="8"/>
  <c r="G637" i="8" s="1"/>
  <c r="E638" i="8"/>
  <c r="G638" i="8" s="1"/>
  <c r="E639" i="8"/>
  <c r="G639" i="8" s="1"/>
  <c r="E640" i="8"/>
  <c r="G640" i="8" s="1"/>
  <c r="E641" i="8"/>
  <c r="G641" i="8" s="1"/>
  <c r="E642" i="8"/>
  <c r="G642" i="8" s="1"/>
  <c r="E643" i="8"/>
  <c r="G643" i="8" s="1"/>
  <c r="E644" i="8"/>
  <c r="G644" i="8" s="1"/>
  <c r="E645" i="8"/>
  <c r="G645" i="8" s="1"/>
  <c r="E646" i="8"/>
  <c r="G646" i="8" s="1"/>
  <c r="E647" i="8"/>
  <c r="G647" i="8" s="1"/>
  <c r="E648" i="8"/>
  <c r="G648" i="8" s="1"/>
  <c r="E649" i="8"/>
  <c r="G649" i="8" s="1"/>
  <c r="E650" i="8"/>
  <c r="G650" i="8" s="1"/>
  <c r="E651" i="8"/>
  <c r="G651" i="8" s="1"/>
  <c r="E652" i="8"/>
  <c r="G652" i="8" s="1"/>
  <c r="E653" i="8"/>
  <c r="G653" i="8" s="1"/>
  <c r="E654" i="8"/>
  <c r="G654" i="8" s="1"/>
  <c r="E655" i="8"/>
  <c r="G655" i="8" s="1"/>
  <c r="E656" i="8"/>
  <c r="G656" i="8" s="1"/>
  <c r="E657" i="8"/>
  <c r="G657" i="8" s="1"/>
  <c r="E658" i="8"/>
  <c r="G658" i="8" s="1"/>
  <c r="E659" i="8"/>
  <c r="G659" i="8" s="1"/>
  <c r="E660" i="8"/>
  <c r="G660" i="8" s="1"/>
  <c r="E661" i="8"/>
  <c r="G661" i="8" s="1"/>
  <c r="E662" i="8"/>
  <c r="G662" i="8" s="1"/>
  <c r="E663" i="8"/>
  <c r="G663" i="8" s="1"/>
  <c r="E664" i="8"/>
  <c r="G664" i="8" s="1"/>
  <c r="E665" i="8"/>
  <c r="G665" i="8" s="1"/>
  <c r="E666" i="8"/>
  <c r="G666" i="8" s="1"/>
  <c r="E667" i="8"/>
  <c r="G667" i="8" s="1"/>
  <c r="E668" i="8"/>
  <c r="G668" i="8" s="1"/>
  <c r="E669" i="8"/>
  <c r="G669" i="8" s="1"/>
  <c r="E670" i="8"/>
  <c r="G670" i="8" s="1"/>
  <c r="E671" i="8"/>
  <c r="G671" i="8" s="1"/>
  <c r="E672" i="8"/>
  <c r="G672" i="8" s="1"/>
  <c r="E673" i="8"/>
  <c r="G673" i="8" s="1"/>
  <c r="E674" i="8"/>
  <c r="G674" i="8" s="1"/>
  <c r="E675" i="8"/>
  <c r="G675" i="8" s="1"/>
  <c r="E676" i="8"/>
  <c r="G676" i="8" s="1"/>
  <c r="E677" i="8"/>
  <c r="G677" i="8" s="1"/>
  <c r="E678" i="8"/>
  <c r="G678" i="8" s="1"/>
  <c r="E679" i="8"/>
  <c r="G679" i="8" s="1"/>
  <c r="E680" i="8"/>
  <c r="G680" i="8" s="1"/>
  <c r="E681" i="8"/>
  <c r="G681" i="8" s="1"/>
  <c r="E682" i="8"/>
  <c r="G682" i="8" s="1"/>
  <c r="E683" i="8"/>
  <c r="G683" i="8" s="1"/>
  <c r="E684" i="8"/>
  <c r="G684" i="8" s="1"/>
  <c r="E685" i="8"/>
  <c r="G685" i="8" s="1"/>
  <c r="E686" i="8"/>
  <c r="G686" i="8" s="1"/>
  <c r="E687" i="8"/>
  <c r="G687" i="8" s="1"/>
  <c r="E688" i="8"/>
  <c r="G688" i="8" s="1"/>
  <c r="E689" i="8"/>
  <c r="G689" i="8" s="1"/>
  <c r="E690" i="8"/>
  <c r="G690" i="8" s="1"/>
  <c r="E691" i="8"/>
  <c r="G691" i="8" s="1"/>
  <c r="E692" i="8"/>
  <c r="G692" i="8" s="1"/>
  <c r="E693" i="8"/>
  <c r="G693" i="8" s="1"/>
  <c r="E694" i="8"/>
  <c r="G694" i="8" s="1"/>
  <c r="E695" i="8"/>
  <c r="G695" i="8" s="1"/>
  <c r="E696" i="8"/>
  <c r="G696" i="8" s="1"/>
  <c r="E697" i="8"/>
  <c r="G697" i="8" s="1"/>
  <c r="E698" i="8"/>
  <c r="G698" i="8" s="1"/>
  <c r="E699" i="8"/>
  <c r="G699" i="8" s="1"/>
  <c r="E700" i="8"/>
  <c r="G700" i="8" s="1"/>
  <c r="E701" i="8"/>
  <c r="G701" i="8" s="1"/>
  <c r="E702" i="8"/>
  <c r="G702" i="8" s="1"/>
  <c r="E703" i="8"/>
  <c r="G703" i="8" s="1"/>
  <c r="E704" i="8"/>
  <c r="G704" i="8" s="1"/>
  <c r="E705" i="8"/>
  <c r="G705" i="8" s="1"/>
  <c r="E706" i="8"/>
  <c r="G706" i="8" s="1"/>
  <c r="E707" i="8"/>
  <c r="G707" i="8" s="1"/>
  <c r="E708" i="8"/>
  <c r="G708" i="8" s="1"/>
  <c r="E709" i="8"/>
  <c r="G709" i="8" s="1"/>
  <c r="E710" i="8"/>
  <c r="G710" i="8" s="1"/>
  <c r="E711" i="8"/>
  <c r="G711" i="8" s="1"/>
  <c r="E712" i="8"/>
  <c r="G712" i="8" s="1"/>
  <c r="E713" i="8"/>
  <c r="G713" i="8" s="1"/>
  <c r="E714" i="8"/>
  <c r="G714" i="8" s="1"/>
  <c r="E715" i="8"/>
  <c r="G715" i="8" s="1"/>
  <c r="E716" i="8"/>
  <c r="G716" i="8" s="1"/>
  <c r="E717" i="8"/>
  <c r="G717" i="8" s="1"/>
  <c r="E718" i="8"/>
  <c r="G718" i="8" s="1"/>
  <c r="E719" i="8"/>
  <c r="G719" i="8" s="1"/>
  <c r="E720" i="8"/>
  <c r="G720" i="8" s="1"/>
  <c r="E721" i="8"/>
  <c r="G721" i="8" s="1"/>
  <c r="E722" i="8"/>
  <c r="G722" i="8" s="1"/>
  <c r="E723" i="8"/>
  <c r="G723" i="8" s="1"/>
  <c r="E724" i="8"/>
  <c r="G724" i="8" s="1"/>
  <c r="E725" i="8"/>
  <c r="G725" i="8" s="1"/>
  <c r="E726" i="8"/>
  <c r="G726" i="8" s="1"/>
  <c r="E727" i="8"/>
  <c r="G727" i="8" s="1"/>
  <c r="E728" i="8"/>
  <c r="G728" i="8" s="1"/>
  <c r="E729" i="8"/>
  <c r="G729" i="8" s="1"/>
  <c r="E730" i="8"/>
  <c r="G730" i="8" s="1"/>
  <c r="E731" i="8"/>
  <c r="G731" i="8" s="1"/>
  <c r="E732" i="8"/>
  <c r="G732" i="8" s="1"/>
  <c r="E733" i="8"/>
  <c r="G733" i="8" s="1"/>
  <c r="E734" i="8"/>
  <c r="G734" i="8" s="1"/>
  <c r="E735" i="8"/>
  <c r="G735" i="8" s="1"/>
  <c r="E736" i="8"/>
  <c r="G736" i="8" s="1"/>
  <c r="E737" i="8"/>
  <c r="G737" i="8" s="1"/>
  <c r="E738" i="8"/>
  <c r="G738" i="8" s="1"/>
  <c r="E739" i="8"/>
  <c r="G739" i="8" s="1"/>
  <c r="E740" i="8"/>
  <c r="G740" i="8" s="1"/>
  <c r="E741" i="8"/>
  <c r="G741" i="8" s="1"/>
  <c r="E742" i="8"/>
  <c r="G742" i="8" s="1"/>
  <c r="E743" i="8"/>
  <c r="G743" i="8" s="1"/>
  <c r="E744" i="8"/>
  <c r="G744" i="8" s="1"/>
  <c r="E745" i="8"/>
  <c r="G745" i="8" s="1"/>
  <c r="E746" i="8"/>
  <c r="G746" i="8" s="1"/>
  <c r="E747" i="8"/>
  <c r="G747" i="8" s="1"/>
  <c r="E748" i="8"/>
  <c r="G748" i="8" s="1"/>
  <c r="E749" i="8"/>
  <c r="G749" i="8" s="1"/>
  <c r="E750" i="8"/>
  <c r="G750" i="8" s="1"/>
  <c r="E751" i="8"/>
  <c r="G751" i="8" s="1"/>
  <c r="E752" i="8"/>
  <c r="G752" i="8" s="1"/>
  <c r="E753" i="8"/>
  <c r="G753" i="8" s="1"/>
  <c r="E754" i="8"/>
  <c r="G754" i="8" s="1"/>
  <c r="E755" i="8"/>
  <c r="G755" i="8" s="1"/>
  <c r="E756" i="8"/>
  <c r="G756" i="8" s="1"/>
  <c r="E757" i="8"/>
  <c r="G757" i="8" s="1"/>
  <c r="E758" i="8"/>
  <c r="G758" i="8" s="1"/>
  <c r="E759" i="8"/>
  <c r="G759" i="8" s="1"/>
  <c r="E760" i="8"/>
  <c r="G760" i="8" s="1"/>
  <c r="E761" i="8"/>
  <c r="G761" i="8" s="1"/>
  <c r="E762" i="8"/>
  <c r="G762" i="8" s="1"/>
  <c r="E763" i="8"/>
  <c r="G763" i="8" s="1"/>
  <c r="E764" i="8"/>
  <c r="G764" i="8" s="1"/>
  <c r="E765" i="8"/>
  <c r="G765" i="8" s="1"/>
  <c r="E766" i="8"/>
  <c r="G766" i="8" s="1"/>
  <c r="E767" i="8"/>
  <c r="G767" i="8" s="1"/>
  <c r="E768" i="8"/>
  <c r="G768" i="8" s="1"/>
  <c r="E769" i="8"/>
  <c r="G769" i="8" s="1"/>
  <c r="E770" i="8"/>
  <c r="G770" i="8" s="1"/>
  <c r="E771" i="8"/>
  <c r="G771" i="8" s="1"/>
  <c r="E772" i="8"/>
  <c r="G772" i="8" s="1"/>
  <c r="E773" i="8"/>
  <c r="G773" i="8" s="1"/>
  <c r="E774" i="8"/>
  <c r="G774" i="8" s="1"/>
  <c r="E775" i="8"/>
  <c r="G775" i="8" s="1"/>
  <c r="E776" i="8"/>
  <c r="G776" i="8" s="1"/>
  <c r="E777" i="8"/>
  <c r="G777" i="8" s="1"/>
  <c r="E778" i="8"/>
  <c r="G778" i="8" s="1"/>
  <c r="E779" i="8"/>
  <c r="G779" i="8" s="1"/>
  <c r="E780" i="8"/>
  <c r="G780" i="8" s="1"/>
  <c r="E781" i="8"/>
  <c r="G781" i="8" s="1"/>
  <c r="E782" i="8"/>
  <c r="G782" i="8" s="1"/>
  <c r="E783" i="8"/>
  <c r="G783" i="8" s="1"/>
  <c r="E784" i="8"/>
  <c r="G784" i="8" s="1"/>
  <c r="E785" i="8"/>
  <c r="G785" i="8" s="1"/>
  <c r="E786" i="8"/>
  <c r="G786" i="8" s="1"/>
  <c r="E787" i="8"/>
  <c r="G787" i="8" s="1"/>
  <c r="E788" i="8"/>
  <c r="G788" i="8" s="1"/>
  <c r="E789" i="8"/>
  <c r="G789" i="8" s="1"/>
  <c r="E790" i="8"/>
  <c r="G790" i="8" s="1"/>
  <c r="E791" i="8"/>
  <c r="G791" i="8" s="1"/>
  <c r="E792" i="8"/>
  <c r="G792" i="8" s="1"/>
  <c r="E793" i="8"/>
  <c r="G793" i="8" s="1"/>
  <c r="E794" i="8"/>
  <c r="G794" i="8" s="1"/>
  <c r="E795" i="8"/>
  <c r="G795" i="8" s="1"/>
  <c r="E796" i="8"/>
  <c r="G796" i="8" s="1"/>
  <c r="E797" i="8"/>
  <c r="G797" i="8" s="1"/>
  <c r="E798" i="8"/>
  <c r="G798" i="8" s="1"/>
  <c r="E799" i="8"/>
  <c r="G799" i="8" s="1"/>
  <c r="E800" i="8"/>
  <c r="G800" i="8" s="1"/>
  <c r="E801" i="8"/>
  <c r="G801" i="8" s="1"/>
  <c r="E802" i="8"/>
  <c r="G802" i="8" s="1"/>
  <c r="E803" i="8"/>
  <c r="G803" i="8" s="1"/>
  <c r="E804" i="8"/>
  <c r="G804" i="8" s="1"/>
  <c r="E805" i="8"/>
  <c r="G805" i="8" s="1"/>
  <c r="E806" i="8"/>
  <c r="G806" i="8" s="1"/>
  <c r="E807" i="8"/>
  <c r="G807" i="8" s="1"/>
  <c r="E808" i="8"/>
  <c r="G808" i="8" s="1"/>
  <c r="E809" i="8"/>
  <c r="G809" i="8" s="1"/>
  <c r="E810" i="8"/>
  <c r="G810" i="8" s="1"/>
  <c r="E811" i="8"/>
  <c r="G811" i="8" s="1"/>
  <c r="E812" i="8"/>
  <c r="G812" i="8" s="1"/>
  <c r="E813" i="8"/>
  <c r="G813" i="8" s="1"/>
  <c r="E814" i="8"/>
  <c r="G814" i="8" s="1"/>
  <c r="E815" i="8"/>
  <c r="G815" i="8" s="1"/>
  <c r="E816" i="8"/>
  <c r="G816" i="8" s="1"/>
  <c r="E817" i="8"/>
  <c r="G817" i="8" s="1"/>
  <c r="E818" i="8"/>
  <c r="G818" i="8" s="1"/>
  <c r="E819" i="8"/>
  <c r="G819" i="8" s="1"/>
  <c r="E820" i="8"/>
  <c r="G820" i="8" s="1"/>
  <c r="E821" i="8"/>
  <c r="G821" i="8" s="1"/>
  <c r="E822" i="8"/>
  <c r="G822" i="8" s="1"/>
  <c r="E823" i="8"/>
  <c r="G823" i="8" s="1"/>
  <c r="E824" i="8"/>
  <c r="G824" i="8" s="1"/>
  <c r="E825" i="8"/>
  <c r="G825" i="8" s="1"/>
  <c r="E826" i="8"/>
  <c r="G826" i="8" s="1"/>
  <c r="E827" i="8"/>
  <c r="G827" i="8" s="1"/>
  <c r="E828" i="8"/>
  <c r="G828" i="8" s="1"/>
  <c r="E829" i="8"/>
  <c r="G829" i="8" s="1"/>
  <c r="E830" i="8"/>
  <c r="G830" i="8" s="1"/>
  <c r="E831" i="8"/>
  <c r="G831" i="8" s="1"/>
  <c r="E832" i="8"/>
  <c r="G832" i="8" s="1"/>
  <c r="E833" i="8"/>
  <c r="G833" i="8" s="1"/>
  <c r="E834" i="8"/>
  <c r="G834" i="8" s="1"/>
  <c r="E835" i="8"/>
  <c r="G835" i="8" s="1"/>
  <c r="E836" i="8"/>
  <c r="G836" i="8" s="1"/>
  <c r="E837" i="8"/>
  <c r="G837" i="8" s="1"/>
  <c r="E838" i="8"/>
  <c r="G838" i="8" s="1"/>
  <c r="E839" i="8"/>
  <c r="G839" i="8" s="1"/>
  <c r="E840" i="8"/>
  <c r="G840" i="8" s="1"/>
  <c r="E841" i="8"/>
  <c r="G841" i="8" s="1"/>
  <c r="E842" i="8"/>
  <c r="G842" i="8" s="1"/>
  <c r="E843" i="8"/>
  <c r="G843" i="8" s="1"/>
  <c r="E844" i="8"/>
  <c r="G844" i="8" s="1"/>
  <c r="E845" i="8"/>
  <c r="G845" i="8" s="1"/>
  <c r="E846" i="8"/>
  <c r="G846" i="8" s="1"/>
  <c r="E847" i="8"/>
  <c r="G847" i="8" s="1"/>
  <c r="E848" i="8"/>
  <c r="G848" i="8" s="1"/>
  <c r="E849" i="8"/>
  <c r="G849" i="8" s="1"/>
  <c r="E850" i="8"/>
  <c r="G850" i="8" s="1"/>
  <c r="E851" i="8"/>
  <c r="G851" i="8" s="1"/>
  <c r="E852" i="8"/>
  <c r="G852" i="8" s="1"/>
  <c r="E853" i="8"/>
  <c r="G853" i="8" s="1"/>
  <c r="E854" i="8"/>
  <c r="G854" i="8" s="1"/>
  <c r="E855" i="8"/>
  <c r="G855" i="8" s="1"/>
  <c r="E856" i="8"/>
  <c r="G856" i="8" s="1"/>
  <c r="E857" i="8"/>
  <c r="G857" i="8" s="1"/>
  <c r="E858" i="8"/>
  <c r="G858" i="8" s="1"/>
  <c r="E859" i="8"/>
  <c r="G859" i="8" s="1"/>
  <c r="E860" i="8"/>
  <c r="G860" i="8" s="1"/>
  <c r="E861" i="8"/>
  <c r="G861" i="8" s="1"/>
  <c r="E862" i="8"/>
  <c r="G862" i="8" s="1"/>
  <c r="E863" i="8"/>
  <c r="G863" i="8" s="1"/>
  <c r="E864" i="8"/>
  <c r="G864" i="8" s="1"/>
  <c r="E865" i="8"/>
  <c r="G865" i="8" s="1"/>
  <c r="E866" i="8"/>
  <c r="G866" i="8" s="1"/>
  <c r="E867" i="8"/>
  <c r="G867" i="8" s="1"/>
  <c r="E868" i="8"/>
  <c r="G868" i="8" s="1"/>
  <c r="E869" i="8"/>
  <c r="G869" i="8" s="1"/>
  <c r="E870" i="8"/>
  <c r="G870" i="8" s="1"/>
  <c r="E871" i="8"/>
  <c r="G871" i="8" s="1"/>
  <c r="E872" i="8"/>
  <c r="G872" i="8" s="1"/>
  <c r="E873" i="8"/>
  <c r="G873" i="8" s="1"/>
  <c r="E874" i="8"/>
  <c r="G874" i="8" s="1"/>
  <c r="E875" i="8"/>
  <c r="G875" i="8" s="1"/>
  <c r="E876" i="8"/>
  <c r="G876" i="8" s="1"/>
  <c r="E877" i="8"/>
  <c r="G877" i="8" s="1"/>
  <c r="E878" i="8"/>
  <c r="G878" i="8" s="1"/>
  <c r="E879" i="8"/>
  <c r="G879" i="8" s="1"/>
  <c r="E880" i="8"/>
  <c r="G880" i="8" s="1"/>
  <c r="E881" i="8"/>
  <c r="G881" i="8" s="1"/>
  <c r="E882" i="8"/>
  <c r="G882" i="8" s="1"/>
  <c r="E883" i="8"/>
  <c r="G883" i="8" s="1"/>
  <c r="E884" i="8"/>
  <c r="G884" i="8" s="1"/>
  <c r="E885" i="8"/>
  <c r="G885" i="8" s="1"/>
  <c r="E886" i="8"/>
  <c r="G886" i="8" s="1"/>
  <c r="E887" i="8"/>
  <c r="G887" i="8" s="1"/>
  <c r="E888" i="8"/>
  <c r="G888" i="8" s="1"/>
  <c r="E889" i="8"/>
  <c r="G889" i="8" s="1"/>
  <c r="E890" i="8"/>
  <c r="G890" i="8" s="1"/>
  <c r="E891" i="8"/>
  <c r="G891" i="8" s="1"/>
  <c r="E892" i="8"/>
  <c r="G892" i="8" s="1"/>
  <c r="E893" i="8"/>
  <c r="G893" i="8" s="1"/>
  <c r="E894" i="8"/>
  <c r="G894" i="8" s="1"/>
  <c r="E895" i="8"/>
  <c r="G895" i="8" s="1"/>
  <c r="E896" i="8"/>
  <c r="G896" i="8" s="1"/>
  <c r="E897" i="8"/>
  <c r="G897" i="8" s="1"/>
  <c r="E898" i="8"/>
  <c r="G898" i="8" s="1"/>
  <c r="E899" i="8"/>
  <c r="G899" i="8" s="1"/>
  <c r="E900" i="8"/>
  <c r="G900" i="8" s="1"/>
  <c r="E901" i="8"/>
  <c r="G901" i="8" s="1"/>
  <c r="E902" i="8"/>
  <c r="G902" i="8" s="1"/>
  <c r="E903" i="8"/>
  <c r="G903" i="8" s="1"/>
  <c r="E904" i="8"/>
  <c r="G904" i="8" s="1"/>
  <c r="E905" i="8"/>
  <c r="G905" i="8" s="1"/>
  <c r="E906" i="8"/>
  <c r="G906" i="8" s="1"/>
  <c r="E907" i="8"/>
  <c r="G907" i="8" s="1"/>
  <c r="E908" i="8"/>
  <c r="G908" i="8" s="1"/>
  <c r="E909" i="8"/>
  <c r="G909" i="8" s="1"/>
  <c r="E910" i="8"/>
  <c r="G910" i="8" s="1"/>
  <c r="E911" i="8"/>
  <c r="G911" i="8" s="1"/>
  <c r="E912" i="8"/>
  <c r="G912" i="8" s="1"/>
  <c r="E913" i="8"/>
  <c r="G913" i="8" s="1"/>
  <c r="E914" i="8"/>
  <c r="G914" i="8" s="1"/>
  <c r="E915" i="8"/>
  <c r="G915" i="8" s="1"/>
  <c r="E916" i="8"/>
  <c r="G916" i="8" s="1"/>
  <c r="E917" i="8"/>
  <c r="G917" i="8" s="1"/>
  <c r="E918" i="8"/>
  <c r="G918" i="8" s="1"/>
  <c r="E919" i="8"/>
  <c r="G919" i="8" s="1"/>
  <c r="E920" i="8"/>
  <c r="G920" i="8" s="1"/>
  <c r="E921" i="8"/>
  <c r="G921" i="8" s="1"/>
  <c r="E922" i="8"/>
  <c r="G922" i="8" s="1"/>
  <c r="E923" i="8"/>
  <c r="G923" i="8" s="1"/>
  <c r="E924" i="8"/>
  <c r="G924" i="8" s="1"/>
  <c r="E925" i="8"/>
  <c r="G925" i="8" s="1"/>
  <c r="E926" i="8"/>
  <c r="G926" i="8" s="1"/>
  <c r="E927" i="8"/>
  <c r="G927" i="8" s="1"/>
  <c r="E928" i="8"/>
  <c r="G928" i="8" s="1"/>
  <c r="E929" i="8"/>
  <c r="G929" i="8" s="1"/>
  <c r="E930" i="8"/>
  <c r="G930" i="8" s="1"/>
  <c r="E931" i="8"/>
  <c r="G931" i="8" s="1"/>
  <c r="E932" i="8"/>
  <c r="G932" i="8" s="1"/>
  <c r="E933" i="8"/>
  <c r="G933" i="8" s="1"/>
  <c r="E934" i="8"/>
  <c r="G934" i="8" s="1"/>
  <c r="E935" i="8"/>
  <c r="G935" i="8" s="1"/>
  <c r="E936" i="8"/>
  <c r="G936" i="8" s="1"/>
  <c r="E937" i="8"/>
  <c r="G937" i="8" s="1"/>
  <c r="E938" i="8"/>
  <c r="G938" i="8" s="1"/>
  <c r="E939" i="8"/>
  <c r="G939" i="8" s="1"/>
  <c r="E940" i="8"/>
  <c r="G940" i="8" s="1"/>
  <c r="E941" i="8"/>
  <c r="G941" i="8" s="1"/>
  <c r="E942" i="8"/>
  <c r="G942" i="8" s="1"/>
  <c r="E943" i="8"/>
  <c r="G943" i="8" s="1"/>
  <c r="E944" i="8"/>
  <c r="G944" i="8" s="1"/>
  <c r="E945" i="8"/>
  <c r="G945" i="8" s="1"/>
  <c r="E946" i="8"/>
  <c r="G946" i="8" s="1"/>
  <c r="E947" i="8"/>
  <c r="G947" i="8" s="1"/>
  <c r="E948" i="8"/>
  <c r="G948" i="8" s="1"/>
  <c r="E949" i="8"/>
  <c r="G949" i="8" s="1"/>
  <c r="E950" i="8"/>
  <c r="G950" i="8" s="1"/>
  <c r="E951" i="8"/>
  <c r="G951" i="8" s="1"/>
  <c r="E952" i="8"/>
  <c r="G952" i="8" s="1"/>
  <c r="E953" i="8"/>
  <c r="G953" i="8" s="1"/>
  <c r="E954" i="8"/>
  <c r="G954" i="8" s="1"/>
  <c r="E955" i="8"/>
  <c r="G955" i="8" s="1"/>
  <c r="E956" i="8"/>
  <c r="G956" i="8" s="1"/>
  <c r="E957" i="8"/>
  <c r="G957" i="8" s="1"/>
  <c r="E958" i="8"/>
  <c r="G958" i="8" s="1"/>
  <c r="E959" i="8"/>
  <c r="G959" i="8" s="1"/>
  <c r="E960" i="8"/>
  <c r="G960" i="8" s="1"/>
  <c r="E961" i="8"/>
  <c r="G961" i="8" s="1"/>
  <c r="E962" i="8"/>
  <c r="G962" i="8" s="1"/>
  <c r="E963" i="8"/>
  <c r="G963" i="8" s="1"/>
  <c r="E964" i="8"/>
  <c r="G964" i="8" s="1"/>
  <c r="E965" i="8"/>
  <c r="G965" i="8" s="1"/>
  <c r="E966" i="8"/>
  <c r="G966" i="8" s="1"/>
  <c r="E967" i="8"/>
  <c r="G967" i="8" s="1"/>
  <c r="E968" i="8"/>
  <c r="G968" i="8" s="1"/>
  <c r="E969" i="8"/>
  <c r="G969" i="8" s="1"/>
  <c r="E970" i="8"/>
  <c r="G970" i="8" s="1"/>
  <c r="E971" i="8"/>
  <c r="G971" i="8" s="1"/>
  <c r="E972" i="8"/>
  <c r="G972" i="8" s="1"/>
  <c r="E973" i="8"/>
  <c r="G973" i="8" s="1"/>
  <c r="E974" i="8"/>
  <c r="G974" i="8" s="1"/>
  <c r="E975" i="8"/>
  <c r="G975" i="8" s="1"/>
  <c r="E976" i="8"/>
  <c r="G976" i="8" s="1"/>
  <c r="E977" i="8"/>
  <c r="G977" i="8" s="1"/>
  <c r="E978" i="8"/>
  <c r="G978" i="8" s="1"/>
  <c r="E979" i="8"/>
  <c r="G979" i="8" s="1"/>
  <c r="E980" i="8"/>
  <c r="G980" i="8" s="1"/>
  <c r="E981" i="8"/>
  <c r="G981" i="8" s="1"/>
  <c r="E982" i="8"/>
  <c r="G982" i="8" s="1"/>
  <c r="E983" i="8"/>
  <c r="G983" i="8" s="1"/>
  <c r="E984" i="8"/>
  <c r="G984" i="8" s="1"/>
  <c r="E985" i="8"/>
  <c r="G985" i="8" s="1"/>
  <c r="E986" i="8"/>
  <c r="G986" i="8" s="1"/>
  <c r="E987" i="8"/>
  <c r="G987" i="8" s="1"/>
  <c r="E988" i="8"/>
  <c r="G988" i="8" s="1"/>
  <c r="E989" i="8"/>
  <c r="G989" i="8" s="1"/>
  <c r="E990" i="8"/>
  <c r="G990" i="8" s="1"/>
  <c r="E991" i="8"/>
  <c r="G991" i="8" s="1"/>
  <c r="E992" i="8"/>
  <c r="G992" i="8" s="1"/>
  <c r="E993" i="8"/>
  <c r="G993" i="8" s="1"/>
  <c r="E994" i="8"/>
  <c r="G994" i="8" s="1"/>
  <c r="E995" i="8"/>
  <c r="G995" i="8" s="1"/>
  <c r="E996" i="8"/>
  <c r="G996" i="8" s="1"/>
  <c r="E997" i="8"/>
  <c r="G997" i="8" s="1"/>
  <c r="E998" i="8"/>
  <c r="G998" i="8" s="1"/>
  <c r="E999" i="8"/>
  <c r="G999" i="8" s="1"/>
  <c r="E1000" i="8"/>
  <c r="G1000" i="8" s="1"/>
  <c r="E1001" i="8"/>
  <c r="G1001" i="8" s="1"/>
  <c r="E1002" i="8"/>
  <c r="G1002" i="8" s="1"/>
  <c r="E1003" i="8"/>
  <c r="G1003" i="8" s="1"/>
  <c r="E1004" i="8"/>
  <c r="G1004" i="8" s="1"/>
  <c r="E1005" i="8"/>
  <c r="G1005" i="8" s="1"/>
  <c r="E1006" i="8"/>
  <c r="G1006" i="8" s="1"/>
  <c r="E1007" i="8"/>
  <c r="G1007" i="8" s="1"/>
  <c r="E1008" i="8"/>
  <c r="G1008" i="8" s="1"/>
  <c r="E1009" i="8"/>
  <c r="G1009" i="8" s="1"/>
  <c r="E1010" i="8"/>
  <c r="G1010" i="8" s="1"/>
  <c r="E1011" i="8"/>
  <c r="G1011" i="8" s="1"/>
  <c r="E1012" i="8"/>
  <c r="G1012" i="8" s="1"/>
  <c r="E1013" i="8"/>
  <c r="G1013" i="8" s="1"/>
  <c r="E1014" i="8"/>
  <c r="G1014" i="8" s="1"/>
  <c r="E1015" i="8"/>
  <c r="G1015" i="8" s="1"/>
  <c r="E1016" i="8"/>
  <c r="G1016" i="8" s="1"/>
  <c r="E1017" i="8"/>
  <c r="G1017" i="8" s="1"/>
  <c r="E1018" i="8"/>
  <c r="G1018" i="8" s="1"/>
  <c r="E1019" i="8"/>
  <c r="G1019" i="8" s="1"/>
  <c r="E1020" i="8"/>
  <c r="G1020" i="8" s="1"/>
  <c r="E1021" i="8"/>
  <c r="G1021" i="8" s="1"/>
  <c r="E1022" i="8"/>
  <c r="G1022" i="8" s="1"/>
  <c r="E1023" i="8"/>
  <c r="G1023" i="8" s="1"/>
  <c r="E1024" i="8"/>
  <c r="G1024" i="8" s="1"/>
  <c r="E1025" i="8"/>
  <c r="G1025" i="8" s="1"/>
  <c r="E1026" i="8"/>
  <c r="G1026" i="8" s="1"/>
  <c r="E1027" i="8"/>
  <c r="G1027" i="8" s="1"/>
  <c r="E1028" i="8"/>
  <c r="G1028" i="8" s="1"/>
  <c r="E1029" i="8"/>
  <c r="G1029" i="8" s="1"/>
  <c r="E1030" i="8"/>
  <c r="G1030" i="8" s="1"/>
  <c r="E1031" i="8"/>
  <c r="G1031" i="8" s="1"/>
  <c r="E1032" i="8"/>
  <c r="G1032" i="8" s="1"/>
  <c r="E1033" i="8"/>
  <c r="G1033" i="8" s="1"/>
  <c r="E1034" i="8"/>
  <c r="G1034" i="8" s="1"/>
  <c r="E1035" i="8"/>
  <c r="G1035" i="8" s="1"/>
  <c r="E1036" i="8"/>
  <c r="G1036" i="8" s="1"/>
  <c r="E1037" i="8"/>
  <c r="G1037" i="8" s="1"/>
  <c r="E1038" i="8"/>
  <c r="G1038" i="8" s="1"/>
  <c r="E1039" i="8"/>
  <c r="G1039" i="8" s="1"/>
  <c r="E1040" i="8"/>
  <c r="G1040" i="8" s="1"/>
  <c r="E1041" i="8"/>
  <c r="G1041" i="8" s="1"/>
  <c r="E1042" i="8"/>
  <c r="G1042" i="8" s="1"/>
  <c r="E1043" i="8"/>
  <c r="G1043" i="8" s="1"/>
  <c r="E1044" i="8"/>
  <c r="G1044" i="8" s="1"/>
  <c r="E1045" i="8"/>
  <c r="G1045" i="8" s="1"/>
  <c r="E1046" i="8"/>
  <c r="G1046" i="8" s="1"/>
  <c r="E1047" i="8"/>
  <c r="G1047" i="8" s="1"/>
  <c r="E1048" i="8"/>
  <c r="G1048" i="8" s="1"/>
  <c r="E1049" i="8"/>
  <c r="G1049" i="8" s="1"/>
  <c r="E1050" i="8"/>
  <c r="G1050" i="8" s="1"/>
  <c r="E1051" i="8"/>
  <c r="G1051" i="8" s="1"/>
  <c r="E1052" i="8"/>
  <c r="G1052" i="8" s="1"/>
  <c r="E1053" i="8"/>
  <c r="G1053" i="8" s="1"/>
  <c r="E1054" i="8"/>
  <c r="G1054" i="8" s="1"/>
  <c r="E1055" i="8"/>
  <c r="G1055" i="8" s="1"/>
  <c r="E1056" i="8"/>
  <c r="G1056" i="8" s="1"/>
  <c r="E1057" i="8"/>
  <c r="G1057" i="8" s="1"/>
  <c r="E1058" i="8"/>
  <c r="G1058" i="8" s="1"/>
  <c r="E1059" i="8"/>
  <c r="G1059" i="8" s="1"/>
  <c r="E1060" i="8"/>
  <c r="G1060" i="8" s="1"/>
  <c r="E1061" i="8"/>
  <c r="G1061" i="8" s="1"/>
  <c r="E1062" i="8"/>
  <c r="G1062" i="8" s="1"/>
  <c r="E1063" i="8"/>
  <c r="G1063" i="8" s="1"/>
  <c r="E1064" i="8"/>
  <c r="G1064" i="8" s="1"/>
  <c r="E1065" i="8"/>
  <c r="G1065" i="8" s="1"/>
  <c r="E1066" i="8"/>
  <c r="G1066" i="8" s="1"/>
  <c r="E1067" i="8"/>
  <c r="G1067" i="8" s="1"/>
  <c r="E1068" i="8"/>
  <c r="G1068" i="8" s="1"/>
  <c r="E1069" i="8"/>
  <c r="G1069" i="8" s="1"/>
  <c r="E1070" i="8"/>
  <c r="G1070" i="8" s="1"/>
  <c r="E1071" i="8"/>
  <c r="G1071" i="8" s="1"/>
  <c r="E1072" i="8"/>
  <c r="G1072" i="8" s="1"/>
  <c r="E1073" i="8"/>
  <c r="G1073" i="8" s="1"/>
  <c r="E1074" i="8"/>
  <c r="G1074" i="8" s="1"/>
  <c r="E1075" i="8"/>
  <c r="G1075" i="8" s="1"/>
  <c r="E1076" i="8"/>
  <c r="G1076" i="8" s="1"/>
  <c r="E1077" i="8"/>
  <c r="G1077" i="8" s="1"/>
  <c r="E1078" i="8"/>
  <c r="G1078" i="8" s="1"/>
  <c r="E1079" i="8"/>
  <c r="G1079" i="8" s="1"/>
  <c r="E1080" i="8"/>
  <c r="G1080" i="8" s="1"/>
  <c r="E1081" i="8"/>
  <c r="G1081" i="8" s="1"/>
  <c r="E1082" i="8"/>
  <c r="G1082" i="8" s="1"/>
  <c r="E1083" i="8"/>
  <c r="G1083" i="8" s="1"/>
  <c r="E1084" i="8"/>
  <c r="G1084" i="8" s="1"/>
  <c r="E1085" i="8"/>
  <c r="G1085" i="8" s="1"/>
  <c r="E1086" i="8"/>
  <c r="G1086" i="8" s="1"/>
  <c r="E1087" i="8"/>
  <c r="G1087" i="8" s="1"/>
  <c r="E1088" i="8"/>
  <c r="G1088" i="8" s="1"/>
  <c r="E1089" i="8"/>
  <c r="G1089" i="8" s="1"/>
  <c r="E1090" i="8"/>
  <c r="G1090" i="8" s="1"/>
  <c r="E1091" i="8"/>
  <c r="G1091" i="8" s="1"/>
  <c r="E1092" i="8"/>
  <c r="G1092" i="8" s="1"/>
  <c r="E1093" i="8"/>
  <c r="G1093" i="8" s="1"/>
  <c r="E1094" i="8"/>
  <c r="G1094" i="8" s="1"/>
  <c r="E1095" i="8"/>
  <c r="G1095" i="8" s="1"/>
  <c r="E1096" i="8"/>
  <c r="G1096" i="8" s="1"/>
  <c r="E1097" i="8"/>
  <c r="G1097" i="8" s="1"/>
  <c r="E1098" i="8"/>
  <c r="G1098" i="8" s="1"/>
  <c r="E1099" i="8"/>
  <c r="G1099" i="8" s="1"/>
  <c r="E1100" i="8"/>
  <c r="G1100" i="8" s="1"/>
  <c r="E1101" i="8"/>
  <c r="G1101" i="8" s="1"/>
  <c r="E1102" i="8"/>
  <c r="G1102" i="8" s="1"/>
  <c r="E1103" i="8"/>
  <c r="G1103" i="8" s="1"/>
  <c r="E1104" i="8"/>
  <c r="G1104" i="8" s="1"/>
  <c r="E1105" i="8"/>
  <c r="G1105" i="8" s="1"/>
  <c r="E1106" i="8"/>
  <c r="G1106" i="8" s="1"/>
  <c r="E1107" i="8"/>
  <c r="G1107" i="8" s="1"/>
  <c r="E1108" i="8"/>
  <c r="G1108" i="8" s="1"/>
  <c r="E1109" i="8"/>
  <c r="G1109" i="8" s="1"/>
  <c r="E1110" i="8"/>
  <c r="G1110" i="8" s="1"/>
  <c r="E1111" i="8"/>
  <c r="G1111" i="8" s="1"/>
  <c r="E1112" i="8"/>
  <c r="G1112" i="8" s="1"/>
  <c r="E1113" i="8"/>
  <c r="G1113" i="8" s="1"/>
  <c r="E1114" i="8"/>
  <c r="G1114" i="8" s="1"/>
  <c r="E1115" i="8"/>
  <c r="G1115" i="8" s="1"/>
  <c r="E1116" i="8"/>
  <c r="G1116" i="8" s="1"/>
  <c r="E1117" i="8"/>
  <c r="G1117" i="8" s="1"/>
  <c r="E1118" i="8"/>
  <c r="G1118" i="8" s="1"/>
  <c r="E1119" i="8"/>
  <c r="G1119" i="8" s="1"/>
  <c r="E1120" i="8"/>
  <c r="G1120" i="8" s="1"/>
  <c r="E1121" i="8"/>
  <c r="G1121" i="8" s="1"/>
  <c r="E1122" i="8"/>
  <c r="G1122" i="8" s="1"/>
  <c r="E1123" i="8"/>
  <c r="G1123" i="8" s="1"/>
  <c r="E1124" i="8"/>
  <c r="G1124" i="8" s="1"/>
  <c r="E1125" i="8"/>
  <c r="G1125" i="8" s="1"/>
  <c r="E1126" i="8"/>
  <c r="G1126" i="8" s="1"/>
  <c r="E1127" i="8"/>
  <c r="G1127" i="8" s="1"/>
  <c r="E1128" i="8"/>
  <c r="G1128" i="8" s="1"/>
  <c r="E1129" i="8"/>
  <c r="G1129" i="8" s="1"/>
  <c r="E1130" i="8"/>
  <c r="G1130" i="8" s="1"/>
  <c r="E1131" i="8"/>
  <c r="G1131" i="8" s="1"/>
  <c r="E1132" i="8"/>
  <c r="G1132" i="8" s="1"/>
  <c r="E1133" i="8"/>
  <c r="G1133" i="8" s="1"/>
  <c r="E1134" i="8"/>
  <c r="G1134" i="8" s="1"/>
  <c r="E1135" i="8"/>
  <c r="G1135" i="8" s="1"/>
  <c r="E1136" i="8"/>
  <c r="G1136" i="8" s="1"/>
  <c r="E1137" i="8"/>
  <c r="G1137" i="8" s="1"/>
  <c r="E1138" i="8"/>
  <c r="G1138" i="8" s="1"/>
  <c r="E1139" i="8"/>
  <c r="G1139" i="8" s="1"/>
  <c r="E1140" i="8"/>
  <c r="G1140" i="8" s="1"/>
  <c r="E1141" i="8"/>
  <c r="G1141" i="8" s="1"/>
  <c r="E1142" i="8"/>
  <c r="G1142" i="8" s="1"/>
  <c r="E1143" i="8"/>
  <c r="G1143" i="8" s="1"/>
  <c r="E1144" i="8"/>
  <c r="G1144" i="8" s="1"/>
  <c r="E1145" i="8"/>
  <c r="G1145" i="8" s="1"/>
  <c r="E1146" i="8"/>
  <c r="G1146" i="8" s="1"/>
  <c r="E1147" i="8"/>
  <c r="G1147" i="8" s="1"/>
  <c r="E1148" i="8"/>
  <c r="G1148" i="8" s="1"/>
  <c r="E1149" i="8"/>
  <c r="G1149" i="8" s="1"/>
  <c r="E1150" i="8"/>
  <c r="G1150" i="8" s="1"/>
  <c r="E1151" i="8"/>
  <c r="G1151" i="8" s="1"/>
  <c r="E1152" i="8"/>
  <c r="G1152" i="8" s="1"/>
  <c r="E1153" i="8"/>
  <c r="G1153" i="8" s="1"/>
  <c r="E1154" i="8"/>
  <c r="G1154" i="8" s="1"/>
  <c r="E1155" i="8"/>
  <c r="G1155" i="8" s="1"/>
  <c r="E1156" i="8"/>
  <c r="G1156" i="8" s="1"/>
  <c r="E1157" i="8"/>
  <c r="G1157" i="8" s="1"/>
  <c r="E1158" i="8"/>
  <c r="G1158" i="8" s="1"/>
  <c r="E1159" i="8"/>
  <c r="G1159" i="8" s="1"/>
  <c r="E1160" i="8"/>
  <c r="G1160" i="8" s="1"/>
  <c r="E1161" i="8"/>
  <c r="G1161" i="8" s="1"/>
  <c r="E1162" i="8"/>
  <c r="G1162" i="8" s="1"/>
  <c r="E1163" i="8"/>
  <c r="G1163" i="8" s="1"/>
  <c r="E1164" i="8"/>
  <c r="G1164" i="8" s="1"/>
  <c r="E1165" i="8"/>
  <c r="G1165" i="8" s="1"/>
  <c r="E1166" i="8"/>
  <c r="G1166" i="8" s="1"/>
  <c r="E1167" i="8"/>
  <c r="G1167" i="8" s="1"/>
  <c r="E1168" i="8"/>
  <c r="G1168" i="8" s="1"/>
  <c r="E1169" i="8"/>
  <c r="G1169" i="8" s="1"/>
  <c r="E1170" i="8"/>
  <c r="G1170" i="8" s="1"/>
  <c r="E1171" i="8"/>
  <c r="G1171" i="8" s="1"/>
  <c r="E1172" i="8"/>
  <c r="G1172" i="8" s="1"/>
  <c r="E1173" i="8"/>
  <c r="G1173" i="8" s="1"/>
  <c r="E1174" i="8"/>
  <c r="G1174" i="8" s="1"/>
  <c r="E1175" i="8"/>
  <c r="G1175" i="8" s="1"/>
  <c r="E1176" i="8"/>
  <c r="G1176" i="8" s="1"/>
  <c r="E1177" i="8"/>
  <c r="G1177" i="8" s="1"/>
  <c r="E1178" i="8"/>
  <c r="G1178" i="8" s="1"/>
  <c r="E1179" i="8"/>
  <c r="G1179" i="8" s="1"/>
  <c r="E1180" i="8"/>
  <c r="G1180" i="8" s="1"/>
  <c r="E1181" i="8"/>
  <c r="G1181" i="8" s="1"/>
  <c r="E1182" i="8"/>
  <c r="G1182" i="8" s="1"/>
  <c r="E1183" i="8"/>
  <c r="G1183" i="8" s="1"/>
  <c r="E1184" i="8"/>
  <c r="G1184" i="8" s="1"/>
  <c r="E1185" i="8"/>
  <c r="G1185" i="8" s="1"/>
  <c r="E1186" i="8"/>
  <c r="G1186" i="8" s="1"/>
  <c r="E1187" i="8"/>
  <c r="G1187" i="8" s="1"/>
  <c r="E1188" i="8"/>
  <c r="G1188" i="8" s="1"/>
  <c r="E1189" i="8"/>
  <c r="G1189" i="8" s="1"/>
  <c r="E1190" i="8"/>
  <c r="G1190" i="8" s="1"/>
  <c r="E1191" i="8"/>
  <c r="G1191" i="8" s="1"/>
  <c r="E1192" i="8"/>
  <c r="G1192" i="8" s="1"/>
  <c r="E1193" i="8"/>
  <c r="G1193" i="8" s="1"/>
  <c r="E1194" i="8"/>
  <c r="G1194" i="8" s="1"/>
  <c r="E1195" i="8"/>
  <c r="G1195" i="8" s="1"/>
  <c r="E1196" i="8"/>
  <c r="G1196" i="8" s="1"/>
  <c r="E1197" i="8"/>
  <c r="G1197" i="8" s="1"/>
  <c r="E1198" i="8"/>
  <c r="G1198" i="8" s="1"/>
  <c r="E1199" i="8"/>
  <c r="G1199" i="8" s="1"/>
  <c r="E1200" i="8"/>
  <c r="G1200" i="8" s="1"/>
  <c r="E1201" i="8"/>
  <c r="G1201" i="8" s="1"/>
  <c r="E1202" i="8"/>
  <c r="G1202" i="8" s="1"/>
  <c r="E1203" i="8"/>
  <c r="G1203" i="8" s="1"/>
  <c r="E1204" i="8"/>
  <c r="G1204" i="8" s="1"/>
  <c r="E1205" i="8"/>
  <c r="G1205" i="8" s="1"/>
  <c r="E1206" i="8"/>
  <c r="G1206" i="8" s="1"/>
  <c r="E1207" i="8"/>
  <c r="G1207" i="8" s="1"/>
  <c r="E1208" i="8"/>
  <c r="G1208" i="8" s="1"/>
  <c r="E1209" i="8"/>
  <c r="G1209" i="8" s="1"/>
  <c r="E1210" i="8"/>
  <c r="G1210" i="8" s="1"/>
  <c r="E1211" i="8"/>
  <c r="G1211" i="8" s="1"/>
  <c r="E1212" i="8"/>
  <c r="G1212" i="8" s="1"/>
  <c r="E1213" i="8"/>
  <c r="G1213" i="8" s="1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62" i="8"/>
  <c r="A63" i="8"/>
  <c r="H1205" i="8" l="1"/>
  <c r="F1205" i="8"/>
  <c r="H1189" i="8"/>
  <c r="F1189" i="8"/>
  <c r="H1173" i="8"/>
  <c r="F1173" i="8"/>
  <c r="H1157" i="8"/>
  <c r="F1157" i="8"/>
  <c r="H1141" i="8"/>
  <c r="F1141" i="8"/>
  <c r="H1125" i="8"/>
  <c r="F1125" i="8"/>
  <c r="H1109" i="8"/>
  <c r="F1109" i="8"/>
  <c r="H1093" i="8"/>
  <c r="F1093" i="8"/>
  <c r="H1077" i="8"/>
  <c r="F1077" i="8"/>
  <c r="H1061" i="8"/>
  <c r="F1061" i="8"/>
  <c r="H1045" i="8"/>
  <c r="F1045" i="8"/>
  <c r="H1029" i="8"/>
  <c r="F1029" i="8"/>
  <c r="H1013" i="8"/>
  <c r="F1013" i="8"/>
  <c r="H997" i="8"/>
  <c r="F997" i="8"/>
  <c r="H981" i="8"/>
  <c r="F981" i="8"/>
  <c r="H965" i="8"/>
  <c r="F965" i="8"/>
  <c r="H949" i="8"/>
  <c r="F949" i="8"/>
  <c r="H933" i="8"/>
  <c r="F933" i="8"/>
  <c r="H917" i="8"/>
  <c r="F917" i="8"/>
  <c r="H901" i="8"/>
  <c r="F901" i="8"/>
  <c r="H885" i="8"/>
  <c r="F885" i="8"/>
  <c r="H869" i="8"/>
  <c r="F869" i="8"/>
  <c r="H853" i="8"/>
  <c r="F853" i="8"/>
  <c r="H837" i="8"/>
  <c r="F837" i="8"/>
  <c r="H821" i="8"/>
  <c r="F821" i="8"/>
  <c r="H805" i="8"/>
  <c r="F805" i="8"/>
  <c r="H789" i="8"/>
  <c r="F789" i="8"/>
  <c r="H773" i="8"/>
  <c r="F773" i="8"/>
  <c r="H757" i="8"/>
  <c r="F757" i="8"/>
  <c r="H741" i="8"/>
  <c r="F741" i="8"/>
  <c r="H725" i="8"/>
  <c r="F725" i="8"/>
  <c r="H709" i="8"/>
  <c r="F709" i="8"/>
  <c r="H693" i="8"/>
  <c r="F693" i="8"/>
  <c r="H677" i="8"/>
  <c r="F677" i="8"/>
  <c r="H661" i="8"/>
  <c r="F661" i="8"/>
  <c r="H645" i="8"/>
  <c r="F645" i="8"/>
  <c r="H629" i="8"/>
  <c r="F629" i="8"/>
  <c r="H613" i="8"/>
  <c r="F613" i="8"/>
  <c r="H597" i="8"/>
  <c r="F597" i="8"/>
  <c r="H581" i="8"/>
  <c r="F581" i="8"/>
  <c r="H565" i="8"/>
  <c r="F565" i="8"/>
  <c r="H549" i="8"/>
  <c r="F549" i="8"/>
  <c r="H533" i="8"/>
  <c r="F533" i="8"/>
  <c r="H517" i="8"/>
  <c r="F517" i="8"/>
  <c r="H501" i="8"/>
  <c r="F501" i="8"/>
  <c r="H485" i="8"/>
  <c r="F485" i="8"/>
  <c r="H469" i="8"/>
  <c r="F469" i="8"/>
  <c r="H453" i="8"/>
  <c r="F453" i="8"/>
  <c r="H437" i="8"/>
  <c r="F437" i="8"/>
  <c r="H421" i="8"/>
  <c r="F421" i="8"/>
  <c r="H405" i="8"/>
  <c r="F405" i="8"/>
  <c r="H389" i="8"/>
  <c r="F389" i="8"/>
  <c r="H373" i="8"/>
  <c r="F373" i="8"/>
  <c r="H357" i="8"/>
  <c r="F357" i="8"/>
  <c r="H341" i="8"/>
  <c r="F341" i="8"/>
  <c r="H325" i="8"/>
  <c r="F325" i="8"/>
  <c r="H309" i="8"/>
  <c r="F309" i="8"/>
  <c r="H293" i="8"/>
  <c r="F293" i="8"/>
  <c r="H277" i="8"/>
  <c r="F277" i="8"/>
  <c r="H261" i="8"/>
  <c r="F261" i="8"/>
  <c r="H245" i="8"/>
  <c r="F245" i="8"/>
  <c r="H229" i="8"/>
  <c r="F229" i="8"/>
  <c r="H213" i="8"/>
  <c r="F213" i="8"/>
  <c r="H197" i="8"/>
  <c r="F197" i="8"/>
  <c r="H181" i="8"/>
  <c r="F181" i="8"/>
  <c r="H165" i="8"/>
  <c r="F165" i="8"/>
  <c r="H149" i="8"/>
  <c r="F149" i="8"/>
  <c r="H133" i="8"/>
  <c r="F133" i="8"/>
  <c r="H117" i="8"/>
  <c r="F117" i="8"/>
  <c r="H101" i="8"/>
  <c r="F101" i="8"/>
  <c r="H85" i="8"/>
  <c r="F85" i="8"/>
  <c r="H69" i="8"/>
  <c r="F69" i="8"/>
  <c r="H53" i="8"/>
  <c r="F53" i="8"/>
  <c r="H37" i="8"/>
  <c r="F37" i="8"/>
  <c r="H21" i="8"/>
  <c r="F21" i="8"/>
  <c r="H5" i="8"/>
  <c r="F5" i="8"/>
  <c r="H1204" i="8"/>
  <c r="F1204" i="8"/>
  <c r="H1188" i="8"/>
  <c r="F1188" i="8"/>
  <c r="H1172" i="8"/>
  <c r="F1172" i="8"/>
  <c r="H1156" i="8"/>
  <c r="F1156" i="8"/>
  <c r="H1140" i="8"/>
  <c r="F1140" i="8"/>
  <c r="H1124" i="8"/>
  <c r="F1124" i="8"/>
  <c r="H1108" i="8"/>
  <c r="F1108" i="8"/>
  <c r="H1092" i="8"/>
  <c r="F1092" i="8"/>
  <c r="H1076" i="8"/>
  <c r="F1076" i="8"/>
  <c r="H1060" i="8"/>
  <c r="F1060" i="8"/>
  <c r="H1044" i="8"/>
  <c r="F1044" i="8"/>
  <c r="H1028" i="8"/>
  <c r="F1028" i="8"/>
  <c r="H1012" i="8"/>
  <c r="F1012" i="8"/>
  <c r="H996" i="8"/>
  <c r="F996" i="8"/>
  <c r="H980" i="8"/>
  <c r="F980" i="8"/>
  <c r="H964" i="8"/>
  <c r="F964" i="8"/>
  <c r="H948" i="8"/>
  <c r="F948" i="8"/>
  <c r="H932" i="8"/>
  <c r="F932" i="8"/>
  <c r="H916" i="8"/>
  <c r="F916" i="8"/>
  <c r="H900" i="8"/>
  <c r="F900" i="8"/>
  <c r="H884" i="8"/>
  <c r="F884" i="8"/>
  <c r="H868" i="8"/>
  <c r="F868" i="8"/>
  <c r="H852" i="8"/>
  <c r="F852" i="8"/>
  <c r="H836" i="8"/>
  <c r="F836" i="8"/>
  <c r="H820" i="8"/>
  <c r="F820" i="8"/>
  <c r="H804" i="8"/>
  <c r="F804" i="8"/>
  <c r="H788" i="8"/>
  <c r="F788" i="8"/>
  <c r="H772" i="8"/>
  <c r="F772" i="8"/>
  <c r="H756" i="8"/>
  <c r="F756" i="8"/>
  <c r="H740" i="8"/>
  <c r="F740" i="8"/>
  <c r="H724" i="8"/>
  <c r="F724" i="8"/>
  <c r="H708" i="8"/>
  <c r="F708" i="8"/>
  <c r="H692" i="8"/>
  <c r="F692" i="8"/>
  <c r="H676" i="8"/>
  <c r="F676" i="8"/>
  <c r="H660" i="8"/>
  <c r="F660" i="8"/>
  <c r="H644" i="8"/>
  <c r="F644" i="8"/>
  <c r="H628" i="8"/>
  <c r="F628" i="8"/>
  <c r="H612" i="8"/>
  <c r="F612" i="8"/>
  <c r="H596" i="8"/>
  <c r="F596" i="8"/>
  <c r="H580" i="8"/>
  <c r="F580" i="8"/>
  <c r="H564" i="8"/>
  <c r="F564" i="8"/>
  <c r="H548" i="8"/>
  <c r="F548" i="8"/>
  <c r="H532" i="8"/>
  <c r="F532" i="8"/>
  <c r="H516" i="8"/>
  <c r="F516" i="8"/>
  <c r="H500" i="8"/>
  <c r="F500" i="8"/>
  <c r="H484" i="8"/>
  <c r="F484" i="8"/>
  <c r="H468" i="8"/>
  <c r="F468" i="8"/>
  <c r="H452" i="8"/>
  <c r="F452" i="8"/>
  <c r="H436" i="8"/>
  <c r="F436" i="8"/>
  <c r="H420" i="8"/>
  <c r="F420" i="8"/>
  <c r="H404" i="8"/>
  <c r="F404" i="8"/>
  <c r="H388" i="8"/>
  <c r="F388" i="8"/>
  <c r="H372" i="8"/>
  <c r="F372" i="8"/>
  <c r="H356" i="8"/>
  <c r="F356" i="8"/>
  <c r="H340" i="8"/>
  <c r="F340" i="8"/>
  <c r="H324" i="8"/>
  <c r="F324" i="8"/>
  <c r="H308" i="8"/>
  <c r="F308" i="8"/>
  <c r="H292" i="8"/>
  <c r="F292" i="8"/>
  <c r="H276" i="8"/>
  <c r="F276" i="8"/>
  <c r="H260" i="8"/>
  <c r="F260" i="8"/>
  <c r="H244" i="8"/>
  <c r="F244" i="8"/>
  <c r="H228" i="8"/>
  <c r="F228" i="8"/>
  <c r="H212" i="8"/>
  <c r="F212" i="8"/>
  <c r="H196" i="8"/>
  <c r="F196" i="8"/>
  <c r="H180" i="8"/>
  <c r="F180" i="8"/>
  <c r="H164" i="8"/>
  <c r="F164" i="8"/>
  <c r="H148" i="8"/>
  <c r="F148" i="8"/>
  <c r="H132" i="8"/>
  <c r="F132" i="8"/>
  <c r="H116" i="8"/>
  <c r="F116" i="8"/>
  <c r="H100" i="8"/>
  <c r="F100" i="8"/>
  <c r="H84" i="8"/>
  <c r="F84" i="8"/>
  <c r="H68" i="8"/>
  <c r="F68" i="8"/>
  <c r="H52" i="8"/>
  <c r="F52" i="8"/>
  <c r="H36" i="8"/>
  <c r="F36" i="8"/>
  <c r="H20" i="8"/>
  <c r="F20" i="8"/>
  <c r="H4" i="8"/>
  <c r="F4" i="8"/>
  <c r="H1203" i="8"/>
  <c r="F1203" i="8"/>
  <c r="H1187" i="8"/>
  <c r="F1187" i="8"/>
  <c r="H1171" i="8"/>
  <c r="F1171" i="8"/>
  <c r="H1155" i="8"/>
  <c r="F1155" i="8"/>
  <c r="H1139" i="8"/>
  <c r="F1139" i="8"/>
  <c r="H1123" i="8"/>
  <c r="F1123" i="8"/>
  <c r="H1107" i="8"/>
  <c r="F1107" i="8"/>
  <c r="H1091" i="8"/>
  <c r="F1091" i="8"/>
  <c r="H1075" i="8"/>
  <c r="F1075" i="8"/>
  <c r="H1059" i="8"/>
  <c r="F1059" i="8"/>
  <c r="H1043" i="8"/>
  <c r="F1043" i="8"/>
  <c r="H1027" i="8"/>
  <c r="F1027" i="8"/>
  <c r="H1011" i="8"/>
  <c r="F1011" i="8"/>
  <c r="H995" i="8"/>
  <c r="F995" i="8"/>
  <c r="H979" i="8"/>
  <c r="F979" i="8"/>
  <c r="H963" i="8"/>
  <c r="F963" i="8"/>
  <c r="H947" i="8"/>
  <c r="F947" i="8"/>
  <c r="H931" i="8"/>
  <c r="F931" i="8"/>
  <c r="H915" i="8"/>
  <c r="F915" i="8"/>
  <c r="H899" i="8"/>
  <c r="F899" i="8"/>
  <c r="H883" i="8"/>
  <c r="F883" i="8"/>
  <c r="H867" i="8"/>
  <c r="F867" i="8"/>
  <c r="H851" i="8"/>
  <c r="F851" i="8"/>
  <c r="H835" i="8"/>
  <c r="F835" i="8"/>
  <c r="H819" i="8"/>
  <c r="F819" i="8"/>
  <c r="H803" i="8"/>
  <c r="F803" i="8"/>
  <c r="H787" i="8"/>
  <c r="F787" i="8"/>
  <c r="H771" i="8"/>
  <c r="F771" i="8"/>
  <c r="H755" i="8"/>
  <c r="F755" i="8"/>
  <c r="H739" i="8"/>
  <c r="F739" i="8"/>
  <c r="H723" i="8"/>
  <c r="F723" i="8"/>
  <c r="H707" i="8"/>
  <c r="F707" i="8"/>
  <c r="H691" i="8"/>
  <c r="F691" i="8"/>
  <c r="H675" i="8"/>
  <c r="F675" i="8"/>
  <c r="H659" i="8"/>
  <c r="F659" i="8"/>
  <c r="H643" i="8"/>
  <c r="F643" i="8"/>
  <c r="H627" i="8"/>
  <c r="F627" i="8"/>
  <c r="H611" i="8"/>
  <c r="F611" i="8"/>
  <c r="H595" i="8"/>
  <c r="F595" i="8"/>
  <c r="H579" i="8"/>
  <c r="F579" i="8"/>
  <c r="H563" i="8"/>
  <c r="F563" i="8"/>
  <c r="H547" i="8"/>
  <c r="F547" i="8"/>
  <c r="H531" i="8"/>
  <c r="F531" i="8"/>
  <c r="H515" i="8"/>
  <c r="F515" i="8"/>
  <c r="H499" i="8"/>
  <c r="F499" i="8"/>
  <c r="H483" i="8"/>
  <c r="F483" i="8"/>
  <c r="H467" i="8"/>
  <c r="F467" i="8"/>
  <c r="H451" i="8"/>
  <c r="F451" i="8"/>
  <c r="H435" i="8"/>
  <c r="F435" i="8"/>
  <c r="H419" i="8"/>
  <c r="F419" i="8"/>
  <c r="H403" i="8"/>
  <c r="F403" i="8"/>
  <c r="H387" i="8"/>
  <c r="F387" i="8"/>
  <c r="H371" i="8"/>
  <c r="F371" i="8"/>
  <c r="H355" i="8"/>
  <c r="F355" i="8"/>
  <c r="H339" i="8"/>
  <c r="F339" i="8"/>
  <c r="H323" i="8"/>
  <c r="F323" i="8"/>
  <c r="H307" i="8"/>
  <c r="F307" i="8"/>
  <c r="H291" i="8"/>
  <c r="F291" i="8"/>
  <c r="H275" i="8"/>
  <c r="F275" i="8"/>
  <c r="H259" i="8"/>
  <c r="F259" i="8"/>
  <c r="H243" i="8"/>
  <c r="F243" i="8"/>
  <c r="H227" i="8"/>
  <c r="F227" i="8"/>
  <c r="H211" i="8"/>
  <c r="F211" i="8"/>
  <c r="H195" i="8"/>
  <c r="F195" i="8"/>
  <c r="H179" i="8"/>
  <c r="F179" i="8"/>
  <c r="H163" i="8"/>
  <c r="F163" i="8"/>
  <c r="H147" i="8"/>
  <c r="F147" i="8"/>
  <c r="H131" i="8"/>
  <c r="F131" i="8"/>
  <c r="H115" i="8"/>
  <c r="F115" i="8"/>
  <c r="H99" i="8"/>
  <c r="F99" i="8"/>
  <c r="H83" i="8"/>
  <c r="F83" i="8"/>
  <c r="H67" i="8"/>
  <c r="F67" i="8"/>
  <c r="H51" i="8"/>
  <c r="F51" i="8"/>
  <c r="H35" i="8"/>
  <c r="F35" i="8"/>
  <c r="H19" i="8"/>
  <c r="F19" i="8"/>
  <c r="H3" i="8"/>
  <c r="F3" i="8"/>
  <c r="H1202" i="8"/>
  <c r="F1202" i="8"/>
  <c r="H1186" i="8"/>
  <c r="F1186" i="8"/>
  <c r="H1170" i="8"/>
  <c r="F1170" i="8"/>
  <c r="H1154" i="8"/>
  <c r="F1154" i="8"/>
  <c r="H1138" i="8"/>
  <c r="F1138" i="8"/>
  <c r="H1122" i="8"/>
  <c r="F1122" i="8"/>
  <c r="H1106" i="8"/>
  <c r="F1106" i="8"/>
  <c r="H1090" i="8"/>
  <c r="F1090" i="8"/>
  <c r="H1074" i="8"/>
  <c r="F1074" i="8"/>
  <c r="H1058" i="8"/>
  <c r="F1058" i="8"/>
  <c r="H1042" i="8"/>
  <c r="F1042" i="8"/>
  <c r="H1026" i="8"/>
  <c r="F1026" i="8"/>
  <c r="H1010" i="8"/>
  <c r="F1010" i="8"/>
  <c r="H994" i="8"/>
  <c r="F994" i="8"/>
  <c r="H978" i="8"/>
  <c r="F978" i="8"/>
  <c r="H962" i="8"/>
  <c r="F962" i="8"/>
  <c r="H946" i="8"/>
  <c r="F946" i="8"/>
  <c r="H930" i="8"/>
  <c r="F930" i="8"/>
  <c r="H914" i="8"/>
  <c r="F914" i="8"/>
  <c r="H898" i="8"/>
  <c r="F898" i="8"/>
  <c r="H882" i="8"/>
  <c r="F882" i="8"/>
  <c r="H866" i="8"/>
  <c r="F866" i="8"/>
  <c r="H850" i="8"/>
  <c r="F850" i="8"/>
  <c r="H834" i="8"/>
  <c r="F834" i="8"/>
  <c r="H818" i="8"/>
  <c r="F818" i="8"/>
  <c r="H802" i="8"/>
  <c r="F802" i="8"/>
  <c r="H786" i="8"/>
  <c r="F786" i="8"/>
  <c r="H770" i="8"/>
  <c r="F770" i="8"/>
  <c r="H754" i="8"/>
  <c r="F754" i="8"/>
  <c r="H738" i="8"/>
  <c r="F738" i="8"/>
  <c r="H722" i="8"/>
  <c r="F722" i="8"/>
  <c r="H706" i="8"/>
  <c r="F706" i="8"/>
  <c r="H690" i="8"/>
  <c r="F690" i="8"/>
  <c r="H674" i="8"/>
  <c r="F674" i="8"/>
  <c r="H658" i="8"/>
  <c r="F658" i="8"/>
  <c r="H642" i="8"/>
  <c r="F642" i="8"/>
  <c r="H626" i="8"/>
  <c r="F626" i="8"/>
  <c r="H610" i="8"/>
  <c r="F610" i="8"/>
  <c r="H594" i="8"/>
  <c r="F594" i="8"/>
  <c r="H578" i="8"/>
  <c r="F578" i="8"/>
  <c r="H562" i="8"/>
  <c r="F562" i="8"/>
  <c r="H546" i="8"/>
  <c r="F546" i="8"/>
  <c r="H530" i="8"/>
  <c r="F530" i="8"/>
  <c r="H514" i="8"/>
  <c r="F514" i="8"/>
  <c r="H498" i="8"/>
  <c r="F498" i="8"/>
  <c r="H482" i="8"/>
  <c r="F482" i="8"/>
  <c r="H466" i="8"/>
  <c r="F466" i="8"/>
  <c r="H450" i="8"/>
  <c r="F450" i="8"/>
  <c r="H434" i="8"/>
  <c r="F434" i="8"/>
  <c r="H418" i="8"/>
  <c r="F418" i="8"/>
  <c r="H402" i="8"/>
  <c r="F402" i="8"/>
  <c r="H386" i="8"/>
  <c r="F386" i="8"/>
  <c r="H370" i="8"/>
  <c r="F370" i="8"/>
  <c r="H354" i="8"/>
  <c r="F354" i="8"/>
  <c r="H338" i="8"/>
  <c r="F338" i="8"/>
  <c r="H322" i="8"/>
  <c r="F322" i="8"/>
  <c r="H306" i="8"/>
  <c r="F306" i="8"/>
  <c r="H290" i="8"/>
  <c r="F290" i="8"/>
  <c r="H274" i="8"/>
  <c r="F274" i="8"/>
  <c r="H258" i="8"/>
  <c r="F258" i="8"/>
  <c r="H242" i="8"/>
  <c r="F242" i="8"/>
  <c r="H226" i="8"/>
  <c r="F226" i="8"/>
  <c r="H210" i="8"/>
  <c r="F210" i="8"/>
  <c r="H194" i="8"/>
  <c r="F194" i="8"/>
  <c r="H178" i="8"/>
  <c r="F178" i="8"/>
  <c r="H162" i="8"/>
  <c r="F162" i="8"/>
  <c r="H146" i="8"/>
  <c r="F146" i="8"/>
  <c r="H130" i="8"/>
  <c r="F130" i="8"/>
  <c r="H114" i="8"/>
  <c r="F114" i="8"/>
  <c r="H98" i="8"/>
  <c r="F98" i="8"/>
  <c r="H82" i="8"/>
  <c r="F82" i="8"/>
  <c r="H66" i="8"/>
  <c r="F66" i="8"/>
  <c r="H50" i="8"/>
  <c r="F50" i="8"/>
  <c r="H34" i="8"/>
  <c r="F34" i="8"/>
  <c r="H18" i="8"/>
  <c r="F18" i="8"/>
  <c r="H2" i="8"/>
  <c r="F2" i="8"/>
  <c r="H1201" i="8"/>
  <c r="F1201" i="8"/>
  <c r="H1185" i="8"/>
  <c r="F1185" i="8"/>
  <c r="H1169" i="8"/>
  <c r="F1169" i="8"/>
  <c r="H1153" i="8"/>
  <c r="F1153" i="8"/>
  <c r="H1137" i="8"/>
  <c r="F1137" i="8"/>
  <c r="H1121" i="8"/>
  <c r="F1121" i="8"/>
  <c r="H1105" i="8"/>
  <c r="F1105" i="8"/>
  <c r="H1089" i="8"/>
  <c r="F1089" i="8"/>
  <c r="H1073" i="8"/>
  <c r="F1073" i="8"/>
  <c r="H1057" i="8"/>
  <c r="F1057" i="8"/>
  <c r="H1041" i="8"/>
  <c r="F1041" i="8"/>
  <c r="H1025" i="8"/>
  <c r="F1025" i="8"/>
  <c r="H1009" i="8"/>
  <c r="F1009" i="8"/>
  <c r="H993" i="8"/>
  <c r="F993" i="8"/>
  <c r="H977" i="8"/>
  <c r="F977" i="8"/>
  <c r="H961" i="8"/>
  <c r="F961" i="8"/>
  <c r="H945" i="8"/>
  <c r="F945" i="8"/>
  <c r="H929" i="8"/>
  <c r="F929" i="8"/>
  <c r="H913" i="8"/>
  <c r="F913" i="8"/>
  <c r="H897" i="8"/>
  <c r="F897" i="8"/>
  <c r="H881" i="8"/>
  <c r="F881" i="8"/>
  <c r="H865" i="8"/>
  <c r="F865" i="8"/>
  <c r="H849" i="8"/>
  <c r="F849" i="8"/>
  <c r="H833" i="8"/>
  <c r="F833" i="8"/>
  <c r="H817" i="8"/>
  <c r="F817" i="8"/>
  <c r="H801" i="8"/>
  <c r="F801" i="8"/>
  <c r="H785" i="8"/>
  <c r="F785" i="8"/>
  <c r="H769" i="8"/>
  <c r="F769" i="8"/>
  <c r="H753" i="8"/>
  <c r="F753" i="8"/>
  <c r="H737" i="8"/>
  <c r="F737" i="8"/>
  <c r="H721" i="8"/>
  <c r="F721" i="8"/>
  <c r="H705" i="8"/>
  <c r="F705" i="8"/>
  <c r="H689" i="8"/>
  <c r="F689" i="8"/>
  <c r="H673" i="8"/>
  <c r="F673" i="8"/>
  <c r="H657" i="8"/>
  <c r="F657" i="8"/>
  <c r="H641" i="8"/>
  <c r="F641" i="8"/>
  <c r="H625" i="8"/>
  <c r="F625" i="8"/>
  <c r="H609" i="8"/>
  <c r="F609" i="8"/>
  <c r="H593" i="8"/>
  <c r="F593" i="8"/>
  <c r="H577" i="8"/>
  <c r="F577" i="8"/>
  <c r="H561" i="8"/>
  <c r="F561" i="8"/>
  <c r="H545" i="8"/>
  <c r="F545" i="8"/>
  <c r="H529" i="8"/>
  <c r="F529" i="8"/>
  <c r="H513" i="8"/>
  <c r="F513" i="8"/>
  <c r="H497" i="8"/>
  <c r="F497" i="8"/>
  <c r="H481" i="8"/>
  <c r="F481" i="8"/>
  <c r="H465" i="8"/>
  <c r="F465" i="8"/>
  <c r="H449" i="8"/>
  <c r="F449" i="8"/>
  <c r="H433" i="8"/>
  <c r="F433" i="8"/>
  <c r="H417" i="8"/>
  <c r="F417" i="8"/>
  <c r="H401" i="8"/>
  <c r="F401" i="8"/>
  <c r="H385" i="8"/>
  <c r="F385" i="8"/>
  <c r="H369" i="8"/>
  <c r="F369" i="8"/>
  <c r="H353" i="8"/>
  <c r="F353" i="8"/>
  <c r="H337" i="8"/>
  <c r="F337" i="8"/>
  <c r="H321" i="8"/>
  <c r="F321" i="8"/>
  <c r="H305" i="8"/>
  <c r="F305" i="8"/>
  <c r="H289" i="8"/>
  <c r="F289" i="8"/>
  <c r="H273" i="8"/>
  <c r="F273" i="8"/>
  <c r="H257" i="8"/>
  <c r="F257" i="8"/>
  <c r="H241" i="8"/>
  <c r="F241" i="8"/>
  <c r="H225" i="8"/>
  <c r="F225" i="8"/>
  <c r="H209" i="8"/>
  <c r="F209" i="8"/>
  <c r="H193" i="8"/>
  <c r="F193" i="8"/>
  <c r="H177" i="8"/>
  <c r="F177" i="8"/>
  <c r="H161" i="8"/>
  <c r="F161" i="8"/>
  <c r="H145" i="8"/>
  <c r="F145" i="8"/>
  <c r="H129" i="8"/>
  <c r="F129" i="8"/>
  <c r="H113" i="8"/>
  <c r="F113" i="8"/>
  <c r="H97" i="8"/>
  <c r="F97" i="8"/>
  <c r="H81" i="8"/>
  <c r="F81" i="8"/>
  <c r="H65" i="8"/>
  <c r="F65" i="8"/>
  <c r="H49" i="8"/>
  <c r="F49" i="8"/>
  <c r="H33" i="8"/>
  <c r="F33" i="8"/>
  <c r="H17" i="8"/>
  <c r="F17" i="8"/>
  <c r="H1200" i="8"/>
  <c r="F1200" i="8"/>
  <c r="H1184" i="8"/>
  <c r="F1184" i="8"/>
  <c r="H1168" i="8"/>
  <c r="F1168" i="8"/>
  <c r="H1152" i="8"/>
  <c r="F1152" i="8"/>
  <c r="H1136" i="8"/>
  <c r="F1136" i="8"/>
  <c r="H1120" i="8"/>
  <c r="F1120" i="8"/>
  <c r="H1104" i="8"/>
  <c r="F1104" i="8"/>
  <c r="H1088" i="8"/>
  <c r="F1088" i="8"/>
  <c r="H1072" i="8"/>
  <c r="F1072" i="8"/>
  <c r="H1056" i="8"/>
  <c r="F1056" i="8"/>
  <c r="H1040" i="8"/>
  <c r="F1040" i="8"/>
  <c r="H1024" i="8"/>
  <c r="F1024" i="8"/>
  <c r="H1008" i="8"/>
  <c r="F1008" i="8"/>
  <c r="H992" i="8"/>
  <c r="F992" i="8"/>
  <c r="H976" i="8"/>
  <c r="F976" i="8"/>
  <c r="H960" i="8"/>
  <c r="F960" i="8"/>
  <c r="H944" i="8"/>
  <c r="F944" i="8"/>
  <c r="H928" i="8"/>
  <c r="F928" i="8"/>
  <c r="H912" i="8"/>
  <c r="F912" i="8"/>
  <c r="H896" i="8"/>
  <c r="F896" i="8"/>
  <c r="H880" i="8"/>
  <c r="F880" i="8"/>
  <c r="H864" i="8"/>
  <c r="F864" i="8"/>
  <c r="H848" i="8"/>
  <c r="F848" i="8"/>
  <c r="H832" i="8"/>
  <c r="F832" i="8"/>
  <c r="H816" i="8"/>
  <c r="F816" i="8"/>
  <c r="H800" i="8"/>
  <c r="F800" i="8"/>
  <c r="H784" i="8"/>
  <c r="F784" i="8"/>
  <c r="H768" i="8"/>
  <c r="F768" i="8"/>
  <c r="H752" i="8"/>
  <c r="F752" i="8"/>
  <c r="H736" i="8"/>
  <c r="F736" i="8"/>
  <c r="H720" i="8"/>
  <c r="F720" i="8"/>
  <c r="H704" i="8"/>
  <c r="F704" i="8"/>
  <c r="H688" i="8"/>
  <c r="F688" i="8"/>
  <c r="H672" i="8"/>
  <c r="F672" i="8"/>
  <c r="H656" i="8"/>
  <c r="F656" i="8"/>
  <c r="H640" i="8"/>
  <c r="F640" i="8"/>
  <c r="H624" i="8"/>
  <c r="F624" i="8"/>
  <c r="H608" i="8"/>
  <c r="F608" i="8"/>
  <c r="H592" i="8"/>
  <c r="F592" i="8"/>
  <c r="H576" i="8"/>
  <c r="F576" i="8"/>
  <c r="H560" i="8"/>
  <c r="F560" i="8"/>
  <c r="H544" i="8"/>
  <c r="F544" i="8"/>
  <c r="H528" i="8"/>
  <c r="F528" i="8"/>
  <c r="H512" i="8"/>
  <c r="F512" i="8"/>
  <c r="H496" i="8"/>
  <c r="F496" i="8"/>
  <c r="H480" i="8"/>
  <c r="F480" i="8"/>
  <c r="H464" i="8"/>
  <c r="F464" i="8"/>
  <c r="H448" i="8"/>
  <c r="F448" i="8"/>
  <c r="H432" i="8"/>
  <c r="F432" i="8"/>
  <c r="H416" i="8"/>
  <c r="F416" i="8"/>
  <c r="H400" i="8"/>
  <c r="F400" i="8"/>
  <c r="H384" i="8"/>
  <c r="F384" i="8"/>
  <c r="H368" i="8"/>
  <c r="F368" i="8"/>
  <c r="H352" i="8"/>
  <c r="F352" i="8"/>
  <c r="H336" i="8"/>
  <c r="F336" i="8"/>
  <c r="H320" i="8"/>
  <c r="F320" i="8"/>
  <c r="H304" i="8"/>
  <c r="F304" i="8"/>
  <c r="H288" i="8"/>
  <c r="F288" i="8"/>
  <c r="H272" i="8"/>
  <c r="F272" i="8"/>
  <c r="H256" i="8"/>
  <c r="F256" i="8"/>
  <c r="H240" i="8"/>
  <c r="F240" i="8"/>
  <c r="H224" i="8"/>
  <c r="F224" i="8"/>
  <c r="H208" i="8"/>
  <c r="F208" i="8"/>
  <c r="H192" i="8"/>
  <c r="F192" i="8"/>
  <c r="H176" i="8"/>
  <c r="F176" i="8"/>
  <c r="H160" i="8"/>
  <c r="F160" i="8"/>
  <c r="H144" i="8"/>
  <c r="F144" i="8"/>
  <c r="H128" i="8"/>
  <c r="F128" i="8"/>
  <c r="H112" i="8"/>
  <c r="F112" i="8"/>
  <c r="H96" i="8"/>
  <c r="F96" i="8"/>
  <c r="H80" i="8"/>
  <c r="F80" i="8"/>
  <c r="H64" i="8"/>
  <c r="F64" i="8"/>
  <c r="H48" i="8"/>
  <c r="F48" i="8"/>
  <c r="H32" i="8"/>
  <c r="F32" i="8"/>
  <c r="H16" i="8"/>
  <c r="F16" i="8"/>
  <c r="H1199" i="8"/>
  <c r="F1199" i="8"/>
  <c r="H1183" i="8"/>
  <c r="F1183" i="8"/>
  <c r="H1167" i="8"/>
  <c r="F1167" i="8"/>
  <c r="H1151" i="8"/>
  <c r="F1151" i="8"/>
  <c r="H1135" i="8"/>
  <c r="F1135" i="8"/>
  <c r="H1119" i="8"/>
  <c r="F1119" i="8"/>
  <c r="H1103" i="8"/>
  <c r="F1103" i="8"/>
  <c r="H1087" i="8"/>
  <c r="F1087" i="8"/>
  <c r="H1071" i="8"/>
  <c r="F1071" i="8"/>
  <c r="H1055" i="8"/>
  <c r="F1055" i="8"/>
  <c r="H1039" i="8"/>
  <c r="F1039" i="8"/>
  <c r="H1023" i="8"/>
  <c r="F1023" i="8"/>
  <c r="H1007" i="8"/>
  <c r="F1007" i="8"/>
  <c r="H991" i="8"/>
  <c r="F991" i="8"/>
  <c r="H975" i="8"/>
  <c r="F975" i="8"/>
  <c r="H959" i="8"/>
  <c r="F959" i="8"/>
  <c r="H943" i="8"/>
  <c r="F943" i="8"/>
  <c r="H927" i="8"/>
  <c r="F927" i="8"/>
  <c r="H911" i="8"/>
  <c r="F911" i="8"/>
  <c r="H895" i="8"/>
  <c r="F895" i="8"/>
  <c r="H879" i="8"/>
  <c r="F879" i="8"/>
  <c r="H863" i="8"/>
  <c r="F863" i="8"/>
  <c r="H847" i="8"/>
  <c r="F847" i="8"/>
  <c r="H831" i="8"/>
  <c r="F831" i="8"/>
  <c r="H815" i="8"/>
  <c r="F815" i="8"/>
  <c r="H799" i="8"/>
  <c r="F799" i="8"/>
  <c r="H783" i="8"/>
  <c r="F783" i="8"/>
  <c r="H767" i="8"/>
  <c r="F767" i="8"/>
  <c r="H751" i="8"/>
  <c r="F751" i="8"/>
  <c r="H735" i="8"/>
  <c r="F735" i="8"/>
  <c r="H719" i="8"/>
  <c r="F719" i="8"/>
  <c r="H703" i="8"/>
  <c r="F703" i="8"/>
  <c r="H687" i="8"/>
  <c r="F687" i="8"/>
  <c r="H671" i="8"/>
  <c r="F671" i="8"/>
  <c r="H655" i="8"/>
  <c r="F655" i="8"/>
  <c r="H639" i="8"/>
  <c r="F639" i="8"/>
  <c r="H623" i="8"/>
  <c r="F623" i="8"/>
  <c r="H607" i="8"/>
  <c r="F607" i="8"/>
  <c r="H591" i="8"/>
  <c r="F591" i="8"/>
  <c r="H575" i="8"/>
  <c r="F575" i="8"/>
  <c r="H559" i="8"/>
  <c r="F559" i="8"/>
  <c r="H543" i="8"/>
  <c r="F543" i="8"/>
  <c r="H527" i="8"/>
  <c r="F527" i="8"/>
  <c r="H511" i="8"/>
  <c r="F511" i="8"/>
  <c r="H495" i="8"/>
  <c r="F495" i="8"/>
  <c r="H479" i="8"/>
  <c r="F479" i="8"/>
  <c r="H463" i="8"/>
  <c r="F463" i="8"/>
  <c r="H447" i="8"/>
  <c r="F447" i="8"/>
  <c r="H431" i="8"/>
  <c r="F431" i="8"/>
  <c r="H415" i="8"/>
  <c r="F415" i="8"/>
  <c r="H399" i="8"/>
  <c r="F399" i="8"/>
  <c r="H383" i="8"/>
  <c r="F383" i="8"/>
  <c r="H367" i="8"/>
  <c r="F367" i="8"/>
  <c r="H351" i="8"/>
  <c r="F351" i="8"/>
  <c r="H335" i="8"/>
  <c r="F335" i="8"/>
  <c r="H319" i="8"/>
  <c r="F319" i="8"/>
  <c r="H303" i="8"/>
  <c r="F303" i="8"/>
  <c r="H287" i="8"/>
  <c r="F287" i="8"/>
  <c r="H271" i="8"/>
  <c r="F271" i="8"/>
  <c r="H255" i="8"/>
  <c r="F255" i="8"/>
  <c r="H239" i="8"/>
  <c r="F239" i="8"/>
  <c r="H223" i="8"/>
  <c r="F223" i="8"/>
  <c r="H207" i="8"/>
  <c r="F207" i="8"/>
  <c r="H191" i="8"/>
  <c r="F191" i="8"/>
  <c r="H175" i="8"/>
  <c r="F175" i="8"/>
  <c r="H159" i="8"/>
  <c r="F159" i="8"/>
  <c r="H143" i="8"/>
  <c r="F143" i="8"/>
  <c r="H127" i="8"/>
  <c r="F127" i="8"/>
  <c r="H111" i="8"/>
  <c r="F111" i="8"/>
  <c r="H95" i="8"/>
  <c r="F95" i="8"/>
  <c r="H79" i="8"/>
  <c r="F79" i="8"/>
  <c r="H63" i="8"/>
  <c r="F63" i="8"/>
  <c r="H47" i="8"/>
  <c r="F47" i="8"/>
  <c r="H31" i="8"/>
  <c r="F31" i="8"/>
  <c r="H15" i="8"/>
  <c r="F15" i="8"/>
  <c r="H1198" i="8"/>
  <c r="F1198" i="8"/>
  <c r="H1182" i="8"/>
  <c r="F1182" i="8"/>
  <c r="H1166" i="8"/>
  <c r="F1166" i="8"/>
  <c r="H1150" i="8"/>
  <c r="F1150" i="8"/>
  <c r="H1134" i="8"/>
  <c r="F1134" i="8"/>
  <c r="H1118" i="8"/>
  <c r="F1118" i="8"/>
  <c r="H1102" i="8"/>
  <c r="F1102" i="8"/>
  <c r="H1086" i="8"/>
  <c r="F1086" i="8"/>
  <c r="H1070" i="8"/>
  <c r="F1070" i="8"/>
  <c r="H1054" i="8"/>
  <c r="F1054" i="8"/>
  <c r="H1038" i="8"/>
  <c r="F1038" i="8"/>
  <c r="H1022" i="8"/>
  <c r="F1022" i="8"/>
  <c r="H1006" i="8"/>
  <c r="F1006" i="8"/>
  <c r="H990" i="8"/>
  <c r="F990" i="8"/>
  <c r="H974" i="8"/>
  <c r="F974" i="8"/>
  <c r="H958" i="8"/>
  <c r="F958" i="8"/>
  <c r="H942" i="8"/>
  <c r="F942" i="8"/>
  <c r="H926" i="8"/>
  <c r="F926" i="8"/>
  <c r="H910" i="8"/>
  <c r="F910" i="8"/>
  <c r="H894" i="8"/>
  <c r="F894" i="8"/>
  <c r="H878" i="8"/>
  <c r="F878" i="8"/>
  <c r="H862" i="8"/>
  <c r="F862" i="8"/>
  <c r="H846" i="8"/>
  <c r="F846" i="8"/>
  <c r="H830" i="8"/>
  <c r="F830" i="8"/>
  <c r="H814" i="8"/>
  <c r="F814" i="8"/>
  <c r="H798" i="8"/>
  <c r="F798" i="8"/>
  <c r="H782" i="8"/>
  <c r="F782" i="8"/>
  <c r="H766" i="8"/>
  <c r="F766" i="8"/>
  <c r="H750" i="8"/>
  <c r="F750" i="8"/>
  <c r="H734" i="8"/>
  <c r="F734" i="8"/>
  <c r="F718" i="8"/>
  <c r="H718" i="8"/>
  <c r="H702" i="8"/>
  <c r="F702" i="8"/>
  <c r="H686" i="8"/>
  <c r="F686" i="8"/>
  <c r="H670" i="8"/>
  <c r="F670" i="8"/>
  <c r="H654" i="8"/>
  <c r="F654" i="8"/>
  <c r="H638" i="8"/>
  <c r="F638" i="8"/>
  <c r="H622" i="8"/>
  <c r="F622" i="8"/>
  <c r="H606" i="8"/>
  <c r="F606" i="8"/>
  <c r="H590" i="8"/>
  <c r="F590" i="8"/>
  <c r="H574" i="8"/>
  <c r="F574" i="8"/>
  <c r="H558" i="8"/>
  <c r="F558" i="8"/>
  <c r="H542" i="8"/>
  <c r="F542" i="8"/>
  <c r="H526" i="8"/>
  <c r="F526" i="8"/>
  <c r="H510" i="8"/>
  <c r="F510" i="8"/>
  <c r="H494" i="8"/>
  <c r="F494" i="8"/>
  <c r="H478" i="8"/>
  <c r="F478" i="8"/>
  <c r="H462" i="8"/>
  <c r="F462" i="8"/>
  <c r="H446" i="8"/>
  <c r="F446" i="8"/>
  <c r="H430" i="8"/>
  <c r="F430" i="8"/>
  <c r="H414" i="8"/>
  <c r="F414" i="8"/>
  <c r="H398" i="8"/>
  <c r="F398" i="8"/>
  <c r="H382" i="8"/>
  <c r="F382" i="8"/>
  <c r="H366" i="8"/>
  <c r="F366" i="8"/>
  <c r="H350" i="8"/>
  <c r="F350" i="8"/>
  <c r="H334" i="8"/>
  <c r="F334" i="8"/>
  <c r="H318" i="8"/>
  <c r="F318" i="8"/>
  <c r="H302" i="8"/>
  <c r="F302" i="8"/>
  <c r="H286" i="8"/>
  <c r="F286" i="8"/>
  <c r="H270" i="8"/>
  <c r="F270" i="8"/>
  <c r="H254" i="8"/>
  <c r="F254" i="8"/>
  <c r="H238" i="8"/>
  <c r="F238" i="8"/>
  <c r="H222" i="8"/>
  <c r="F222" i="8"/>
  <c r="H206" i="8"/>
  <c r="F206" i="8"/>
  <c r="H190" i="8"/>
  <c r="F190" i="8"/>
  <c r="H174" i="8"/>
  <c r="F174" i="8"/>
  <c r="H158" i="8"/>
  <c r="F158" i="8"/>
  <c r="H142" i="8"/>
  <c r="F142" i="8"/>
  <c r="H126" i="8"/>
  <c r="F126" i="8"/>
  <c r="H110" i="8"/>
  <c r="F110" i="8"/>
  <c r="H94" i="8"/>
  <c r="F94" i="8"/>
  <c r="H78" i="8"/>
  <c r="F78" i="8"/>
  <c r="H62" i="8"/>
  <c r="F62" i="8"/>
  <c r="H46" i="8"/>
  <c r="F46" i="8"/>
  <c r="H30" i="8"/>
  <c r="F30" i="8"/>
  <c r="H14" i="8"/>
  <c r="F14" i="8"/>
  <c r="H1213" i="8"/>
  <c r="F1213" i="8"/>
  <c r="H1197" i="8"/>
  <c r="F1197" i="8"/>
  <c r="H1181" i="8"/>
  <c r="F1181" i="8"/>
  <c r="H1165" i="8"/>
  <c r="F1165" i="8"/>
  <c r="H1149" i="8"/>
  <c r="F1149" i="8"/>
  <c r="H1133" i="8"/>
  <c r="F1133" i="8"/>
  <c r="H1117" i="8"/>
  <c r="F1117" i="8"/>
  <c r="H1101" i="8"/>
  <c r="F1101" i="8"/>
  <c r="H1085" i="8"/>
  <c r="F1085" i="8"/>
  <c r="H1069" i="8"/>
  <c r="F1069" i="8"/>
  <c r="H1053" i="8"/>
  <c r="F1053" i="8"/>
  <c r="H1037" i="8"/>
  <c r="F1037" i="8"/>
  <c r="H1021" i="8"/>
  <c r="F1021" i="8"/>
  <c r="H1005" i="8"/>
  <c r="F1005" i="8"/>
  <c r="H989" i="8"/>
  <c r="F989" i="8"/>
  <c r="H973" i="8"/>
  <c r="F973" i="8"/>
  <c r="H957" i="8"/>
  <c r="F957" i="8"/>
  <c r="H941" i="8"/>
  <c r="F941" i="8"/>
  <c r="H925" i="8"/>
  <c r="F925" i="8"/>
  <c r="H909" i="8"/>
  <c r="F909" i="8"/>
  <c r="H893" i="8"/>
  <c r="F893" i="8"/>
  <c r="H877" i="8"/>
  <c r="F877" i="8"/>
  <c r="H861" i="8"/>
  <c r="F861" i="8"/>
  <c r="H845" i="8"/>
  <c r="F845" i="8"/>
  <c r="H829" i="8"/>
  <c r="F829" i="8"/>
  <c r="H813" i="8"/>
  <c r="F813" i="8"/>
  <c r="H797" i="8"/>
  <c r="F797" i="8"/>
  <c r="H781" i="8"/>
  <c r="F781" i="8"/>
  <c r="H765" i="8"/>
  <c r="F765" i="8"/>
  <c r="H749" i="8"/>
  <c r="F749" i="8"/>
  <c r="H733" i="8"/>
  <c r="F733" i="8"/>
  <c r="F717" i="8"/>
  <c r="H717" i="8"/>
  <c r="H701" i="8"/>
  <c r="F701" i="8"/>
  <c r="H685" i="8"/>
  <c r="F685" i="8"/>
  <c r="H669" i="8"/>
  <c r="F669" i="8"/>
  <c r="H653" i="8"/>
  <c r="F653" i="8"/>
  <c r="H637" i="8"/>
  <c r="F637" i="8"/>
  <c r="H621" i="8"/>
  <c r="F621" i="8"/>
  <c r="H605" i="8"/>
  <c r="F605" i="8"/>
  <c r="H589" i="8"/>
  <c r="F589" i="8"/>
  <c r="H573" i="8"/>
  <c r="F573" i="8"/>
  <c r="H557" i="8"/>
  <c r="F557" i="8"/>
  <c r="H541" i="8"/>
  <c r="F541" i="8"/>
  <c r="H525" i="8"/>
  <c r="F525" i="8"/>
  <c r="H509" i="8"/>
  <c r="F509" i="8"/>
  <c r="H493" i="8"/>
  <c r="F493" i="8"/>
  <c r="H477" i="8"/>
  <c r="F477" i="8"/>
  <c r="H461" i="8"/>
  <c r="F461" i="8"/>
  <c r="H445" i="8"/>
  <c r="F445" i="8"/>
  <c r="H429" i="8"/>
  <c r="F429" i="8"/>
  <c r="H413" i="8"/>
  <c r="F413" i="8"/>
  <c r="H397" i="8"/>
  <c r="F397" i="8"/>
  <c r="H381" i="8"/>
  <c r="F381" i="8"/>
  <c r="H365" i="8"/>
  <c r="F365" i="8"/>
  <c r="H349" i="8"/>
  <c r="F349" i="8"/>
  <c r="H333" i="8"/>
  <c r="F333" i="8"/>
  <c r="H317" i="8"/>
  <c r="F317" i="8"/>
  <c r="H301" i="8"/>
  <c r="F301" i="8"/>
  <c r="H285" i="8"/>
  <c r="F285" i="8"/>
  <c r="H269" i="8"/>
  <c r="F269" i="8"/>
  <c r="H253" i="8"/>
  <c r="F253" i="8"/>
  <c r="H237" i="8"/>
  <c r="F237" i="8"/>
  <c r="H221" i="8"/>
  <c r="F221" i="8"/>
  <c r="H205" i="8"/>
  <c r="F205" i="8"/>
  <c r="H189" i="8"/>
  <c r="F189" i="8"/>
  <c r="H173" i="8"/>
  <c r="F173" i="8"/>
  <c r="H157" i="8"/>
  <c r="F157" i="8"/>
  <c r="H141" i="8"/>
  <c r="F141" i="8"/>
  <c r="H125" i="8"/>
  <c r="F125" i="8"/>
  <c r="H109" i="8"/>
  <c r="F109" i="8"/>
  <c r="H93" i="8"/>
  <c r="F93" i="8"/>
  <c r="H77" i="8"/>
  <c r="F77" i="8"/>
  <c r="H61" i="8"/>
  <c r="F61" i="8"/>
  <c r="H45" i="8"/>
  <c r="F45" i="8"/>
  <c r="H29" i="8"/>
  <c r="F29" i="8"/>
  <c r="H13" i="8"/>
  <c r="F13" i="8"/>
  <c r="H1212" i="8"/>
  <c r="F1212" i="8"/>
  <c r="H1196" i="8"/>
  <c r="F1196" i="8"/>
  <c r="H1180" i="8"/>
  <c r="F1180" i="8"/>
  <c r="H1164" i="8"/>
  <c r="F1164" i="8"/>
  <c r="H1148" i="8"/>
  <c r="F1148" i="8"/>
  <c r="H1132" i="8"/>
  <c r="F1132" i="8"/>
  <c r="H1116" i="8"/>
  <c r="F1116" i="8"/>
  <c r="H1100" i="8"/>
  <c r="F1100" i="8"/>
  <c r="H1084" i="8"/>
  <c r="F1084" i="8"/>
  <c r="H1068" i="8"/>
  <c r="F1068" i="8"/>
  <c r="H1052" i="8"/>
  <c r="F1052" i="8"/>
  <c r="H1036" i="8"/>
  <c r="F1036" i="8"/>
  <c r="H1020" i="8"/>
  <c r="F1020" i="8"/>
  <c r="H1004" i="8"/>
  <c r="F1004" i="8"/>
  <c r="H988" i="8"/>
  <c r="F988" i="8"/>
  <c r="H972" i="8"/>
  <c r="F972" i="8"/>
  <c r="H956" i="8"/>
  <c r="F956" i="8"/>
  <c r="H940" i="8"/>
  <c r="F940" i="8"/>
  <c r="H924" i="8"/>
  <c r="F924" i="8"/>
  <c r="H908" i="8"/>
  <c r="F908" i="8"/>
  <c r="H892" i="8"/>
  <c r="F892" i="8"/>
  <c r="H876" i="8"/>
  <c r="F876" i="8"/>
  <c r="H860" i="8"/>
  <c r="F860" i="8"/>
  <c r="H844" i="8"/>
  <c r="F844" i="8"/>
  <c r="H828" i="8"/>
  <c r="F828" i="8"/>
  <c r="H812" i="8"/>
  <c r="F812" i="8"/>
  <c r="H796" i="8"/>
  <c r="F796" i="8"/>
  <c r="H780" i="8"/>
  <c r="F780" i="8"/>
  <c r="H764" i="8"/>
  <c r="F764" i="8"/>
  <c r="H748" i="8"/>
  <c r="F748" i="8"/>
  <c r="H732" i="8"/>
  <c r="F732" i="8"/>
  <c r="H716" i="8"/>
  <c r="F716" i="8"/>
  <c r="H700" i="8"/>
  <c r="F700" i="8"/>
  <c r="H684" i="8"/>
  <c r="F684" i="8"/>
  <c r="H668" i="8"/>
  <c r="F668" i="8"/>
  <c r="H652" i="8"/>
  <c r="F652" i="8"/>
  <c r="H636" i="8"/>
  <c r="F636" i="8"/>
  <c r="H620" i="8"/>
  <c r="F620" i="8"/>
  <c r="H604" i="8"/>
  <c r="F604" i="8"/>
  <c r="H588" i="8"/>
  <c r="F588" i="8"/>
  <c r="H572" i="8"/>
  <c r="F572" i="8"/>
  <c r="H556" i="8"/>
  <c r="F556" i="8"/>
  <c r="H540" i="8"/>
  <c r="F540" i="8"/>
  <c r="H524" i="8"/>
  <c r="F524" i="8"/>
  <c r="H508" i="8"/>
  <c r="F508" i="8"/>
  <c r="H492" i="8"/>
  <c r="F492" i="8"/>
  <c r="H476" i="8"/>
  <c r="F476" i="8"/>
  <c r="H460" i="8"/>
  <c r="F460" i="8"/>
  <c r="H444" i="8"/>
  <c r="F444" i="8"/>
  <c r="H428" i="8"/>
  <c r="F428" i="8"/>
  <c r="H412" i="8"/>
  <c r="F412" i="8"/>
  <c r="H396" i="8"/>
  <c r="F396" i="8"/>
  <c r="H380" i="8"/>
  <c r="F380" i="8"/>
  <c r="H364" i="8"/>
  <c r="F364" i="8"/>
  <c r="H348" i="8"/>
  <c r="F348" i="8"/>
  <c r="H332" i="8"/>
  <c r="F332" i="8"/>
  <c r="H316" i="8"/>
  <c r="F316" i="8"/>
  <c r="H300" i="8"/>
  <c r="F300" i="8"/>
  <c r="H284" i="8"/>
  <c r="F284" i="8"/>
  <c r="H268" i="8"/>
  <c r="F268" i="8"/>
  <c r="H252" i="8"/>
  <c r="F252" i="8"/>
  <c r="H236" i="8"/>
  <c r="F236" i="8"/>
  <c r="H220" i="8"/>
  <c r="F220" i="8"/>
  <c r="H204" i="8"/>
  <c r="F204" i="8"/>
  <c r="H188" i="8"/>
  <c r="F188" i="8"/>
  <c r="H172" i="8"/>
  <c r="F172" i="8"/>
  <c r="H156" i="8"/>
  <c r="F156" i="8"/>
  <c r="H140" i="8"/>
  <c r="F140" i="8"/>
  <c r="H124" i="8"/>
  <c r="F124" i="8"/>
  <c r="H108" i="8"/>
  <c r="F108" i="8"/>
  <c r="H92" i="8"/>
  <c r="F92" i="8"/>
  <c r="H76" i="8"/>
  <c r="F76" i="8"/>
  <c r="H60" i="8"/>
  <c r="F60" i="8"/>
  <c r="H44" i="8"/>
  <c r="F44" i="8"/>
  <c r="H28" i="8"/>
  <c r="F28" i="8"/>
  <c r="H12" i="8"/>
  <c r="F12" i="8"/>
  <c r="H1211" i="8"/>
  <c r="F1211" i="8"/>
  <c r="H1195" i="8"/>
  <c r="F1195" i="8"/>
  <c r="H1179" i="8"/>
  <c r="F1179" i="8"/>
  <c r="H1163" i="8"/>
  <c r="F1163" i="8"/>
  <c r="H1147" i="8"/>
  <c r="F1147" i="8"/>
  <c r="H1131" i="8"/>
  <c r="F1131" i="8"/>
  <c r="H1115" i="8"/>
  <c r="F1115" i="8"/>
  <c r="H1099" i="8"/>
  <c r="F1099" i="8"/>
  <c r="H1083" i="8"/>
  <c r="F1083" i="8"/>
  <c r="H1067" i="8"/>
  <c r="F1067" i="8"/>
  <c r="H1051" i="8"/>
  <c r="F1051" i="8"/>
  <c r="H1035" i="8"/>
  <c r="F1035" i="8"/>
  <c r="H1019" i="8"/>
  <c r="F1019" i="8"/>
  <c r="H1003" i="8"/>
  <c r="F1003" i="8"/>
  <c r="H987" i="8"/>
  <c r="F987" i="8"/>
  <c r="H971" i="8"/>
  <c r="F971" i="8"/>
  <c r="H955" i="8"/>
  <c r="F955" i="8"/>
  <c r="H939" i="8"/>
  <c r="F939" i="8"/>
  <c r="H923" i="8"/>
  <c r="F923" i="8"/>
  <c r="H907" i="8"/>
  <c r="F907" i="8"/>
  <c r="H891" i="8"/>
  <c r="F891" i="8"/>
  <c r="H875" i="8"/>
  <c r="F875" i="8"/>
  <c r="H859" i="8"/>
  <c r="F859" i="8"/>
  <c r="H843" i="8"/>
  <c r="F843" i="8"/>
  <c r="H827" i="8"/>
  <c r="F827" i="8"/>
  <c r="H811" i="8"/>
  <c r="F811" i="8"/>
  <c r="H795" i="8"/>
  <c r="F795" i="8"/>
  <c r="H779" i="8"/>
  <c r="F779" i="8"/>
  <c r="H763" i="8"/>
  <c r="F763" i="8"/>
  <c r="H747" i="8"/>
  <c r="F747" i="8"/>
  <c r="H731" i="8"/>
  <c r="F731" i="8"/>
  <c r="H715" i="8"/>
  <c r="F715" i="8"/>
  <c r="H699" i="8"/>
  <c r="F699" i="8"/>
  <c r="H683" i="8"/>
  <c r="F683" i="8"/>
  <c r="H667" i="8"/>
  <c r="F667" i="8"/>
  <c r="H651" i="8"/>
  <c r="F651" i="8"/>
  <c r="H635" i="8"/>
  <c r="F635" i="8"/>
  <c r="H619" i="8"/>
  <c r="F619" i="8"/>
  <c r="H603" i="8"/>
  <c r="F603" i="8"/>
  <c r="H587" i="8"/>
  <c r="F587" i="8"/>
  <c r="H571" i="8"/>
  <c r="F571" i="8"/>
  <c r="H555" i="8"/>
  <c r="F555" i="8"/>
  <c r="H539" i="8"/>
  <c r="F539" i="8"/>
  <c r="H523" i="8"/>
  <c r="F523" i="8"/>
  <c r="H507" i="8"/>
  <c r="F507" i="8"/>
  <c r="H491" i="8"/>
  <c r="F491" i="8"/>
  <c r="H475" i="8"/>
  <c r="F475" i="8"/>
  <c r="H459" i="8"/>
  <c r="F459" i="8"/>
  <c r="H443" i="8"/>
  <c r="F443" i="8"/>
  <c r="H427" i="8"/>
  <c r="F427" i="8"/>
  <c r="H411" i="8"/>
  <c r="F411" i="8"/>
  <c r="H395" i="8"/>
  <c r="F395" i="8"/>
  <c r="H379" i="8"/>
  <c r="F379" i="8"/>
  <c r="H363" i="8"/>
  <c r="F363" i="8"/>
  <c r="H347" i="8"/>
  <c r="F347" i="8"/>
  <c r="H331" i="8"/>
  <c r="F331" i="8"/>
  <c r="H315" i="8"/>
  <c r="F315" i="8"/>
  <c r="H299" i="8"/>
  <c r="F299" i="8"/>
  <c r="H283" i="8"/>
  <c r="F283" i="8"/>
  <c r="H267" i="8"/>
  <c r="F267" i="8"/>
  <c r="H251" i="8"/>
  <c r="F251" i="8"/>
  <c r="H235" i="8"/>
  <c r="F235" i="8"/>
  <c r="H219" i="8"/>
  <c r="F219" i="8"/>
  <c r="H203" i="8"/>
  <c r="F203" i="8"/>
  <c r="H187" i="8"/>
  <c r="F187" i="8"/>
  <c r="H171" i="8"/>
  <c r="F171" i="8"/>
  <c r="H155" i="8"/>
  <c r="F155" i="8"/>
  <c r="H139" i="8"/>
  <c r="F139" i="8"/>
  <c r="H123" i="8"/>
  <c r="F123" i="8"/>
  <c r="H107" i="8"/>
  <c r="F107" i="8"/>
  <c r="H91" i="8"/>
  <c r="F91" i="8"/>
  <c r="H75" i="8"/>
  <c r="F75" i="8"/>
  <c r="H59" i="8"/>
  <c r="F59" i="8"/>
  <c r="H43" i="8"/>
  <c r="F43" i="8"/>
  <c r="H27" i="8"/>
  <c r="F27" i="8"/>
  <c r="H11" i="8"/>
  <c r="F11" i="8"/>
  <c r="H1210" i="8"/>
  <c r="F1210" i="8"/>
  <c r="H1194" i="8"/>
  <c r="F1194" i="8"/>
  <c r="H1178" i="8"/>
  <c r="F1178" i="8"/>
  <c r="H1162" i="8"/>
  <c r="F1162" i="8"/>
  <c r="H1146" i="8"/>
  <c r="F1146" i="8"/>
  <c r="H1130" i="8"/>
  <c r="F1130" i="8"/>
  <c r="H1114" i="8"/>
  <c r="F1114" i="8"/>
  <c r="H1098" i="8"/>
  <c r="F1098" i="8"/>
  <c r="H1082" i="8"/>
  <c r="F1082" i="8"/>
  <c r="H1066" i="8"/>
  <c r="F1066" i="8"/>
  <c r="H1050" i="8"/>
  <c r="F1050" i="8"/>
  <c r="H1034" i="8"/>
  <c r="F1034" i="8"/>
  <c r="H1018" i="8"/>
  <c r="F1018" i="8"/>
  <c r="H1002" i="8"/>
  <c r="F1002" i="8"/>
  <c r="H986" i="8"/>
  <c r="F986" i="8"/>
  <c r="H970" i="8"/>
  <c r="F970" i="8"/>
  <c r="H954" i="8"/>
  <c r="F954" i="8"/>
  <c r="H938" i="8"/>
  <c r="F938" i="8"/>
  <c r="H922" i="8"/>
  <c r="F922" i="8"/>
  <c r="H906" i="8"/>
  <c r="F906" i="8"/>
  <c r="H890" i="8"/>
  <c r="F890" i="8"/>
  <c r="H874" i="8"/>
  <c r="F874" i="8"/>
  <c r="H858" i="8"/>
  <c r="F858" i="8"/>
  <c r="H842" i="8"/>
  <c r="F842" i="8"/>
  <c r="H826" i="8"/>
  <c r="F826" i="8"/>
  <c r="H810" i="8"/>
  <c r="F810" i="8"/>
  <c r="H794" i="8"/>
  <c r="F794" i="8"/>
  <c r="H778" i="8"/>
  <c r="F778" i="8"/>
  <c r="H762" i="8"/>
  <c r="F762" i="8"/>
  <c r="H746" i="8"/>
  <c r="F746" i="8"/>
  <c r="H730" i="8"/>
  <c r="F730" i="8"/>
  <c r="H714" i="8"/>
  <c r="F714" i="8"/>
  <c r="H698" i="8"/>
  <c r="F698" i="8"/>
  <c r="H682" i="8"/>
  <c r="F682" i="8"/>
  <c r="H666" i="8"/>
  <c r="F666" i="8"/>
  <c r="H650" i="8"/>
  <c r="F650" i="8"/>
  <c r="H634" i="8"/>
  <c r="F634" i="8"/>
  <c r="H618" i="8"/>
  <c r="F618" i="8"/>
  <c r="H602" i="8"/>
  <c r="F602" i="8"/>
  <c r="H586" i="8"/>
  <c r="F586" i="8"/>
  <c r="H570" i="8"/>
  <c r="F570" i="8"/>
  <c r="H554" i="8"/>
  <c r="F554" i="8"/>
  <c r="H538" i="8"/>
  <c r="F538" i="8"/>
  <c r="H522" i="8"/>
  <c r="F522" i="8"/>
  <c r="H506" i="8"/>
  <c r="F506" i="8"/>
  <c r="H490" i="8"/>
  <c r="F490" i="8"/>
  <c r="H474" i="8"/>
  <c r="F474" i="8"/>
  <c r="H458" i="8"/>
  <c r="F458" i="8"/>
  <c r="H442" i="8"/>
  <c r="F442" i="8"/>
  <c r="H426" i="8"/>
  <c r="F426" i="8"/>
  <c r="H410" i="8"/>
  <c r="F410" i="8"/>
  <c r="H394" i="8"/>
  <c r="F394" i="8"/>
  <c r="H378" i="8"/>
  <c r="F378" i="8"/>
  <c r="H362" i="8"/>
  <c r="F362" i="8"/>
  <c r="H346" i="8"/>
  <c r="F346" i="8"/>
  <c r="H330" i="8"/>
  <c r="F330" i="8"/>
  <c r="H314" i="8"/>
  <c r="F314" i="8"/>
  <c r="H298" i="8"/>
  <c r="F298" i="8"/>
  <c r="H282" i="8"/>
  <c r="F282" i="8"/>
  <c r="H266" i="8"/>
  <c r="F266" i="8"/>
  <c r="H250" i="8"/>
  <c r="F250" i="8"/>
  <c r="H234" i="8"/>
  <c r="F234" i="8"/>
  <c r="H218" i="8"/>
  <c r="F218" i="8"/>
  <c r="H202" i="8"/>
  <c r="F202" i="8"/>
  <c r="H186" i="8"/>
  <c r="F186" i="8"/>
  <c r="H170" i="8"/>
  <c r="F170" i="8"/>
  <c r="H154" i="8"/>
  <c r="F154" i="8"/>
  <c r="H138" i="8"/>
  <c r="F138" i="8"/>
  <c r="H122" i="8"/>
  <c r="F122" i="8"/>
  <c r="H106" i="8"/>
  <c r="F106" i="8"/>
  <c r="H90" i="8"/>
  <c r="F90" i="8"/>
  <c r="H74" i="8"/>
  <c r="F74" i="8"/>
  <c r="H58" i="8"/>
  <c r="F58" i="8"/>
  <c r="H42" i="8"/>
  <c r="F42" i="8"/>
  <c r="H26" i="8"/>
  <c r="F26" i="8"/>
  <c r="H10" i="8"/>
  <c r="F10" i="8"/>
  <c r="H1209" i="8"/>
  <c r="F1209" i="8"/>
  <c r="H1193" i="8"/>
  <c r="F1193" i="8"/>
  <c r="H1177" i="8"/>
  <c r="F1177" i="8"/>
  <c r="H1161" i="8"/>
  <c r="F1161" i="8"/>
  <c r="H1145" i="8"/>
  <c r="F1145" i="8"/>
  <c r="H1129" i="8"/>
  <c r="F1129" i="8"/>
  <c r="H1113" i="8"/>
  <c r="F1113" i="8"/>
  <c r="H1097" i="8"/>
  <c r="F1097" i="8"/>
  <c r="H1081" i="8"/>
  <c r="F1081" i="8"/>
  <c r="H1065" i="8"/>
  <c r="F1065" i="8"/>
  <c r="H1049" i="8"/>
  <c r="F1049" i="8"/>
  <c r="H1033" i="8"/>
  <c r="F1033" i="8"/>
  <c r="H1017" i="8"/>
  <c r="F1017" i="8"/>
  <c r="H1001" i="8"/>
  <c r="F1001" i="8"/>
  <c r="H985" i="8"/>
  <c r="F985" i="8"/>
  <c r="H969" i="8"/>
  <c r="F969" i="8"/>
  <c r="H953" i="8"/>
  <c r="F953" i="8"/>
  <c r="H937" i="8"/>
  <c r="F937" i="8"/>
  <c r="H921" i="8"/>
  <c r="F921" i="8"/>
  <c r="H905" i="8"/>
  <c r="F905" i="8"/>
  <c r="H889" i="8"/>
  <c r="F889" i="8"/>
  <c r="H873" i="8"/>
  <c r="F873" i="8"/>
  <c r="H857" i="8"/>
  <c r="F857" i="8"/>
  <c r="H841" i="8"/>
  <c r="F841" i="8"/>
  <c r="H825" i="8"/>
  <c r="F825" i="8"/>
  <c r="H809" i="8"/>
  <c r="F809" i="8"/>
  <c r="H793" i="8"/>
  <c r="F793" i="8"/>
  <c r="H777" i="8"/>
  <c r="F777" i="8"/>
  <c r="H761" i="8"/>
  <c r="F761" i="8"/>
  <c r="H745" i="8"/>
  <c r="F745" i="8"/>
  <c r="H729" i="8"/>
  <c r="F729" i="8"/>
  <c r="H713" i="8"/>
  <c r="F713" i="8"/>
  <c r="H697" i="8"/>
  <c r="F697" i="8"/>
  <c r="H681" i="8"/>
  <c r="F681" i="8"/>
  <c r="H665" i="8"/>
  <c r="F665" i="8"/>
  <c r="H649" i="8"/>
  <c r="F649" i="8"/>
  <c r="H633" i="8"/>
  <c r="F633" i="8"/>
  <c r="H617" i="8"/>
  <c r="F617" i="8"/>
  <c r="H601" i="8"/>
  <c r="F601" i="8"/>
  <c r="H585" i="8"/>
  <c r="F585" i="8"/>
  <c r="H569" i="8"/>
  <c r="F569" i="8"/>
  <c r="H553" i="8"/>
  <c r="F553" i="8"/>
  <c r="H537" i="8"/>
  <c r="F537" i="8"/>
  <c r="H521" i="8"/>
  <c r="F521" i="8"/>
  <c r="H505" i="8"/>
  <c r="F505" i="8"/>
  <c r="H489" i="8"/>
  <c r="F489" i="8"/>
  <c r="H473" i="8"/>
  <c r="F473" i="8"/>
  <c r="H457" i="8"/>
  <c r="F457" i="8"/>
  <c r="H441" i="8"/>
  <c r="F441" i="8"/>
  <c r="H425" i="8"/>
  <c r="F425" i="8"/>
  <c r="H409" i="8"/>
  <c r="F409" i="8"/>
  <c r="H393" i="8"/>
  <c r="F393" i="8"/>
  <c r="H377" i="8"/>
  <c r="F377" i="8"/>
  <c r="H361" i="8"/>
  <c r="F361" i="8"/>
  <c r="H345" i="8"/>
  <c r="F345" i="8"/>
  <c r="H329" i="8"/>
  <c r="F329" i="8"/>
  <c r="H313" i="8"/>
  <c r="F313" i="8"/>
  <c r="H297" i="8"/>
  <c r="F297" i="8"/>
  <c r="H281" i="8"/>
  <c r="F281" i="8"/>
  <c r="H265" i="8"/>
  <c r="F265" i="8"/>
  <c r="H249" i="8"/>
  <c r="F249" i="8"/>
  <c r="H233" i="8"/>
  <c r="F233" i="8"/>
  <c r="H217" i="8"/>
  <c r="F217" i="8"/>
  <c r="H201" i="8"/>
  <c r="F201" i="8"/>
  <c r="H185" i="8"/>
  <c r="F185" i="8"/>
  <c r="H169" i="8"/>
  <c r="F169" i="8"/>
  <c r="H153" i="8"/>
  <c r="F153" i="8"/>
  <c r="H137" i="8"/>
  <c r="F137" i="8"/>
  <c r="H121" i="8"/>
  <c r="F121" i="8"/>
  <c r="H105" i="8"/>
  <c r="F105" i="8"/>
  <c r="H89" i="8"/>
  <c r="F89" i="8"/>
  <c r="H73" i="8"/>
  <c r="F73" i="8"/>
  <c r="H57" i="8"/>
  <c r="F57" i="8"/>
  <c r="H41" i="8"/>
  <c r="F41" i="8"/>
  <c r="H25" i="8"/>
  <c r="F25" i="8"/>
  <c r="H9" i="8"/>
  <c r="F9" i="8"/>
  <c r="H1208" i="8"/>
  <c r="F1208" i="8"/>
  <c r="H1192" i="8"/>
  <c r="F1192" i="8"/>
  <c r="H1176" i="8"/>
  <c r="F1176" i="8"/>
  <c r="H1160" i="8"/>
  <c r="F1160" i="8"/>
  <c r="H1144" i="8"/>
  <c r="F1144" i="8"/>
  <c r="H1128" i="8"/>
  <c r="F1128" i="8"/>
  <c r="H1112" i="8"/>
  <c r="F1112" i="8"/>
  <c r="H1096" i="8"/>
  <c r="F1096" i="8"/>
  <c r="H1080" i="8"/>
  <c r="F1080" i="8"/>
  <c r="H1064" i="8"/>
  <c r="F1064" i="8"/>
  <c r="H1048" i="8"/>
  <c r="F1048" i="8"/>
  <c r="H1032" i="8"/>
  <c r="F1032" i="8"/>
  <c r="H1016" i="8"/>
  <c r="F1016" i="8"/>
  <c r="H1000" i="8"/>
  <c r="F1000" i="8"/>
  <c r="H984" i="8"/>
  <c r="F984" i="8"/>
  <c r="H968" i="8"/>
  <c r="F968" i="8"/>
  <c r="H952" i="8"/>
  <c r="F952" i="8"/>
  <c r="H936" i="8"/>
  <c r="F936" i="8"/>
  <c r="H920" i="8"/>
  <c r="F920" i="8"/>
  <c r="H904" i="8"/>
  <c r="F904" i="8"/>
  <c r="H888" i="8"/>
  <c r="F888" i="8"/>
  <c r="H872" i="8"/>
  <c r="F872" i="8"/>
  <c r="H856" i="8"/>
  <c r="F856" i="8"/>
  <c r="H840" i="8"/>
  <c r="F840" i="8"/>
  <c r="H824" i="8"/>
  <c r="F824" i="8"/>
  <c r="H808" i="8"/>
  <c r="F808" i="8"/>
  <c r="H792" i="8"/>
  <c r="F792" i="8"/>
  <c r="H776" i="8"/>
  <c r="F776" i="8"/>
  <c r="H760" i="8"/>
  <c r="F760" i="8"/>
  <c r="H744" i="8"/>
  <c r="F744" i="8"/>
  <c r="H728" i="8"/>
  <c r="F728" i="8"/>
  <c r="H712" i="8"/>
  <c r="F712" i="8"/>
  <c r="H696" i="8"/>
  <c r="F696" i="8"/>
  <c r="H680" i="8"/>
  <c r="F680" i="8"/>
  <c r="H664" i="8"/>
  <c r="F664" i="8"/>
  <c r="H648" i="8"/>
  <c r="F648" i="8"/>
  <c r="H632" i="8"/>
  <c r="F632" i="8"/>
  <c r="H616" i="8"/>
  <c r="F616" i="8"/>
  <c r="H600" i="8"/>
  <c r="F600" i="8"/>
  <c r="H584" i="8"/>
  <c r="F584" i="8"/>
  <c r="H568" i="8"/>
  <c r="F568" i="8"/>
  <c r="H552" i="8"/>
  <c r="F552" i="8"/>
  <c r="H536" i="8"/>
  <c r="F536" i="8"/>
  <c r="H520" i="8"/>
  <c r="F520" i="8"/>
  <c r="H504" i="8"/>
  <c r="F504" i="8"/>
  <c r="H488" i="8"/>
  <c r="F488" i="8"/>
  <c r="H472" i="8"/>
  <c r="F472" i="8"/>
  <c r="H456" i="8"/>
  <c r="F456" i="8"/>
  <c r="H440" i="8"/>
  <c r="F440" i="8"/>
  <c r="H424" i="8"/>
  <c r="F424" i="8"/>
  <c r="H408" i="8"/>
  <c r="F408" i="8"/>
  <c r="H392" i="8"/>
  <c r="F392" i="8"/>
  <c r="H376" i="8"/>
  <c r="F376" i="8"/>
  <c r="H360" i="8"/>
  <c r="F360" i="8"/>
  <c r="H344" i="8"/>
  <c r="F344" i="8"/>
  <c r="H328" i="8"/>
  <c r="F328" i="8"/>
  <c r="H312" i="8"/>
  <c r="F312" i="8"/>
  <c r="H296" i="8"/>
  <c r="F296" i="8"/>
  <c r="H280" i="8"/>
  <c r="F280" i="8"/>
  <c r="H264" i="8"/>
  <c r="F264" i="8"/>
  <c r="H248" i="8"/>
  <c r="F248" i="8"/>
  <c r="H232" i="8"/>
  <c r="F232" i="8"/>
  <c r="H216" i="8"/>
  <c r="F216" i="8"/>
  <c r="H200" i="8"/>
  <c r="F200" i="8"/>
  <c r="H184" i="8"/>
  <c r="F184" i="8"/>
  <c r="H168" i="8"/>
  <c r="F168" i="8"/>
  <c r="H152" i="8"/>
  <c r="F152" i="8"/>
  <c r="H136" i="8"/>
  <c r="F136" i="8"/>
  <c r="H120" i="8"/>
  <c r="F120" i="8"/>
  <c r="H104" i="8"/>
  <c r="F104" i="8"/>
  <c r="H88" i="8"/>
  <c r="F88" i="8"/>
  <c r="H72" i="8"/>
  <c r="F72" i="8"/>
  <c r="H56" i="8"/>
  <c r="F56" i="8"/>
  <c r="H40" i="8"/>
  <c r="F40" i="8"/>
  <c r="H24" i="8"/>
  <c r="F24" i="8"/>
  <c r="H8" i="8"/>
  <c r="F8" i="8"/>
  <c r="H1207" i="8"/>
  <c r="F1207" i="8"/>
  <c r="H1191" i="8"/>
  <c r="F1191" i="8"/>
  <c r="H1175" i="8"/>
  <c r="F1175" i="8"/>
  <c r="H1159" i="8"/>
  <c r="F1159" i="8"/>
  <c r="H1143" i="8"/>
  <c r="F1143" i="8"/>
  <c r="H1127" i="8"/>
  <c r="F1127" i="8"/>
  <c r="H1111" i="8"/>
  <c r="F1111" i="8"/>
  <c r="H1095" i="8"/>
  <c r="F1095" i="8"/>
  <c r="H1079" i="8"/>
  <c r="F1079" i="8"/>
  <c r="H1063" i="8"/>
  <c r="F1063" i="8"/>
  <c r="H1047" i="8"/>
  <c r="F1047" i="8"/>
  <c r="H1031" i="8"/>
  <c r="F1031" i="8"/>
  <c r="H1015" i="8"/>
  <c r="F1015" i="8"/>
  <c r="H999" i="8"/>
  <c r="F999" i="8"/>
  <c r="H983" i="8"/>
  <c r="F983" i="8"/>
  <c r="H967" i="8"/>
  <c r="F967" i="8"/>
  <c r="H951" i="8"/>
  <c r="F951" i="8"/>
  <c r="H935" i="8"/>
  <c r="F935" i="8"/>
  <c r="H919" i="8"/>
  <c r="F919" i="8"/>
  <c r="H903" i="8"/>
  <c r="F903" i="8"/>
  <c r="H887" i="8"/>
  <c r="F887" i="8"/>
  <c r="H871" i="8"/>
  <c r="F871" i="8"/>
  <c r="H855" i="8"/>
  <c r="F855" i="8"/>
  <c r="H839" i="8"/>
  <c r="F839" i="8"/>
  <c r="H823" i="8"/>
  <c r="F823" i="8"/>
  <c r="H807" i="8"/>
  <c r="F807" i="8"/>
  <c r="H791" i="8"/>
  <c r="F791" i="8"/>
  <c r="H775" i="8"/>
  <c r="F775" i="8"/>
  <c r="H759" i="8"/>
  <c r="F759" i="8"/>
  <c r="H743" i="8"/>
  <c r="F743" i="8"/>
  <c r="H727" i="8"/>
  <c r="F727" i="8"/>
  <c r="H711" i="8"/>
  <c r="F711" i="8"/>
  <c r="H695" i="8"/>
  <c r="F695" i="8"/>
  <c r="H679" i="8"/>
  <c r="F679" i="8"/>
  <c r="H663" i="8"/>
  <c r="F663" i="8"/>
  <c r="H647" i="8"/>
  <c r="F647" i="8"/>
  <c r="H631" i="8"/>
  <c r="F631" i="8"/>
  <c r="H615" i="8"/>
  <c r="F615" i="8"/>
  <c r="H599" i="8"/>
  <c r="F599" i="8"/>
  <c r="H583" i="8"/>
  <c r="F583" i="8"/>
  <c r="H567" i="8"/>
  <c r="F567" i="8"/>
  <c r="H551" i="8"/>
  <c r="F551" i="8"/>
  <c r="H535" i="8"/>
  <c r="F535" i="8"/>
  <c r="H519" i="8"/>
  <c r="F519" i="8"/>
  <c r="H503" i="8"/>
  <c r="F503" i="8"/>
  <c r="H487" i="8"/>
  <c r="F487" i="8"/>
  <c r="H471" i="8"/>
  <c r="F471" i="8"/>
  <c r="H455" i="8"/>
  <c r="F455" i="8"/>
  <c r="H439" i="8"/>
  <c r="F439" i="8"/>
  <c r="H423" i="8"/>
  <c r="F423" i="8"/>
  <c r="H407" i="8"/>
  <c r="F407" i="8"/>
  <c r="H391" i="8"/>
  <c r="F391" i="8"/>
  <c r="H375" i="8"/>
  <c r="F375" i="8"/>
  <c r="H359" i="8"/>
  <c r="F359" i="8"/>
  <c r="H343" i="8"/>
  <c r="F343" i="8"/>
  <c r="H327" i="8"/>
  <c r="F327" i="8"/>
  <c r="H311" i="8"/>
  <c r="F311" i="8"/>
  <c r="H295" i="8"/>
  <c r="F295" i="8"/>
  <c r="H279" i="8"/>
  <c r="F279" i="8"/>
  <c r="H263" i="8"/>
  <c r="F263" i="8"/>
  <c r="H247" i="8"/>
  <c r="F247" i="8"/>
  <c r="H231" i="8"/>
  <c r="F231" i="8"/>
  <c r="H215" i="8"/>
  <c r="F215" i="8"/>
  <c r="H199" i="8"/>
  <c r="F199" i="8"/>
  <c r="H183" i="8"/>
  <c r="F183" i="8"/>
  <c r="H167" i="8"/>
  <c r="F167" i="8"/>
  <c r="H151" i="8"/>
  <c r="F151" i="8"/>
  <c r="H135" i="8"/>
  <c r="F135" i="8"/>
  <c r="H119" i="8"/>
  <c r="F119" i="8"/>
  <c r="H103" i="8"/>
  <c r="F103" i="8"/>
  <c r="H87" i="8"/>
  <c r="F87" i="8"/>
  <c r="H71" i="8"/>
  <c r="F71" i="8"/>
  <c r="H55" i="8"/>
  <c r="F55" i="8"/>
  <c r="H39" i="8"/>
  <c r="F39" i="8"/>
  <c r="H23" i="8"/>
  <c r="F23" i="8"/>
  <c r="H7" i="8"/>
  <c r="F7" i="8"/>
  <c r="H1206" i="8"/>
  <c r="F1206" i="8"/>
  <c r="H1190" i="8"/>
  <c r="F1190" i="8"/>
  <c r="H1174" i="8"/>
  <c r="F1174" i="8"/>
  <c r="H1158" i="8"/>
  <c r="F1158" i="8"/>
  <c r="H1142" i="8"/>
  <c r="F1142" i="8"/>
  <c r="H1126" i="8"/>
  <c r="F1126" i="8"/>
  <c r="H1110" i="8"/>
  <c r="F1110" i="8"/>
  <c r="H1094" i="8"/>
  <c r="F1094" i="8"/>
  <c r="H1078" i="8"/>
  <c r="F1078" i="8"/>
  <c r="H1062" i="8"/>
  <c r="F1062" i="8"/>
  <c r="H1046" i="8"/>
  <c r="F1046" i="8"/>
  <c r="H1030" i="8"/>
  <c r="F1030" i="8"/>
  <c r="H1014" i="8"/>
  <c r="F1014" i="8"/>
  <c r="H998" i="8"/>
  <c r="F998" i="8"/>
  <c r="H982" i="8"/>
  <c r="F982" i="8"/>
  <c r="H966" i="8"/>
  <c r="F966" i="8"/>
  <c r="H950" i="8"/>
  <c r="F950" i="8"/>
  <c r="H934" i="8"/>
  <c r="F934" i="8"/>
  <c r="H918" i="8"/>
  <c r="F918" i="8"/>
  <c r="H902" i="8"/>
  <c r="F902" i="8"/>
  <c r="H886" i="8"/>
  <c r="F886" i="8"/>
  <c r="H870" i="8"/>
  <c r="F870" i="8"/>
  <c r="H854" i="8"/>
  <c r="F854" i="8"/>
  <c r="H838" i="8"/>
  <c r="F838" i="8"/>
  <c r="H822" i="8"/>
  <c r="F822" i="8"/>
  <c r="H806" i="8"/>
  <c r="F806" i="8"/>
  <c r="H790" i="8"/>
  <c r="F790" i="8"/>
  <c r="H774" i="8"/>
  <c r="F774" i="8"/>
  <c r="H758" i="8"/>
  <c r="F758" i="8"/>
  <c r="H742" i="8"/>
  <c r="F742" i="8"/>
  <c r="H726" i="8"/>
  <c r="F726" i="8"/>
  <c r="H710" i="8"/>
  <c r="F710" i="8"/>
  <c r="H694" i="8"/>
  <c r="F694" i="8"/>
  <c r="H678" i="8"/>
  <c r="F678" i="8"/>
  <c r="H662" i="8"/>
  <c r="F662" i="8"/>
  <c r="H646" i="8"/>
  <c r="F646" i="8"/>
  <c r="H630" i="8"/>
  <c r="F630" i="8"/>
  <c r="H614" i="8"/>
  <c r="F614" i="8"/>
  <c r="H598" i="8"/>
  <c r="F598" i="8"/>
  <c r="H582" i="8"/>
  <c r="F582" i="8"/>
  <c r="H566" i="8"/>
  <c r="F566" i="8"/>
  <c r="H550" i="8"/>
  <c r="F550" i="8"/>
  <c r="H534" i="8"/>
  <c r="F534" i="8"/>
  <c r="H518" i="8"/>
  <c r="F518" i="8"/>
  <c r="H502" i="8"/>
  <c r="F502" i="8"/>
  <c r="H486" i="8"/>
  <c r="F486" i="8"/>
  <c r="H470" i="8"/>
  <c r="F470" i="8"/>
  <c r="H454" i="8"/>
  <c r="F454" i="8"/>
  <c r="H438" i="8"/>
  <c r="F438" i="8"/>
  <c r="H422" i="8"/>
  <c r="F422" i="8"/>
  <c r="H406" i="8"/>
  <c r="F406" i="8"/>
  <c r="H390" i="8"/>
  <c r="F390" i="8"/>
  <c r="H374" i="8"/>
  <c r="F374" i="8"/>
  <c r="H358" i="8"/>
  <c r="F358" i="8"/>
  <c r="H342" i="8"/>
  <c r="F342" i="8"/>
  <c r="H326" i="8"/>
  <c r="F326" i="8"/>
  <c r="H310" i="8"/>
  <c r="F310" i="8"/>
  <c r="H294" i="8"/>
  <c r="F294" i="8"/>
  <c r="H278" i="8"/>
  <c r="F278" i="8"/>
  <c r="H262" i="8"/>
  <c r="F262" i="8"/>
  <c r="H246" i="8"/>
  <c r="F246" i="8"/>
  <c r="H230" i="8"/>
  <c r="F230" i="8"/>
  <c r="H214" i="8"/>
  <c r="F214" i="8"/>
  <c r="H198" i="8"/>
  <c r="F198" i="8"/>
  <c r="H182" i="8"/>
  <c r="F182" i="8"/>
  <c r="H166" i="8"/>
  <c r="F166" i="8"/>
  <c r="H150" i="8"/>
  <c r="F150" i="8"/>
  <c r="H134" i="8"/>
  <c r="F134" i="8"/>
  <c r="H118" i="8"/>
  <c r="F118" i="8"/>
  <c r="H102" i="8"/>
  <c r="F102" i="8"/>
  <c r="H86" i="8"/>
  <c r="F86" i="8"/>
  <c r="H70" i="8"/>
  <c r="F70" i="8"/>
  <c r="H54" i="8"/>
  <c r="F54" i="8"/>
  <c r="H38" i="8"/>
  <c r="F38" i="8"/>
  <c r="H22" i="8"/>
  <c r="F22" i="8"/>
  <c r="H6" i="8"/>
  <c r="F6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" i="7"/>
</calcChain>
</file>

<file path=xl/sharedStrings.xml><?xml version="1.0" encoding="utf-8"?>
<sst xmlns="http://schemas.openxmlformats.org/spreadsheetml/2006/main" count="29368" uniqueCount="1856">
  <si>
    <t>Equipo</t>
  </si>
  <si>
    <t>frecuencia</t>
  </si>
  <si>
    <t>Actividad</t>
  </si>
  <si>
    <t>Prioridad</t>
  </si>
  <si>
    <t>Duración</t>
  </si>
  <si>
    <t>1 año</t>
  </si>
  <si>
    <t>1 día</t>
  </si>
  <si>
    <t>1 mes</t>
  </si>
  <si>
    <t>1 semana</t>
  </si>
  <si>
    <t>2 mes</t>
  </si>
  <si>
    <t>Cerradora</t>
  </si>
  <si>
    <t>Cerradora Env Ind</t>
  </si>
  <si>
    <t>Cerradora Rectangular</t>
  </si>
  <si>
    <t>2 día</t>
  </si>
  <si>
    <t>Chiller</t>
  </si>
  <si>
    <t>Entarimadora</t>
  </si>
  <si>
    <t>Expansora</t>
  </si>
  <si>
    <t>Horno</t>
  </si>
  <si>
    <t>6 mes</t>
  </si>
  <si>
    <t>Multifuncional</t>
  </si>
  <si>
    <t>3 mes</t>
  </si>
  <si>
    <t>Pestañadora</t>
  </si>
  <si>
    <t>Pestañadora envase industrial</t>
  </si>
  <si>
    <t>Pestañadora rectangular</t>
  </si>
  <si>
    <t>Soldadora</t>
  </si>
  <si>
    <t>Soldadora; Formadora de cuerpos</t>
  </si>
  <si>
    <t>3 vías par 1 mes</t>
  </si>
  <si>
    <t>Soldadora de porta asas</t>
  </si>
  <si>
    <t>Soplador</t>
  </si>
  <si>
    <t>Tijeras</t>
  </si>
  <si>
    <t>Tijeras automaticas</t>
  </si>
  <si>
    <t>Transportadores</t>
  </si>
  <si>
    <t>venadora</t>
  </si>
  <si>
    <t>Verificadora de fugas</t>
  </si>
  <si>
    <t>Alimentador</t>
  </si>
  <si>
    <t>Cintas Transportadoras</t>
  </si>
  <si>
    <t>Desapilador</t>
  </si>
  <si>
    <t>Engomadora</t>
  </si>
  <si>
    <t>Prensa primera operación</t>
  </si>
  <si>
    <t>Rizadora</t>
  </si>
  <si>
    <t>Volteador</t>
  </si>
  <si>
    <t>Pallet electrica</t>
  </si>
  <si>
    <t>50 h</t>
  </si>
  <si>
    <t>50 H</t>
  </si>
  <si>
    <t>1,200 H</t>
  </si>
  <si>
    <t>200 H</t>
  </si>
  <si>
    <t xml:space="preserve">Apretar zonas de transición de corriente atornilladas </t>
  </si>
  <si>
    <t>Alta</t>
  </si>
  <si>
    <t>00 h 30 m</t>
  </si>
  <si>
    <t xml:space="preserve">Limpieza de aplicador de barniz </t>
  </si>
  <si>
    <t>00 h 05 m</t>
  </si>
  <si>
    <t xml:space="preserve">Limpieza de guías, poleas y rodamientos de cintas transporte </t>
  </si>
  <si>
    <t xml:space="preserve">Limpieza de mandos electrónicos </t>
  </si>
  <si>
    <t xml:space="preserve">Limpieza general de paneles eléctricos </t>
  </si>
  <si>
    <t>Media</t>
  </si>
  <si>
    <t xml:space="preserve">Lubricacion general </t>
  </si>
  <si>
    <t xml:space="preserve">Revisión de motor </t>
  </si>
  <si>
    <t xml:space="preserve">Verificación de fugas en el sistema neumático </t>
  </si>
  <si>
    <t>01 h 00 m</t>
  </si>
  <si>
    <t xml:space="preserve">Limpieza de brazo aplicador de polvo </t>
  </si>
  <si>
    <t>00 h 02 m</t>
  </si>
  <si>
    <t xml:space="preserve">Limpieza de filtros de bomba de bacio </t>
  </si>
  <si>
    <t xml:space="preserve">Limpieza filtros </t>
  </si>
  <si>
    <t xml:space="preserve">Limpieza mangueras y ductos de polvos </t>
  </si>
  <si>
    <t xml:space="preserve">Revisión de motores </t>
  </si>
  <si>
    <t>03 h 00 m</t>
  </si>
  <si>
    <t xml:space="preserve">Comprobación de conexiones neumáticas </t>
  </si>
  <si>
    <t xml:space="preserve">Limpieza de alimentador </t>
  </si>
  <si>
    <t xml:space="preserve">Limpieza de platos y shocks </t>
  </si>
  <si>
    <t xml:space="preserve">Lubricación de cojinetes y engranaje </t>
  </si>
  <si>
    <t xml:space="preserve">Lubricación de shocks </t>
  </si>
  <si>
    <t>00 h 10 m</t>
  </si>
  <si>
    <t xml:space="preserve">Lubricacion de Tornillo de ajuste de altura y volante </t>
  </si>
  <si>
    <t xml:space="preserve">Limpieza de condensador </t>
  </si>
  <si>
    <t xml:space="preserve">Limpieza de ductos y mangueras </t>
  </si>
  <si>
    <t xml:space="preserve">Limpieza de filtros </t>
  </si>
  <si>
    <t xml:space="preserve">Verificación de niveles, temperatura, presión, refrigerante </t>
  </si>
  <si>
    <t>00 h 15 m</t>
  </si>
  <si>
    <t xml:space="preserve">Limpieza de banda transportadora </t>
  </si>
  <si>
    <t xml:space="preserve">Lubricación de cojinetes y engranajes </t>
  </si>
  <si>
    <t xml:space="preserve">Lubricación general </t>
  </si>
  <si>
    <t xml:space="preserve">Verificación de fugas en el sistema hidráulico </t>
  </si>
  <si>
    <t>00 h 20 m</t>
  </si>
  <si>
    <t xml:space="preserve">Comprobación de fugas en el sistema neumatico e hidraulico </t>
  </si>
  <si>
    <t xml:space="preserve">Comprobación y verificación de dados de expansión </t>
  </si>
  <si>
    <t xml:space="preserve">Limpieza de base de dado de expansora </t>
  </si>
  <si>
    <t xml:space="preserve">Limpieza de dados de expanción </t>
  </si>
  <si>
    <t xml:space="preserve">Limpieza de mandos eléctricos </t>
  </si>
  <si>
    <t xml:space="preserve">Lubrticación de Partes Mobiles </t>
  </si>
  <si>
    <t>00 h 00 m</t>
  </si>
  <si>
    <t xml:space="preserve">Revisión de Motor </t>
  </si>
  <si>
    <t xml:space="preserve">Verificación de nivel de aceite hidraulico </t>
  </si>
  <si>
    <t xml:space="preserve">Limpieza de boquillas del quemador </t>
  </si>
  <si>
    <t xml:space="preserve">Limpieza de ventiladores </t>
  </si>
  <si>
    <t xml:space="preserve">Limpieza y revisión de cintas transportadoras </t>
  </si>
  <si>
    <t xml:space="preserve">Lubricación de rodos y chumaceras </t>
  </si>
  <si>
    <t>01 h 30 m</t>
  </si>
  <si>
    <t xml:space="preserve">Verificación de cilindro neumático de transporte </t>
  </si>
  <si>
    <t xml:space="preserve">Comprobación de sensores </t>
  </si>
  <si>
    <t xml:space="preserve">Comprobación de sistema de lubricación </t>
  </si>
  <si>
    <t xml:space="preserve">Limpieza de cadena de rodillos </t>
  </si>
  <si>
    <t xml:space="preserve">Limpieza de platos y shocks de cabezales </t>
  </si>
  <si>
    <t xml:space="preserve">Limpieza de sistema de lubricación </t>
  </si>
  <si>
    <t xml:space="preserve">Lubricación y verificación engranajes y cojinetes cabezales </t>
  </si>
  <si>
    <t xml:space="preserve">Verificación de sprocket </t>
  </si>
  <si>
    <t xml:space="preserve">Limpieza de equipo en la parte interna </t>
  </si>
  <si>
    <t xml:space="preserve">Limpieza de pestañadores </t>
  </si>
  <si>
    <t xml:space="preserve">Limpieza y lubricación de caja reductora </t>
  </si>
  <si>
    <t xml:space="preserve">Limpieza y lubricación de engranajes y rodamientos </t>
  </si>
  <si>
    <t xml:space="preserve">Lubricación de sistema de poleas </t>
  </si>
  <si>
    <t xml:space="preserve">Verificación de fajas </t>
  </si>
  <si>
    <t xml:space="preserve">Verificación de sellos mecánicos </t>
  </si>
  <si>
    <t xml:space="preserve">Limpieza de base de pestañadores </t>
  </si>
  <si>
    <t xml:space="preserve">Lubricación de partes móviles </t>
  </si>
  <si>
    <t xml:space="preserve">Revision de niveles de aceite hidraulico </t>
  </si>
  <si>
    <t xml:space="preserve">Accionamiento de alambre, engrase ruedas dentadas </t>
  </si>
  <si>
    <t xml:space="preserve">Accionamiento de alambre, variador </t>
  </si>
  <si>
    <t xml:space="preserve">Accionamiento Principal </t>
  </si>
  <si>
    <t xml:space="preserve">Comprobar ajuste y funcionamiento de las poleas de reenvio </t>
  </si>
  <si>
    <t xml:space="preserve">Comprobar dedos de introducción </t>
  </si>
  <si>
    <t xml:space="preserve">Comprobar el aislamiento </t>
  </si>
  <si>
    <t xml:space="preserve">Comprobar el disco en V del freno del alambre </t>
  </si>
  <si>
    <t xml:space="preserve">Comprobar el filtro de aspiración de bomba de lubricación </t>
  </si>
  <si>
    <t xml:space="preserve">Comprobar el funcionamiento de los sensores de caudal </t>
  </si>
  <si>
    <t xml:space="preserve">Comprobar el funcionamiento de los trinquetes de avance </t>
  </si>
  <si>
    <t xml:space="preserve">Comprobar el funcionamiento de presostatos </t>
  </si>
  <si>
    <t xml:space="preserve">Comprobar el funcionamiento del termóstato </t>
  </si>
  <si>
    <t xml:space="preserve">Comprobar el juego de rodillos del alimentador/curvador </t>
  </si>
  <si>
    <t xml:space="preserve">Comprobar el nivel de aceite en los reductores y variadores </t>
  </si>
  <si>
    <t xml:space="preserve">Comprobar el nivel del HG en cabezal de roldana pendular </t>
  </si>
  <si>
    <t xml:space="preserve">Comprobar el tensado de todas las correas y cadenas </t>
  </si>
  <si>
    <t xml:space="preserve">Comprobar la superficie de los rodillos perfiladores </t>
  </si>
  <si>
    <t xml:space="preserve">Comprobar las cadenas transportadoras </t>
  </si>
  <si>
    <t xml:space="preserve">Comprobar las levas de cadena en cuanto al desgaste </t>
  </si>
  <si>
    <t xml:space="preserve">Comprobar los dientes de las fajas </t>
  </si>
  <si>
    <t xml:space="preserve">Comprobar marcha y tensión mecánica del freno de alambre </t>
  </si>
  <si>
    <t xml:space="preserve">Comprobar y limpiar la ranura del alambre en los cabezales </t>
  </si>
  <si>
    <t xml:space="preserve">Engrase central de las cadenas </t>
  </si>
  <si>
    <t xml:space="preserve">Limpiar el casquillo esférico del portaventosas </t>
  </si>
  <si>
    <t xml:space="preserve">Limpiar o girar los discos limpiadores de alambre </t>
  </si>
  <si>
    <t xml:space="preserve">Limpieza (cambiar) filtro entrada de agua de refrigeración </t>
  </si>
  <si>
    <t xml:space="preserve">Limpieza de aplicador de nitrógeno en soldadura </t>
  </si>
  <si>
    <t xml:space="preserve">Limpieza de condensado </t>
  </si>
  <si>
    <t xml:space="preserve">Limpieza de guías de cadena de rodillos </t>
  </si>
  <si>
    <t xml:space="preserve">Limpieza de rodillos del alimentador y </t>
  </si>
  <si>
    <t xml:space="preserve">Limpieza filtro tubería de vacío y comprobar las tuberías </t>
  </si>
  <si>
    <t xml:space="preserve">Limpieza los racores de descarga de la válvula de </t>
  </si>
  <si>
    <t xml:space="preserve">Limpieza mandos electrónicos </t>
  </si>
  <si>
    <t xml:space="preserve">Limpieza y mantenimiento de sensor de soldadura </t>
  </si>
  <si>
    <t xml:space="preserve">Lubricación de alimentador </t>
  </si>
  <si>
    <t>00 h 03 m</t>
  </si>
  <si>
    <t xml:space="preserve">Lubricación de cojinetes </t>
  </si>
  <si>
    <t xml:space="preserve">Lubricación de curvador (rodillos de rolado) </t>
  </si>
  <si>
    <t xml:space="preserve">Lubricación de poleas de reenvió de las cadenas </t>
  </si>
  <si>
    <t xml:space="preserve">Lubricación de portaventosas y carro de alimentación </t>
  </si>
  <si>
    <t xml:space="preserve">Lubricación de troceador o cortador de alambre </t>
  </si>
  <si>
    <t xml:space="preserve">Lubricación puntos de engrase de trinquete de avance </t>
  </si>
  <si>
    <t xml:space="preserve">Mantenimiento Bomba de Vacío </t>
  </si>
  <si>
    <t xml:space="preserve">Revisión de sistema de enfriamiento </t>
  </si>
  <si>
    <t xml:space="preserve">Sustituir el filtro de aspiración de la bomba de lubricación </t>
  </si>
  <si>
    <t xml:space="preserve">Verificación de Roldana Pendular </t>
  </si>
  <si>
    <t xml:space="preserve">Comprobación de sistema de enfriamiento </t>
  </si>
  <si>
    <t xml:space="preserve">Limpieza de electrodos </t>
  </si>
  <si>
    <t xml:space="preserve">Limpieza de transportadores </t>
  </si>
  <si>
    <t xml:space="preserve">Lubricación de cilindros superiores de amortiguamiento </t>
  </si>
  <si>
    <t xml:space="preserve">Lubricación de rodillos de levas </t>
  </si>
  <si>
    <t xml:space="preserve">Rectificación de Electrodo </t>
  </si>
  <si>
    <t>04 h 00 m</t>
  </si>
  <si>
    <t xml:space="preserve">Revisión de rodillos de cilindros </t>
  </si>
  <si>
    <t xml:space="preserve">Limpieza de boquilla </t>
  </si>
  <si>
    <t xml:space="preserve">Limpieza de superficie </t>
  </si>
  <si>
    <t xml:space="preserve">Lubricación de rodamientos </t>
  </si>
  <si>
    <t xml:space="preserve">Verificación de cojines, rodillos, tensores y sprocket </t>
  </si>
  <si>
    <t xml:space="preserve">Verificación de fajas y/o cadena de rodillos </t>
  </si>
  <si>
    <t xml:space="preserve">Inspeccion y verificacion de sistema neumatico </t>
  </si>
  <si>
    <t>00 h 45 m</t>
  </si>
  <si>
    <t xml:space="preserve">Limpieza de donas </t>
  </si>
  <si>
    <t xml:space="preserve">Limpieza de ventosas </t>
  </si>
  <si>
    <t xml:space="preserve">Lubricacion y limpieza de cadenas principales </t>
  </si>
  <si>
    <t xml:space="preserve">Lubricacion y limpieza de sistema de barras </t>
  </si>
  <si>
    <t xml:space="preserve">lubricar leva de elevador </t>
  </si>
  <si>
    <t xml:space="preserve">Rellenar grasa de caja de engranajes de elevación </t>
  </si>
  <si>
    <t xml:space="preserve">Rellenar grasa de caja de engranajes de movimiento lateral </t>
  </si>
  <si>
    <t xml:space="preserve">Rellenar grasa de reductor de elevación de bulto </t>
  </si>
  <si>
    <t>00 h 25 m</t>
  </si>
  <si>
    <t xml:space="preserve">Verificacion de sensores </t>
  </si>
  <si>
    <t xml:space="preserve">Verificar hules de los filos </t>
  </si>
  <si>
    <t xml:space="preserve">Comprobación de imanes </t>
  </si>
  <si>
    <t xml:space="preserve">Limpieza de cinta transportadora </t>
  </si>
  <si>
    <t>Limpieza y verificación de guías para traslado de  envase</t>
  </si>
  <si>
    <t xml:space="preserve">Limpieza y verificación de rodillos </t>
  </si>
  <si>
    <t xml:space="preserve">Lubricación de chumaceras y cojinetes </t>
  </si>
  <si>
    <t xml:space="preserve">Lubricación de sprocket y cadena de rodillos </t>
  </si>
  <si>
    <t xml:space="preserve">Limpieza de venadores </t>
  </si>
  <si>
    <t xml:space="preserve">Verificación de cadena de rodillos </t>
  </si>
  <si>
    <t xml:space="preserve">Comprobación y Verificación de bandas de entrada </t>
  </si>
  <si>
    <t xml:space="preserve">Comprobación y Verificación de bandas de transición </t>
  </si>
  <si>
    <t xml:space="preserve">Comprobación y Verificación de boquillas de presión de aire </t>
  </si>
  <si>
    <t xml:space="preserve">Limpieza de mandos electricos </t>
  </si>
  <si>
    <t xml:space="preserve">Limpieza General de paneles electricos </t>
  </si>
  <si>
    <t xml:space="preserve">Lubricación de cadena motriz </t>
  </si>
  <si>
    <t xml:space="preserve">Verificación de fugas del sistema neumatico </t>
  </si>
  <si>
    <t xml:space="preserve">Verificacion de funcionamiento de cilindros neumaticos </t>
  </si>
  <si>
    <t xml:space="preserve">Verificacion de tensión de cadena motriz </t>
  </si>
  <si>
    <t xml:space="preserve">Comprobación de fugas en el sistema neumático e hidráulico </t>
  </si>
  <si>
    <t xml:space="preserve">Engrasado de guía circular de la mesa de alineación </t>
  </si>
  <si>
    <t xml:space="preserve">Limpieza de apilador de laminas </t>
  </si>
  <si>
    <t xml:space="preserve">Limpieza de brazos de sujeción de láminas </t>
  </si>
  <si>
    <t xml:space="preserve">Lubricacion de transportador de entrada </t>
  </si>
  <si>
    <t xml:space="preserve">Revisión de bomba de lubricación e hidráulico </t>
  </si>
  <si>
    <t>01 h 20 m</t>
  </si>
  <si>
    <t xml:space="preserve">Revisión y comprobación de elevador de láminas </t>
  </si>
  <si>
    <t xml:space="preserve">Verificación de nivel de aceite hidráulico </t>
  </si>
  <si>
    <t xml:space="preserve">Comprobación y verificación de fajas </t>
  </si>
  <si>
    <t xml:space="preserve">Comprobación y verificación de fajas de transmisión </t>
  </si>
  <si>
    <t xml:space="preserve">Comprobar la tensión de la cinta transportadora </t>
  </si>
  <si>
    <t xml:space="preserve">Limpieza de residuos </t>
  </si>
  <si>
    <t xml:space="preserve">Limpieza los mandos electrónicos </t>
  </si>
  <si>
    <t xml:space="preserve">Comprobación de fugas en el sistema neumático </t>
  </si>
  <si>
    <t xml:space="preserve">Comprobación de la unidad de mantenimiento neumático </t>
  </si>
  <si>
    <t xml:space="preserve">Comprobación de las uniones roscadas </t>
  </si>
  <si>
    <t xml:space="preserve">Limpieza de posicionador o apilador </t>
  </si>
  <si>
    <t xml:space="preserve">Comprobación de resistencias </t>
  </si>
  <si>
    <t xml:space="preserve">Comprobación de cojinetes del rodillo superior de expulsión </t>
  </si>
  <si>
    <t xml:space="preserve">Comprobación de sistemas de lubricación </t>
  </si>
  <si>
    <t xml:space="preserve">Engrasado de cojinete bridado </t>
  </si>
  <si>
    <t xml:space="preserve">Engrasado del cojinete del husillo </t>
  </si>
  <si>
    <t xml:space="preserve">Limpieza de filos </t>
  </si>
  <si>
    <t xml:space="preserve">Vaciado de separador de agua </t>
  </si>
  <si>
    <t xml:space="preserve">Comprobación de las uniones roscadas de las piezas de cambio </t>
  </si>
  <si>
    <t xml:space="preserve">Engrase del rodamiento del disco de rizado </t>
  </si>
  <si>
    <t xml:space="preserve">Limpieza de los carriles de guía </t>
  </si>
  <si>
    <t xml:space="preserve">Limpieza de residuos en toda la maquina </t>
  </si>
  <si>
    <t xml:space="preserve">Limpieza del sistema de rizado </t>
  </si>
  <si>
    <t xml:space="preserve">Inspección de nivel de líquido de baterías </t>
  </si>
  <si>
    <t xml:space="preserve">Limpieza de bornes de batería </t>
  </si>
  <si>
    <t xml:space="preserve">Limpieza de filtro de aceite </t>
  </si>
  <si>
    <t xml:space="preserve">Revisión de funcionamiento </t>
  </si>
  <si>
    <t xml:space="preserve">Revisión de sistema de frenos </t>
  </si>
  <si>
    <t>lineas Automaticas</t>
  </si>
  <si>
    <t>Soudronic</t>
  </si>
  <si>
    <t>Smag</t>
  </si>
  <si>
    <t>Golden 220</t>
  </si>
  <si>
    <t>Golden 110</t>
  </si>
  <si>
    <t>Area</t>
  </si>
  <si>
    <t>Aplicador de Barniz Liquido</t>
  </si>
  <si>
    <t>Aplicador de Barniz polvo</t>
  </si>
  <si>
    <t>Linea 1</t>
  </si>
  <si>
    <t>Linea 2</t>
  </si>
  <si>
    <t>Linea 3</t>
  </si>
  <si>
    <t>Linea 4</t>
  </si>
  <si>
    <t>Linea 5</t>
  </si>
  <si>
    <t>Ishin</t>
  </si>
  <si>
    <t>prensas automaticas</t>
  </si>
  <si>
    <t>BIBRA</t>
  </si>
  <si>
    <t>CNC 2</t>
  </si>
  <si>
    <t>CNC 3</t>
  </si>
  <si>
    <t>Equipos Auxiliares</t>
  </si>
  <si>
    <t>Lead jet</t>
  </si>
  <si>
    <t>Montacargas</t>
  </si>
  <si>
    <t>500 HORAS (s) 00 h 15 m</t>
  </si>
  <si>
    <t>500 HORAS (s) 01 h 00 m</t>
  </si>
  <si>
    <t>1 mes(es)</t>
  </si>
  <si>
    <t>500 HORAS (s) 00 h 05 m</t>
  </si>
  <si>
    <t>1 semana(s)</t>
  </si>
  <si>
    <t xml:space="preserve">Cambio de filtros de tinta y solvente </t>
  </si>
  <si>
    <t xml:space="preserve">Limpieza de aplicador </t>
  </si>
  <si>
    <t xml:space="preserve">Limpieza de filtro de aire en los ventiladores y comprobar </t>
  </si>
  <si>
    <t xml:space="preserve">Limpieza de panel, armario y componentes electrónicos </t>
  </si>
  <si>
    <t xml:space="preserve">Limpieza de pedestal, sensor de señal y ups </t>
  </si>
  <si>
    <t xml:space="preserve">Limpieza del cabezal de impresión y tubo de inyección tinta </t>
  </si>
  <si>
    <t xml:space="preserve">Revisión de compartimiento eléctrico y/o electrónico limpiar </t>
  </si>
  <si>
    <t xml:space="preserve">Revisión de fugas y posibles daños </t>
  </si>
  <si>
    <t xml:space="preserve">Revisión diaria de impresión </t>
  </si>
  <si>
    <t xml:space="preserve">Revisión interna de compartimiento hidráulico </t>
  </si>
  <si>
    <t xml:space="preserve">Verificar conexión eléctrica este de forma adecuada </t>
  </si>
  <si>
    <t xml:space="preserve">Verificar pedestal de impresión </t>
  </si>
  <si>
    <t xml:space="preserve">Verificar posición de cable eléctrico del equipo </t>
  </si>
  <si>
    <t xml:space="preserve">Verificar posición de tubo de señales de control e inyección </t>
  </si>
  <si>
    <t xml:space="preserve">Apretar conexiones eléctricas atornilladas </t>
  </si>
  <si>
    <t xml:space="preserve">Apretar tuercas y torillos </t>
  </si>
  <si>
    <t xml:space="preserve">Cambio de aceite de cárter </t>
  </si>
  <si>
    <t xml:space="preserve">Comprobación de condiciones de fajas </t>
  </si>
  <si>
    <t xml:space="preserve">Comprobación de fugas de aire </t>
  </si>
  <si>
    <t xml:space="preserve">Comprobación de válvulas de alivio de presión </t>
  </si>
  <si>
    <t xml:space="preserve">Comprobación y limpieza de válvulas </t>
  </si>
  <si>
    <t xml:space="preserve">Drenar condensado de tanque </t>
  </si>
  <si>
    <t xml:space="preserve">Limpieza general </t>
  </si>
  <si>
    <t xml:space="preserve">Verificación de retenedores y o-ring </t>
  </si>
  <si>
    <t xml:space="preserve">Verificar nivel de aceite, agregar de ser necesario </t>
  </si>
  <si>
    <t xml:space="preserve"> Media</t>
  </si>
  <si>
    <t>Xilin 1</t>
  </si>
  <si>
    <t>Pallet 1</t>
  </si>
  <si>
    <t>Leadjet 1</t>
  </si>
  <si>
    <t>No Aplica</t>
  </si>
  <si>
    <t>No aplica</t>
  </si>
  <si>
    <t>Envase industrial</t>
  </si>
  <si>
    <t>Envase Rectangular</t>
  </si>
  <si>
    <t xml:space="preserve">Linea </t>
  </si>
  <si>
    <t>Golden Smart 220</t>
  </si>
  <si>
    <t>Smart 110</t>
  </si>
  <si>
    <t>Multifuncional 202</t>
  </si>
  <si>
    <t>Entarimadora 202</t>
  </si>
  <si>
    <t>id</t>
  </si>
  <si>
    <t>Multifuncional 211</t>
  </si>
  <si>
    <t>Entarimadora 211</t>
  </si>
  <si>
    <t>Multifuncional 400</t>
  </si>
  <si>
    <t>Multifuncional 610</t>
  </si>
  <si>
    <t>Chiller 4</t>
  </si>
  <si>
    <t>Multifuncional Boda</t>
  </si>
  <si>
    <t>Pestañadora Ishin</t>
  </si>
  <si>
    <t>Tijeras 1 211-300</t>
  </si>
  <si>
    <t>Tijeras 2 211-300</t>
  </si>
  <si>
    <t>Tijeras 3 401</t>
  </si>
  <si>
    <t>Tijeras 4 401</t>
  </si>
  <si>
    <t>Tijeras 5 603</t>
  </si>
  <si>
    <t>Tijeras 6 603</t>
  </si>
  <si>
    <t>Tijeras 7 404</t>
  </si>
  <si>
    <t>Tijeras 8 610</t>
  </si>
  <si>
    <t>Tijeras 9 610</t>
  </si>
  <si>
    <t>Tijeras 10 cubeta</t>
  </si>
  <si>
    <t>Tijeras 11 cubeta</t>
  </si>
  <si>
    <t>Tijeras automaticas 202</t>
  </si>
  <si>
    <t>Tijeras automaticas 610</t>
  </si>
  <si>
    <t>Bibra</t>
  </si>
  <si>
    <t>Compresores</t>
  </si>
  <si>
    <t>Compresore Champion 1</t>
  </si>
  <si>
    <t>Compresores Champion 2</t>
  </si>
  <si>
    <t>Lead jet 1</t>
  </si>
  <si>
    <t>Lead jet 2</t>
  </si>
  <si>
    <t>Lead jet 3</t>
  </si>
  <si>
    <t>Lead jet 4</t>
  </si>
  <si>
    <t>Lead jet 5</t>
  </si>
  <si>
    <t>2,400 horas</t>
  </si>
  <si>
    <t xml:space="preserve">1,200 HORAS </t>
  </si>
  <si>
    <t>100 horas</t>
  </si>
  <si>
    <t xml:space="preserve">Cambio de aceite de diferencial  </t>
  </si>
  <si>
    <t xml:space="preserve"> 04 h 00 </t>
  </si>
  <si>
    <t xml:space="preserve">Engrasado cubierta del soporte del mástil </t>
  </si>
  <si>
    <t xml:space="preserve">Engrasado cojinete rueda delantera </t>
  </si>
  <si>
    <t xml:space="preserve">Engrasado cilindro de inclinación frontal </t>
  </si>
  <si>
    <t xml:space="preserve"> 02 h 00 </t>
  </si>
  <si>
    <t xml:space="preserve">Engrasado cilindro de dirección  </t>
  </si>
  <si>
    <t xml:space="preserve">Engrasado cadena de elevación </t>
  </si>
  <si>
    <t xml:space="preserve">Engrasado bomba de transmisión </t>
  </si>
  <si>
    <t xml:space="preserve"> 00 h 30 </t>
  </si>
  <si>
    <t xml:space="preserve">Cojinete de la rueda trasera </t>
  </si>
  <si>
    <t xml:space="preserve">Cambio de manguera de alta presión </t>
  </si>
  <si>
    <t>08 h 00 m</t>
  </si>
  <si>
    <t xml:space="preserve">Cambio de aceite de pin de varilla de dirección </t>
  </si>
  <si>
    <t xml:space="preserve">Cambio de aceite de eje motriz </t>
  </si>
  <si>
    <t xml:space="preserve">Revision de liquido de frenos </t>
  </si>
  <si>
    <t xml:space="preserve">Revisión de aceite hidráulico </t>
  </si>
  <si>
    <t xml:space="preserve">Revision de aceite de diferencial </t>
  </si>
  <si>
    <t xml:space="preserve">Engrasado timón sin </t>
  </si>
  <si>
    <t xml:space="preserve">Engrasado pin de pedal de freno </t>
  </si>
  <si>
    <t xml:space="preserve">Engrasado de puntos móviles freno de mano </t>
  </si>
  <si>
    <t>Montacargas Xilin 1</t>
  </si>
  <si>
    <t>Montacargas Xilin 2</t>
  </si>
  <si>
    <t>Codificadoras</t>
  </si>
  <si>
    <t>Electricista</t>
  </si>
  <si>
    <t>Operador</t>
  </si>
  <si>
    <t>tipo de operador</t>
  </si>
  <si>
    <t>Mecánico</t>
  </si>
  <si>
    <t xml:space="preserve">Mecánico </t>
  </si>
  <si>
    <t xml:space="preserve">Electricista </t>
  </si>
  <si>
    <t>Resposable</t>
  </si>
  <si>
    <t xml:space="preserve">Operador </t>
  </si>
  <si>
    <t>Chiller 1</t>
  </si>
  <si>
    <t>Chiller 2</t>
  </si>
  <si>
    <t>Chiller 3</t>
  </si>
  <si>
    <t>Multifuncional 610 2</t>
  </si>
  <si>
    <t>Limpieza de rodillos del alimentador y formadora de cuerpos</t>
  </si>
  <si>
    <t>electricista</t>
  </si>
  <si>
    <t>Prensa segunda operación</t>
  </si>
  <si>
    <t xml:space="preserve">Comprobación del nivel de aceite de lubricador </t>
  </si>
  <si>
    <t xml:space="preserve">Limpieza de de apilador </t>
  </si>
  <si>
    <t xml:space="preserve">Limpieza de guias </t>
  </si>
  <si>
    <t>Envase Pequeño</t>
  </si>
  <si>
    <t>Revision de niveles de aceite hidraulico</t>
  </si>
  <si>
    <t>Ever Morales</t>
  </si>
  <si>
    <t>Alexander Rabanales</t>
  </si>
  <si>
    <t>Cesar Roque</t>
  </si>
  <si>
    <t>Henry Amado</t>
  </si>
  <si>
    <t>Bezalel Mendoza</t>
  </si>
  <si>
    <t>Otto Lopez</t>
  </si>
  <si>
    <t>Christopher Yuman</t>
  </si>
  <si>
    <t>Dany Sotoj</t>
  </si>
  <si>
    <t>Jaime Cabrera</t>
  </si>
  <si>
    <t>Julio Galvez</t>
  </si>
  <si>
    <t>Anthony Campos</t>
  </si>
  <si>
    <t>Binder Chocooj</t>
  </si>
  <si>
    <t>Edgar Aquil</t>
  </si>
  <si>
    <t>Mynor Mijangos</t>
  </si>
  <si>
    <t>Willy Chic</t>
  </si>
  <si>
    <t>Raul Castillo</t>
  </si>
  <si>
    <t>Carlos de Leon</t>
  </si>
  <si>
    <t>Andres Rabanales</t>
  </si>
  <si>
    <t>Pablo Tuche</t>
  </si>
  <si>
    <t>Sergio Linares</t>
  </si>
  <si>
    <t>Ernesto Diaz</t>
  </si>
  <si>
    <t>Daniel Coc</t>
  </si>
  <si>
    <t>Joel Vasquez</t>
  </si>
  <si>
    <t>equipo_id</t>
  </si>
  <si>
    <t>tipo_mantenimiento</t>
  </si>
  <si>
    <t>descripcion</t>
  </si>
  <si>
    <t>tecnico</t>
  </si>
  <si>
    <t>observaciones</t>
  </si>
  <si>
    <t>numero_ot</t>
  </si>
  <si>
    <t>Preventivo</t>
  </si>
  <si>
    <t>fecha_creacion</t>
  </si>
  <si>
    <t>aux</t>
  </si>
  <si>
    <t>1Alexander Rabanales</t>
  </si>
  <si>
    <t>6Alexander Rabanales</t>
  </si>
  <si>
    <t>49Alexander Rabanales</t>
  </si>
  <si>
    <t>123Andres Rabanales</t>
  </si>
  <si>
    <t>4Anthony Campos</t>
  </si>
  <si>
    <t>19Anthony Campos</t>
  </si>
  <si>
    <t>46Anthony Campos</t>
  </si>
  <si>
    <t>47Anthony Campos</t>
  </si>
  <si>
    <t>52Anthony Campos</t>
  </si>
  <si>
    <t>79Anthony Campos</t>
  </si>
  <si>
    <t>106Anthony Campos</t>
  </si>
  <si>
    <t>110Anthony Campos</t>
  </si>
  <si>
    <t>137Anthony Campos</t>
  </si>
  <si>
    <t>155Anthony Campos</t>
  </si>
  <si>
    <t>201Anthony Campos</t>
  </si>
  <si>
    <t>203Anthony Campos</t>
  </si>
  <si>
    <t>204Anthony Campos</t>
  </si>
  <si>
    <t>205Anthony Campos</t>
  </si>
  <si>
    <t>207Anthony Campos</t>
  </si>
  <si>
    <t>208Anthony Campos</t>
  </si>
  <si>
    <t>2Bezalel Mendoza</t>
  </si>
  <si>
    <t>4Bezalel Mendoza</t>
  </si>
  <si>
    <t>5Bezalel Mendoza</t>
  </si>
  <si>
    <t>10Bezalel Mendoza</t>
  </si>
  <si>
    <t>19Bezalel Mendoza</t>
  </si>
  <si>
    <t>20Bezalel Mendoza</t>
  </si>
  <si>
    <t>21Bezalel Mendoza</t>
  </si>
  <si>
    <t>23Bezalel Mendoza</t>
  </si>
  <si>
    <t>25Bezalel Mendoza</t>
  </si>
  <si>
    <t>34Bezalel Mendoza</t>
  </si>
  <si>
    <t>36Bezalel Mendoza</t>
  </si>
  <si>
    <t>43Bezalel Mendoza</t>
  </si>
  <si>
    <t>46Bezalel Mendoza</t>
  </si>
  <si>
    <t>47Bezalel Mendoza</t>
  </si>
  <si>
    <t>49Bezalel Mendoza</t>
  </si>
  <si>
    <t>52Bezalel Mendoza</t>
  </si>
  <si>
    <t>53Bezalel Mendoza</t>
  </si>
  <si>
    <t>55Bezalel Mendoza</t>
  </si>
  <si>
    <t>61Bezalel Mendoza</t>
  </si>
  <si>
    <t>65Bezalel Mendoza</t>
  </si>
  <si>
    <t>79Bezalel Mendoza</t>
  </si>
  <si>
    <t>89Bezalel Mendoza</t>
  </si>
  <si>
    <t>95Bezalel Mendoza</t>
  </si>
  <si>
    <t>98Bezalel Mendoza</t>
  </si>
  <si>
    <t>106Bezalel Mendoza</t>
  </si>
  <si>
    <t>107Bezalel Mendoza</t>
  </si>
  <si>
    <t>110Bezalel Mendoza</t>
  </si>
  <si>
    <t>114Bezalel Mendoza</t>
  </si>
  <si>
    <t>116Bezalel Mendoza</t>
  </si>
  <si>
    <t>118Bezalel Mendoza</t>
  </si>
  <si>
    <t>120Bezalel Mendoza</t>
  </si>
  <si>
    <t>122Bezalel Mendoza</t>
  </si>
  <si>
    <t>123Bezalel Mendoza</t>
  </si>
  <si>
    <t>130Bezalel Mendoza</t>
  </si>
  <si>
    <t>135Bezalel Mendoza</t>
  </si>
  <si>
    <t>137Bezalel Mendoza</t>
  </si>
  <si>
    <t>139Bezalel Mendoza</t>
  </si>
  <si>
    <t>145Bezalel Mendoza</t>
  </si>
  <si>
    <t>155Bezalel Mendoza</t>
  </si>
  <si>
    <t>156Bezalel Mendoza</t>
  </si>
  <si>
    <t>178Bezalel Mendoza</t>
  </si>
  <si>
    <t>180Bezalel Mendoza</t>
  </si>
  <si>
    <t>201Bezalel Mendoza</t>
  </si>
  <si>
    <t>203Bezalel Mendoza</t>
  </si>
  <si>
    <t>204Bezalel Mendoza</t>
  </si>
  <si>
    <t>205Bezalel Mendoza</t>
  </si>
  <si>
    <t>207Bezalel Mendoza</t>
  </si>
  <si>
    <t>208Bezalel Mendoza</t>
  </si>
  <si>
    <t>65Binder Chocooj</t>
  </si>
  <si>
    <t>20Carlos de Leon</t>
  </si>
  <si>
    <t>21Carlos de Leon</t>
  </si>
  <si>
    <t>68Carlos de Leon</t>
  </si>
  <si>
    <t>69Carlos de Leon</t>
  </si>
  <si>
    <t>1Cesar Roque</t>
  </si>
  <si>
    <t>2Cesar Roque</t>
  </si>
  <si>
    <t>6Cesar Roque</t>
  </si>
  <si>
    <t>7Cesar Roque</t>
  </si>
  <si>
    <t>12Cesar Roque</t>
  </si>
  <si>
    <t>16Cesar Roque</t>
  </si>
  <si>
    <t>42Cesar Roque</t>
  </si>
  <si>
    <t>43Cesar Roque</t>
  </si>
  <si>
    <t>49Cesar Roque</t>
  </si>
  <si>
    <t>50Cesar Roque</t>
  </si>
  <si>
    <t>61Cesar Roque</t>
  </si>
  <si>
    <t>62Cesar Roque</t>
  </si>
  <si>
    <t>63Cesar Roque</t>
  </si>
  <si>
    <t>64Cesar Roque</t>
  </si>
  <si>
    <t>66Cesar Roque</t>
  </si>
  <si>
    <t>104Cesar Roque</t>
  </si>
  <si>
    <t>109Cesar Roque</t>
  </si>
  <si>
    <t>123Cesar Roque</t>
  </si>
  <si>
    <t>130Cesar Roque</t>
  </si>
  <si>
    <t>133Cesar Roque</t>
  </si>
  <si>
    <t>134Cesar Roque</t>
  </si>
  <si>
    <t>178Cesar Roque</t>
  </si>
  <si>
    <t>179Cesar Roque</t>
  </si>
  <si>
    <t>63Christopher Yuman</t>
  </si>
  <si>
    <t>64Christopher Yuman</t>
  </si>
  <si>
    <t>24Daniel Coc</t>
  </si>
  <si>
    <t>35Daniel Coc</t>
  </si>
  <si>
    <t>54Daniel Coc</t>
  </si>
  <si>
    <t>96Daniel Coc</t>
  </si>
  <si>
    <t>142Daniel Coc</t>
  </si>
  <si>
    <t>109Dany Sotoj</t>
  </si>
  <si>
    <t>3Edgar Aquil</t>
  </si>
  <si>
    <t>8Edgar Aquil</t>
  </si>
  <si>
    <t>24Edgar Aquil</t>
  </si>
  <si>
    <t>35Edgar Aquil</t>
  </si>
  <si>
    <t>51Edgar Aquil</t>
  </si>
  <si>
    <t>54Edgar Aquil</t>
  </si>
  <si>
    <t>96Edgar Aquil</t>
  </si>
  <si>
    <t>105Edgar Aquil</t>
  </si>
  <si>
    <t>142Edgar Aquil</t>
  </si>
  <si>
    <t>181Edgar Aquil</t>
  </si>
  <si>
    <t>23Ernesto Diaz</t>
  </si>
  <si>
    <t>34Ernesto Diaz</t>
  </si>
  <si>
    <t>89Ernesto Diaz</t>
  </si>
  <si>
    <t>95Ernesto Diaz</t>
  </si>
  <si>
    <t>139Ernesto Diaz</t>
  </si>
  <si>
    <t>156Ernesto Diaz</t>
  </si>
  <si>
    <t>1Ever Morales</t>
  </si>
  <si>
    <t>2Ever Morales</t>
  </si>
  <si>
    <t>3Ever Morales</t>
  </si>
  <si>
    <t>6Ever Morales</t>
  </si>
  <si>
    <t>7Ever Morales</t>
  </si>
  <si>
    <t>8Ever Morales</t>
  </si>
  <si>
    <t>12Ever Morales</t>
  </si>
  <si>
    <t>16Ever Morales</t>
  </si>
  <si>
    <t>24Ever Morales</t>
  </si>
  <si>
    <t>26Ever Morales</t>
  </si>
  <si>
    <t>27Ever Morales</t>
  </si>
  <si>
    <t>28Ever Morales</t>
  </si>
  <si>
    <t>29Ever Morales</t>
  </si>
  <si>
    <t>30Ever Morales</t>
  </si>
  <si>
    <t>35Ever Morales</t>
  </si>
  <si>
    <t>42Ever Morales</t>
  </si>
  <si>
    <t>49Ever Morales</t>
  </si>
  <si>
    <t>50Ever Morales</t>
  </si>
  <si>
    <t>51Ever Morales</t>
  </si>
  <si>
    <t>53Ever Morales</t>
  </si>
  <si>
    <t>54Ever Morales</t>
  </si>
  <si>
    <t>61Ever Morales</t>
  </si>
  <si>
    <t>62Ever Morales</t>
  </si>
  <si>
    <t>63Ever Morales</t>
  </si>
  <si>
    <t>64Ever Morales</t>
  </si>
  <si>
    <t>66Ever Morales</t>
  </si>
  <si>
    <t>96Ever Morales</t>
  </si>
  <si>
    <t>104Ever Morales</t>
  </si>
  <si>
    <t>105Ever Morales</t>
  </si>
  <si>
    <t>109Ever Morales</t>
  </si>
  <si>
    <t>112Ever Morales</t>
  </si>
  <si>
    <t>113Ever Morales</t>
  </si>
  <si>
    <t>115Ever Morales</t>
  </si>
  <si>
    <t>117Ever Morales</t>
  </si>
  <si>
    <t>119Ever Morales</t>
  </si>
  <si>
    <t>121Ever Morales</t>
  </si>
  <si>
    <t>124Ever Morales</t>
  </si>
  <si>
    <t>133Ever Morales</t>
  </si>
  <si>
    <t>134Ever Morales</t>
  </si>
  <si>
    <t>142Ever Morales</t>
  </si>
  <si>
    <t>179Ever Morales</t>
  </si>
  <si>
    <t>181Ever Morales</t>
  </si>
  <si>
    <t>12Henry Amado</t>
  </si>
  <si>
    <t>61Henry Amado</t>
  </si>
  <si>
    <t>62Henry Amado</t>
  </si>
  <si>
    <t>5Jaime Cabrera</t>
  </si>
  <si>
    <t>10Jaime Cabrera</t>
  </si>
  <si>
    <t>107Jaime Cabrera</t>
  </si>
  <si>
    <t>25Joel Vasquez</t>
  </si>
  <si>
    <t>36Joel Vasquez</t>
  </si>
  <si>
    <t>55Joel Vasquez</t>
  </si>
  <si>
    <t>98Joel Vasquez</t>
  </si>
  <si>
    <t>145Joel Vasquez</t>
  </si>
  <si>
    <t>5Julio Galvez</t>
  </si>
  <si>
    <t>10Julio Galvez</t>
  </si>
  <si>
    <t>46Julio Galvez</t>
  </si>
  <si>
    <t>53Julio Galvez</t>
  </si>
  <si>
    <t>65Julio Galvez</t>
  </si>
  <si>
    <t>107Julio Galvez</t>
  </si>
  <si>
    <t>124Julio Galvez</t>
  </si>
  <si>
    <t>135Julio Galvez</t>
  </si>
  <si>
    <t>180Julio Galvez</t>
  </si>
  <si>
    <t>112Mynor Mijangos</t>
  </si>
  <si>
    <t>113Mynor Mijangos</t>
  </si>
  <si>
    <t>114Mynor Mijangos</t>
  </si>
  <si>
    <t>115Mynor Mijangos</t>
  </si>
  <si>
    <t>116Mynor Mijangos</t>
  </si>
  <si>
    <t>117Mynor Mijangos</t>
  </si>
  <si>
    <t>118Mynor Mijangos</t>
  </si>
  <si>
    <t>119Mynor Mijangos</t>
  </si>
  <si>
    <t>120Mynor Mijangos</t>
  </si>
  <si>
    <t>121Mynor Mijangos</t>
  </si>
  <si>
    <t>122Mynor Mijangos</t>
  </si>
  <si>
    <t>2Otto Lopez</t>
  </si>
  <si>
    <t>7Otto Lopez</t>
  </si>
  <si>
    <t>104Otto Lopez</t>
  </si>
  <si>
    <t>109Otto Lopez</t>
  </si>
  <si>
    <t>3Pablo Tuche</t>
  </si>
  <si>
    <t>4Pablo Tuche</t>
  </si>
  <si>
    <t>8Pablo Tuche</t>
  </si>
  <si>
    <t>16Pablo Tuche</t>
  </si>
  <si>
    <t>19Pablo Tuche</t>
  </si>
  <si>
    <t>47Pablo Tuche</t>
  </si>
  <si>
    <t>66Pablo Tuche</t>
  </si>
  <si>
    <t>79Pablo Tuche</t>
  </si>
  <si>
    <t>105Pablo Tuche</t>
  </si>
  <si>
    <t>106Pablo Tuche</t>
  </si>
  <si>
    <t>110Pablo Tuche</t>
  </si>
  <si>
    <t>155Pablo Tuche</t>
  </si>
  <si>
    <t>25Raul Castillo</t>
  </si>
  <si>
    <t>36Raul Castillo</t>
  </si>
  <si>
    <t>55Raul Castillo</t>
  </si>
  <si>
    <t>98Raul Castillo</t>
  </si>
  <si>
    <t>145Raul Castillo</t>
  </si>
  <si>
    <t>124Sergio Linares</t>
  </si>
  <si>
    <t>23Willy Chic</t>
  </si>
  <si>
    <t>34Willy Chic</t>
  </si>
  <si>
    <t>89Willy Chic</t>
  </si>
  <si>
    <t>95Willy Chic</t>
  </si>
  <si>
    <t>139Willy Chic</t>
  </si>
  <si>
    <t>156Willy Chic</t>
  </si>
  <si>
    <t>codigo_actividad</t>
  </si>
  <si>
    <t>AS01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</si>
  <si>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</si>
  <si>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</si>
  <si>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</si>
  <si>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</si>
  <si>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</si>
  <si>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</si>
  <si>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</si>
  <si>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</si>
  <si>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</si>
  <si>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</si>
  <si>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</si>
  <si>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</si>
  <si>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</si>
  <si>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</si>
  <si>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</si>
  <si>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</si>
  <si>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</si>
  <si>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</si>
  <si>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</si>
  <si>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</si>
  <si>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</si>
  <si>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</si>
  <si>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</si>
  <si>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</si>
  <si>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</si>
  <si>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</si>
  <si>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</si>
  <si>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</si>
  <si>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</si>
  <si>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</si>
  <si>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</si>
  <si>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</si>
  <si>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</si>
  <si>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AS35</t>
  </si>
  <si>
    <t>AS36</t>
  </si>
  <si>
    <t>AS37</t>
  </si>
  <si>
    <t>AS38</t>
  </si>
  <si>
    <t>AS39</t>
  </si>
  <si>
    <t>AS40</t>
  </si>
  <si>
    <t>AS41</t>
  </si>
  <si>
    <t>AS42</t>
  </si>
  <si>
    <t>AS43</t>
  </si>
  <si>
    <t>AS44</t>
  </si>
  <si>
    <t>AS45</t>
  </si>
  <si>
    <t>AS46</t>
  </si>
  <si>
    <t>AS47</t>
  </si>
  <si>
    <t>AS48</t>
  </si>
  <si>
    <t>AS49</t>
  </si>
  <si>
    <t>AS50</t>
  </si>
  <si>
    <t>AS51</t>
  </si>
  <si>
    <t>AS52</t>
  </si>
  <si>
    <t>AS53</t>
  </si>
  <si>
    <t>AS54</t>
  </si>
  <si>
    <t>AS55</t>
  </si>
  <si>
    <t>AS56</t>
  </si>
  <si>
    <t>AS57</t>
  </si>
  <si>
    <t>AS58</t>
  </si>
  <si>
    <t>AS59</t>
  </si>
  <si>
    <t>AS60</t>
  </si>
  <si>
    <t>AS61</t>
  </si>
  <si>
    <t>AS62</t>
  </si>
  <si>
    <t>AS63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</si>
  <si>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</si>
  <si>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</si>
  <si>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</si>
  <si>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</si>
  <si>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</si>
  <si>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</si>
  <si>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</si>
  <si>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</si>
  <si>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</si>
  <si>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</si>
  <si>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</si>
  <si>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</si>
  <si>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</si>
  <si>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</si>
  <si>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</si>
  <si>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</si>
  <si>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</si>
  <si>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</si>
  <si>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</si>
  <si>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</si>
  <si>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</si>
  <si>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</si>
  <si>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</si>
  <si>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</si>
  <si>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</si>
  <si>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</si>
  <si>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</si>
  <si>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</si>
  <si>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AS92</t>
  </si>
  <si>
    <t>AS93</t>
  </si>
  <si>
    <t>AS94</t>
  </si>
  <si>
    <t>AS95</t>
  </si>
  <si>
    <t>AS96</t>
  </si>
  <si>
    <t>AS97</t>
  </si>
  <si>
    <t>AS98</t>
  </si>
  <si>
    <t>AS99</t>
  </si>
  <si>
    <t>AS100</t>
  </si>
  <si>
    <t>AS101</t>
  </si>
  <si>
    <t>AS102</t>
  </si>
  <si>
    <t>AS103</t>
  </si>
  <si>
    <t>AS104</t>
  </si>
  <si>
    <t>AS105</t>
  </si>
  <si>
    <t>AS106</t>
  </si>
  <si>
    <t>AS107</t>
  </si>
  <si>
    <t>AS108</t>
  </si>
  <si>
    <t>AS109</t>
  </si>
  <si>
    <t>AS110</t>
  </si>
  <si>
    <t>AS111</t>
  </si>
  <si>
    <t>AS112</t>
  </si>
  <si>
    <t>AS113</t>
  </si>
  <si>
    <t>AS114</t>
  </si>
  <si>
    <t>AS115</t>
  </si>
  <si>
    <t>AS116</t>
  </si>
  <si>
    <t>AS117</t>
  </si>
  <si>
    <t>AS118</t>
  </si>
  <si>
    <t>AS119</t>
  </si>
  <si>
    <t>AS120</t>
  </si>
  <si>
    <t>AS121</t>
  </si>
  <si>
    <t>AS122</t>
  </si>
  <si>
    <t>AS123</t>
  </si>
  <si>
    <t>AS124</t>
  </si>
  <si>
    <t>AS125</t>
  </si>
  <si>
    <t>AS126</t>
  </si>
  <si>
    <t>AS127</t>
  </si>
  <si>
    <t>AS128</t>
  </si>
  <si>
    <t>AS129</t>
  </si>
  <si>
    <t>AS130</t>
  </si>
  <si>
    <t>AS131</t>
  </si>
  <si>
    <t>AS132</t>
  </si>
  <si>
    <t>AS133</t>
  </si>
  <si>
    <t>AS134</t>
  </si>
  <si>
    <t>AS135</t>
  </si>
  <si>
    <t>AS136</t>
  </si>
  <si>
    <t>AS137</t>
  </si>
  <si>
    <t>AS138</t>
  </si>
  <si>
    <t>AS139</t>
  </si>
  <si>
    <t>AS140</t>
  </si>
  <si>
    <t>AS141</t>
  </si>
  <si>
    <t>AS142</t>
  </si>
  <si>
    <t>AS143</t>
  </si>
  <si>
    <t>AS144</t>
  </si>
  <si>
    <t>AS145</t>
  </si>
  <si>
    <t>AS146</t>
  </si>
  <si>
    <t>AS147</t>
  </si>
  <si>
    <t>AS148</t>
  </si>
  <si>
    <t>AS149</t>
  </si>
  <si>
    <t>AS150</t>
  </si>
  <si>
    <t>AS151</t>
  </si>
  <si>
    <t>AS152</t>
  </si>
  <si>
    <t>AS153</t>
  </si>
  <si>
    <t>AS154</t>
  </si>
  <si>
    <t>AS155</t>
  </si>
  <si>
    <t>AS156</t>
  </si>
  <si>
    <t>AS157</t>
  </si>
  <si>
    <t>AS158</t>
  </si>
  <si>
    <t>AS159</t>
  </si>
  <si>
    <t>AS160</t>
  </si>
  <si>
    <t>AS161</t>
  </si>
  <si>
    <t>AS162</t>
  </si>
  <si>
    <t>AS163</t>
  </si>
  <si>
    <t>AS164</t>
  </si>
  <si>
    <t>AS165</t>
  </si>
  <si>
    <t>AS166</t>
  </si>
  <si>
    <t>AS167</t>
  </si>
  <si>
    <t>AS168</t>
  </si>
  <si>
    <t>AS169</t>
  </si>
  <si>
    <t>AS170</t>
  </si>
  <si>
    <t>AS171</t>
  </si>
  <si>
    <t>AS172</t>
  </si>
  <si>
    <t>AS173</t>
  </si>
  <si>
    <t>AS174</t>
  </si>
  <si>
    <t>AS175</t>
  </si>
  <si>
    <t>AS176</t>
  </si>
  <si>
    <t>AS177</t>
  </si>
  <si>
    <t>AS178</t>
  </si>
  <si>
    <t>AS179</t>
  </si>
  <si>
    <t>AS180</t>
  </si>
  <si>
    <t>AS181</t>
  </si>
  <si>
    <t>AS182</t>
  </si>
  <si>
    <t>AS183</t>
  </si>
  <si>
    <t>AS184</t>
  </si>
  <si>
    <t>AS185</t>
  </si>
  <si>
    <t>AS186</t>
  </si>
  <si>
    <t>AS187</t>
  </si>
  <si>
    <t>AS188</t>
  </si>
  <si>
    <t>AS189</t>
  </si>
  <si>
    <t>AS190</t>
  </si>
  <si>
    <t>AS191</t>
  </si>
  <si>
    <t>AS192</t>
  </si>
  <si>
    <t>AS193</t>
  </si>
  <si>
    <t>AS194</t>
  </si>
  <si>
    <t>AS195</t>
  </si>
  <si>
    <t>AS196</t>
  </si>
  <si>
    <t>AS197</t>
  </si>
  <si>
    <t>AS198</t>
  </si>
  <si>
    <t>AS199</t>
  </si>
  <si>
    <t>AS200</t>
  </si>
  <si>
    <t>AS201</t>
  </si>
  <si>
    <t>AS202</t>
  </si>
  <si>
    <t>AS203</t>
  </si>
  <si>
    <t>AS204</t>
  </si>
  <si>
    <t>AS205</t>
  </si>
  <si>
    <t>AS206</t>
  </si>
  <si>
    <t>AS207</t>
  </si>
  <si>
    <t>AS208</t>
  </si>
  <si>
    <t>AS209</t>
  </si>
  <si>
    <t>AS210</t>
  </si>
  <si>
    <t>AS211</t>
  </si>
  <si>
    <t>AS212</t>
  </si>
  <si>
    <t>AS213</t>
  </si>
  <si>
    <t>AS214</t>
  </si>
  <si>
    <t>AS215</t>
  </si>
  <si>
    <t>AS216</t>
  </si>
  <si>
    <t>AS217</t>
  </si>
  <si>
    <t>AS218</t>
  </si>
  <si>
    <t>AS219</t>
  </si>
  <si>
    <t>AS220</t>
  </si>
  <si>
    <t>AS221</t>
  </si>
  <si>
    <t>AS222</t>
  </si>
  <si>
    <t>AS223</t>
  </si>
  <si>
    <t>AS224</t>
  </si>
  <si>
    <t>AS225</t>
  </si>
  <si>
    <t>AS226</t>
  </si>
  <si>
    <t>AS227</t>
  </si>
  <si>
    <t>AS228</t>
  </si>
  <si>
    <t>AS229</t>
  </si>
  <si>
    <t>AS230</t>
  </si>
  <si>
    <t>AS231</t>
  </si>
  <si>
    <t>AS232</t>
  </si>
  <si>
    <t>AS233</t>
  </si>
  <si>
    <t>AS234</t>
  </si>
  <si>
    <t>AS235</t>
  </si>
  <si>
    <t>AS236</t>
  </si>
  <si>
    <t>AS237</t>
  </si>
  <si>
    <t>AS238</t>
  </si>
  <si>
    <t>AS239</t>
  </si>
  <si>
    <t>AS240</t>
  </si>
  <si>
    <t>AS241</t>
  </si>
  <si>
    <t>AS242</t>
  </si>
  <si>
    <t>AS243</t>
  </si>
  <si>
    <t>AS244</t>
  </si>
  <si>
    <t>AS245</t>
  </si>
  <si>
    <t>AS246</t>
  </si>
  <si>
    <t>AS247</t>
  </si>
  <si>
    <t>AS248</t>
  </si>
  <si>
    <t>AS249</t>
  </si>
  <si>
    <t>AS250</t>
  </si>
  <si>
    <t>AS251</t>
  </si>
  <si>
    <t>AS252</t>
  </si>
  <si>
    <t>AS253</t>
  </si>
  <si>
    <t>AS254</t>
  </si>
  <si>
    <t>AS255</t>
  </si>
  <si>
    <t>AS256</t>
  </si>
  <si>
    <t>AS257</t>
  </si>
  <si>
    <t>AS258</t>
  </si>
  <si>
    <t>AS259</t>
  </si>
  <si>
    <t>AS260</t>
  </si>
  <si>
    <t>AS261</t>
  </si>
  <si>
    <t>AS262</t>
  </si>
  <si>
    <t>AS263</t>
  </si>
  <si>
    <t>AS264</t>
  </si>
  <si>
    <t>AS265</t>
  </si>
  <si>
    <t>AS266</t>
  </si>
  <si>
    <t>AS267</t>
  </si>
  <si>
    <t>AS268</t>
  </si>
  <si>
    <t>AS269</t>
  </si>
  <si>
    <t>AS270</t>
  </si>
  <si>
    <t>AS271</t>
  </si>
  <si>
    <t>AS272</t>
  </si>
  <si>
    <t>AS273</t>
  </si>
  <si>
    <t>AS274</t>
  </si>
  <si>
    <t>AS275</t>
  </si>
  <si>
    <t>AS276</t>
  </si>
  <si>
    <t>AS277</t>
  </si>
  <si>
    <t>AS278</t>
  </si>
  <si>
    <t>AS279</t>
  </si>
  <si>
    <t>AS280</t>
  </si>
  <si>
    <t>AS281</t>
  </si>
  <si>
    <t>AS282</t>
  </si>
  <si>
    <t>AS283</t>
  </si>
  <si>
    <t>AS284</t>
  </si>
  <si>
    <t>AS285</t>
  </si>
  <si>
    <t>AS286</t>
  </si>
  <si>
    <t>AS287</t>
  </si>
  <si>
    <t>AS288</t>
  </si>
  <si>
    <t>AS289</t>
  </si>
  <si>
    <t>AS290</t>
  </si>
  <si>
    <t>AS291</t>
  </si>
  <si>
    <t>AS292</t>
  </si>
  <si>
    <t>AS293</t>
  </si>
  <si>
    <t>AS294</t>
  </si>
  <si>
    <t>AS295</t>
  </si>
  <si>
    <t>AS296</t>
  </si>
  <si>
    <t>AS297</t>
  </si>
  <si>
    <t>AS298</t>
  </si>
  <si>
    <t>AS299</t>
  </si>
  <si>
    <t>AS300</t>
  </si>
  <si>
    <t>AS301</t>
  </si>
  <si>
    <t>AS302</t>
  </si>
  <si>
    <t>AS303</t>
  </si>
  <si>
    <t>AS304</t>
  </si>
  <si>
    <t>AS305</t>
  </si>
  <si>
    <t>AS306</t>
  </si>
  <si>
    <t>AS307</t>
  </si>
  <si>
    <t>AS308</t>
  </si>
  <si>
    <t>AS309</t>
  </si>
  <si>
    <t>AS310</t>
  </si>
  <si>
    <t>AS311</t>
  </si>
  <si>
    <t>AS312</t>
  </si>
  <si>
    <t>AS313</t>
  </si>
  <si>
    <t>AS314</t>
  </si>
  <si>
    <t>AS315</t>
  </si>
  <si>
    <t>AS316</t>
  </si>
  <si>
    <t>AS317</t>
  </si>
  <si>
    <t>AS318</t>
  </si>
  <si>
    <t>AS319</t>
  </si>
  <si>
    <t>AS320</t>
  </si>
  <si>
    <t>AS321</t>
  </si>
  <si>
    <t>AS322</t>
  </si>
  <si>
    <t>AS323</t>
  </si>
  <si>
    <t>AS324</t>
  </si>
  <si>
    <t>AS325</t>
  </si>
  <si>
    <t>AS326</t>
  </si>
  <si>
    <t>AS327</t>
  </si>
  <si>
    <t>AS328</t>
  </si>
  <si>
    <t>AS329</t>
  </si>
  <si>
    <t>AS330</t>
  </si>
  <si>
    <t>AS331</t>
  </si>
  <si>
    <t>AS332</t>
  </si>
  <si>
    <t>AS333</t>
  </si>
  <si>
    <t>AS334</t>
  </si>
  <si>
    <t>AS335</t>
  </si>
  <si>
    <t>AS336</t>
  </si>
  <si>
    <t>AS337</t>
  </si>
  <si>
    <t>AS338</t>
  </si>
  <si>
    <t>AS339</t>
  </si>
  <si>
    <t>AS340</t>
  </si>
  <si>
    <t>AS341</t>
  </si>
  <si>
    <t>AS342</t>
  </si>
  <si>
    <t>AS343</t>
  </si>
  <si>
    <t>AS344</t>
  </si>
  <si>
    <t>AS345</t>
  </si>
  <si>
    <t>AS346</t>
  </si>
  <si>
    <t>AS347</t>
  </si>
  <si>
    <t>AS348</t>
  </si>
  <si>
    <t>AS349</t>
  </si>
  <si>
    <t>AS350</t>
  </si>
  <si>
    <t>AS351</t>
  </si>
  <si>
    <t>AS352</t>
  </si>
  <si>
    <t>AS353</t>
  </si>
  <si>
    <t>AS354</t>
  </si>
  <si>
    <t>AS355</t>
  </si>
  <si>
    <t>AS356</t>
  </si>
  <si>
    <t>AS357</t>
  </si>
  <si>
    <t>AS358</t>
  </si>
  <si>
    <t>AS359</t>
  </si>
  <si>
    <t>AS360</t>
  </si>
  <si>
    <t>AS361</t>
  </si>
  <si>
    <t>AS362</t>
  </si>
  <si>
    <t>AS363</t>
  </si>
  <si>
    <t>AS364</t>
  </si>
  <si>
    <t>AS365</t>
  </si>
  <si>
    <t>AS366</t>
  </si>
  <si>
    <t>AS367</t>
  </si>
  <si>
    <t>AS368</t>
  </si>
  <si>
    <t>AS369</t>
  </si>
  <si>
    <t>AS370</t>
  </si>
  <si>
    <t>AS371</t>
  </si>
  <si>
    <t>AS372</t>
  </si>
  <si>
    <t>AS373</t>
  </si>
  <si>
    <t>AS374</t>
  </si>
  <si>
    <t>AS375</t>
  </si>
  <si>
    <t>AS376</t>
  </si>
  <si>
    <t>AS377</t>
  </si>
  <si>
    <t>AS378</t>
  </si>
  <si>
    <t>AS379</t>
  </si>
  <si>
    <t>AS380</t>
  </si>
  <si>
    <t>AS381</t>
  </si>
  <si>
    <t>AS382</t>
  </si>
  <si>
    <t>AS383</t>
  </si>
  <si>
    <t>AS384</t>
  </si>
  <si>
    <t>AS385</t>
  </si>
  <si>
    <t>AS386</t>
  </si>
  <si>
    <t>AS387</t>
  </si>
  <si>
    <t>AS388</t>
  </si>
  <si>
    <t>AS389</t>
  </si>
  <si>
    <t>AS390</t>
  </si>
  <si>
    <t>AS391</t>
  </si>
  <si>
    <t>AS392</t>
  </si>
  <si>
    <t>AS393</t>
  </si>
  <si>
    <t>AS394</t>
  </si>
  <si>
    <t>AS395</t>
  </si>
  <si>
    <t>AS396</t>
  </si>
  <si>
    <t>AS397</t>
  </si>
  <si>
    <t>AS398</t>
  </si>
  <si>
    <t>AS399</t>
  </si>
  <si>
    <t>AS400</t>
  </si>
  <si>
    <t>AS401</t>
  </si>
  <si>
    <t>AS402</t>
  </si>
  <si>
    <t>AS403</t>
  </si>
  <si>
    <t>AS404</t>
  </si>
  <si>
    <t>AS405</t>
  </si>
  <si>
    <t>AS406</t>
  </si>
  <si>
    <t>AS407</t>
  </si>
  <si>
    <t>AS408</t>
  </si>
  <si>
    <t>AS409</t>
  </si>
  <si>
    <t>AS410</t>
  </si>
  <si>
    <t>AS411</t>
  </si>
  <si>
    <t>AS412</t>
  </si>
  <si>
    <t>AS413</t>
  </si>
  <si>
    <t>AS414</t>
  </si>
  <si>
    <t>AS415</t>
  </si>
  <si>
    <t>AS416</t>
  </si>
  <si>
    <t>AS417</t>
  </si>
  <si>
    <t>AS418</t>
  </si>
  <si>
    <t>AS419</t>
  </si>
  <si>
    <t>AS420</t>
  </si>
  <si>
    <t>AS421</t>
  </si>
  <si>
    <t>AS422</t>
  </si>
  <si>
    <t>AS423</t>
  </si>
  <si>
    <t>AS424</t>
  </si>
  <si>
    <t>AS425</t>
  </si>
  <si>
    <t>AS426</t>
  </si>
  <si>
    <t>AS427</t>
  </si>
  <si>
    <t>AS428</t>
  </si>
  <si>
    <t>AS429</t>
  </si>
  <si>
    <t>AS430</t>
  </si>
  <si>
    <t>AS431</t>
  </si>
  <si>
    <t>AS432</t>
  </si>
  <si>
    <t>AS433</t>
  </si>
  <si>
    <t>AS434</t>
  </si>
  <si>
    <t>AS435</t>
  </si>
  <si>
    <t>AS436</t>
  </si>
  <si>
    <t>AS437</t>
  </si>
  <si>
    <t>AS438</t>
  </si>
  <si>
    <t>AS439</t>
  </si>
  <si>
    <t>AS440</t>
  </si>
  <si>
    <t>AS441</t>
  </si>
  <si>
    <t>AS442</t>
  </si>
  <si>
    <t>AS443</t>
  </si>
  <si>
    <t>AS444</t>
  </si>
  <si>
    <t>AS445</t>
  </si>
  <si>
    <t>AS446</t>
  </si>
  <si>
    <t>AS447</t>
  </si>
  <si>
    <t>AS448</t>
  </si>
  <si>
    <t>AS449</t>
  </si>
  <si>
    <t>AS450</t>
  </si>
  <si>
    <t>AS451</t>
  </si>
  <si>
    <t>AS452</t>
  </si>
  <si>
    <t>AS453</t>
  </si>
  <si>
    <t>AS454</t>
  </si>
  <si>
    <t>AS455</t>
  </si>
  <si>
    <t>AS456</t>
  </si>
  <si>
    <t>AS457</t>
  </si>
  <si>
    <t>AS458</t>
  </si>
  <si>
    <t>AS459</t>
  </si>
  <si>
    <t>AS460</t>
  </si>
  <si>
    <t>AS461</t>
  </si>
  <si>
    <t>AS462</t>
  </si>
  <si>
    <t>AS463</t>
  </si>
  <si>
    <t>AS464</t>
  </si>
  <si>
    <t>AS465</t>
  </si>
  <si>
    <t>AS466</t>
  </si>
  <si>
    <t>AS467</t>
  </si>
  <si>
    <t>AS468</t>
  </si>
  <si>
    <t>AS469</t>
  </si>
  <si>
    <t>AS470</t>
  </si>
  <si>
    <t>AS471</t>
  </si>
  <si>
    <t>AS472</t>
  </si>
  <si>
    <t>AS473</t>
  </si>
  <si>
    <t>AS474</t>
  </si>
  <si>
    <t>AS475</t>
  </si>
  <si>
    <t>AS476</t>
  </si>
  <si>
    <t>AS477</t>
  </si>
  <si>
    <t>AS478</t>
  </si>
  <si>
    <t>AS479</t>
  </si>
  <si>
    <t>AS480</t>
  </si>
  <si>
    <t>AS481</t>
  </si>
  <si>
    <t>AS482</t>
  </si>
  <si>
    <t>AS483</t>
  </si>
  <si>
    <t>AS484</t>
  </si>
  <si>
    <t>AS485</t>
  </si>
  <si>
    <t>AS486</t>
  </si>
  <si>
    <t>AS487</t>
  </si>
  <si>
    <t>AS488</t>
  </si>
  <si>
    <t>AS489</t>
  </si>
  <si>
    <t>AS490</t>
  </si>
  <si>
    <t>AS491</t>
  </si>
  <si>
    <t>AS492</t>
  </si>
  <si>
    <t>AS493</t>
  </si>
  <si>
    <t>AS494</t>
  </si>
  <si>
    <t>AS495</t>
  </si>
  <si>
    <t>AS496</t>
  </si>
  <si>
    <t>AS497</t>
  </si>
  <si>
    <t>AS498</t>
  </si>
  <si>
    <t>AS499</t>
  </si>
  <si>
    <t>AS500</t>
  </si>
  <si>
    <t>AS501</t>
  </si>
  <si>
    <t>AS502</t>
  </si>
  <si>
    <t>AS503</t>
  </si>
  <si>
    <t>AS504</t>
  </si>
  <si>
    <t>AS505</t>
  </si>
  <si>
    <t>AS506</t>
  </si>
  <si>
    <t>AS507</t>
  </si>
  <si>
    <t>AS508</t>
  </si>
  <si>
    <t>AS509</t>
  </si>
  <si>
    <t>AS510</t>
  </si>
  <si>
    <t>AS511</t>
  </si>
  <si>
    <t>AS512</t>
  </si>
  <si>
    <t>AS513</t>
  </si>
  <si>
    <t>AS514</t>
  </si>
  <si>
    <t>AS515</t>
  </si>
  <si>
    <t>AS516</t>
  </si>
  <si>
    <t>AS517</t>
  </si>
  <si>
    <t>AS518</t>
  </si>
  <si>
    <t>AS519</t>
  </si>
  <si>
    <t>AS520</t>
  </si>
  <si>
    <t>AS521</t>
  </si>
  <si>
    <t>AS522</t>
  </si>
  <si>
    <t>AS523</t>
  </si>
  <si>
    <t>AS524</t>
  </si>
  <si>
    <t>AS525</t>
  </si>
  <si>
    <t>AS526</t>
  </si>
  <si>
    <t>AS527</t>
  </si>
  <si>
    <t>AS528</t>
  </si>
  <si>
    <t>AS529</t>
  </si>
  <si>
    <t>AS530</t>
  </si>
  <si>
    <t>AS531</t>
  </si>
  <si>
    <t>AS532</t>
  </si>
  <si>
    <t>AS533</t>
  </si>
  <si>
    <t>AS534</t>
  </si>
  <si>
    <t>AS535</t>
  </si>
  <si>
    <t>AS536</t>
  </si>
  <si>
    <t>AS537</t>
  </si>
  <si>
    <t>AS538</t>
  </si>
  <si>
    <t>AS539</t>
  </si>
  <si>
    <t>AS540</t>
  </si>
  <si>
    <t>AS541</t>
  </si>
  <si>
    <t>AS542</t>
  </si>
  <si>
    <t>AS543</t>
  </si>
  <si>
    <t>AS544</t>
  </si>
  <si>
    <t>AS545</t>
  </si>
  <si>
    <t>AS546</t>
  </si>
  <si>
    <t>AS547</t>
  </si>
  <si>
    <t>AS548</t>
  </si>
  <si>
    <t>AS549</t>
  </si>
  <si>
    <t>AS550</t>
  </si>
  <si>
    <t>AS551</t>
  </si>
  <si>
    <t>AS552</t>
  </si>
  <si>
    <t>AS553</t>
  </si>
  <si>
    <t>AS554</t>
  </si>
  <si>
    <t>AS555</t>
  </si>
  <si>
    <t>AS556</t>
  </si>
  <si>
    <t>AS557</t>
  </si>
  <si>
    <t>AS558</t>
  </si>
  <si>
    <t>AS559</t>
  </si>
  <si>
    <t>AS560</t>
  </si>
  <si>
    <t>AS561</t>
  </si>
  <si>
    <t>AS562</t>
  </si>
  <si>
    <t>AS563</t>
  </si>
  <si>
    <t>AS564</t>
  </si>
  <si>
    <t>AS565</t>
  </si>
  <si>
    <t>AS566</t>
  </si>
  <si>
    <t>AS567</t>
  </si>
  <si>
    <t>AS568</t>
  </si>
  <si>
    <t>AS569</t>
  </si>
  <si>
    <t>AS570</t>
  </si>
  <si>
    <t>AS571</t>
  </si>
  <si>
    <t>AS572</t>
  </si>
  <si>
    <t>AS573</t>
  </si>
  <si>
    <t>AS574</t>
  </si>
  <si>
    <t>AS575</t>
  </si>
  <si>
    <t>AS576</t>
  </si>
  <si>
    <t>AS577</t>
  </si>
  <si>
    <t>AS578</t>
  </si>
  <si>
    <t>AS579</t>
  </si>
  <si>
    <t>AS580</t>
  </si>
  <si>
    <t>AS581</t>
  </si>
  <si>
    <t>AS582</t>
  </si>
  <si>
    <t>AS583</t>
  </si>
  <si>
    <t>AS584</t>
  </si>
  <si>
    <t>AS585</t>
  </si>
  <si>
    <t>AS586</t>
  </si>
  <si>
    <t>AS587</t>
  </si>
  <si>
    <t>AS588</t>
  </si>
  <si>
    <t>AS589</t>
  </si>
  <si>
    <t>AS590</t>
  </si>
  <si>
    <t>AS591</t>
  </si>
  <si>
    <t>AS592</t>
  </si>
  <si>
    <t>AS593</t>
  </si>
  <si>
    <t>AS594</t>
  </si>
  <si>
    <t>AS595</t>
  </si>
  <si>
    <t>AS596</t>
  </si>
  <si>
    <t>AS597</t>
  </si>
  <si>
    <t>AS598</t>
  </si>
  <si>
    <t>AS599</t>
  </si>
  <si>
    <t>AS600</t>
  </si>
  <si>
    <t>AS601</t>
  </si>
  <si>
    <t>AS602</t>
  </si>
  <si>
    <t>AS603</t>
  </si>
  <si>
    <t>AS604</t>
  </si>
  <si>
    <t>AS605</t>
  </si>
  <si>
    <t>AS606</t>
  </si>
  <si>
    <t>AS607</t>
  </si>
  <si>
    <t>AS608</t>
  </si>
  <si>
    <t>AS609</t>
  </si>
  <si>
    <t>AS610</t>
  </si>
  <si>
    <t>AS611</t>
  </si>
  <si>
    <t>AS612</t>
  </si>
  <si>
    <t>AS613</t>
  </si>
  <si>
    <t>AS614</t>
  </si>
  <si>
    <t>AS615</t>
  </si>
  <si>
    <t>AS616</t>
  </si>
  <si>
    <t>AS617</t>
  </si>
  <si>
    <t>AS618</t>
  </si>
  <si>
    <t>AS619</t>
  </si>
  <si>
    <t>AS620</t>
  </si>
  <si>
    <t>AS621</t>
  </si>
  <si>
    <t>AS622</t>
  </si>
  <si>
    <t>AS623</t>
  </si>
  <si>
    <t>AS624</t>
  </si>
  <si>
    <t>AS625</t>
  </si>
  <si>
    <t>AS626</t>
  </si>
  <si>
    <t>AS627</t>
  </si>
  <si>
    <t>AS628</t>
  </si>
  <si>
    <t>AS629</t>
  </si>
  <si>
    <t>AS630</t>
  </si>
  <si>
    <t>AS631</t>
  </si>
  <si>
    <t>AS632</t>
  </si>
  <si>
    <t>AS633</t>
  </si>
  <si>
    <t>AS634</t>
  </si>
  <si>
    <t>AS635</t>
  </si>
  <si>
    <t>AS636</t>
  </si>
  <si>
    <t>AS637</t>
  </si>
  <si>
    <t>AS638</t>
  </si>
  <si>
    <t>AS639</t>
  </si>
  <si>
    <t>AS640</t>
  </si>
  <si>
    <t>AS641</t>
  </si>
  <si>
    <t>AS642</t>
  </si>
  <si>
    <t>AS643</t>
  </si>
  <si>
    <t>AS644</t>
  </si>
  <si>
    <t>AS645</t>
  </si>
  <si>
    <t>AS646</t>
  </si>
  <si>
    <t>AS647</t>
  </si>
  <si>
    <t>AS648</t>
  </si>
  <si>
    <t>AS649</t>
  </si>
  <si>
    <t>AS650</t>
  </si>
  <si>
    <t>AS651</t>
  </si>
  <si>
    <t>AS652</t>
  </si>
  <si>
    <t>AS653</t>
  </si>
  <si>
    <t>AS654</t>
  </si>
  <si>
    <t>AS655</t>
  </si>
  <si>
    <t>AS656</t>
  </si>
  <si>
    <t>AS657</t>
  </si>
  <si>
    <t>AS658</t>
  </si>
  <si>
    <t>AS659</t>
  </si>
  <si>
    <t>AS660</t>
  </si>
  <si>
    <t>AS661</t>
  </si>
  <si>
    <t>AS662</t>
  </si>
  <si>
    <t>AS663</t>
  </si>
  <si>
    <t>AS664</t>
  </si>
  <si>
    <t>AS665</t>
  </si>
  <si>
    <t>AS666</t>
  </si>
  <si>
    <t>AS667</t>
  </si>
  <si>
    <t>AS668</t>
  </si>
  <si>
    <t>AS669</t>
  </si>
  <si>
    <t>AS670</t>
  </si>
  <si>
    <t>AS671</t>
  </si>
  <si>
    <t>AS672</t>
  </si>
  <si>
    <t>AS673</t>
  </si>
  <si>
    <t>AS674</t>
  </si>
  <si>
    <t>AS675</t>
  </si>
  <si>
    <t>AS676</t>
  </si>
  <si>
    <t>AS677</t>
  </si>
  <si>
    <t>AS678</t>
  </si>
  <si>
    <t>AS679</t>
  </si>
  <si>
    <t>AS680</t>
  </si>
  <si>
    <t>AS681</t>
  </si>
  <si>
    <t>AS682</t>
  </si>
  <si>
    <t>AS683</t>
  </si>
  <si>
    <t>AS684</t>
  </si>
  <si>
    <t>AS685</t>
  </si>
  <si>
    <t>AS686</t>
  </si>
  <si>
    <t>AS687</t>
  </si>
  <si>
    <t>AS688</t>
  </si>
  <si>
    <t>AS689</t>
  </si>
  <si>
    <t>AS690</t>
  </si>
  <si>
    <t>AS691</t>
  </si>
  <si>
    <t>AS692</t>
  </si>
  <si>
    <t>AS693</t>
  </si>
  <si>
    <t>AS694</t>
  </si>
  <si>
    <t>AS695</t>
  </si>
  <si>
    <t>AS696</t>
  </si>
  <si>
    <t>AS697</t>
  </si>
  <si>
    <t>AS698</t>
  </si>
  <si>
    <t>AS699</t>
  </si>
  <si>
    <t>AS700</t>
  </si>
  <si>
    <t>AS701</t>
  </si>
  <si>
    <t>AS702</t>
  </si>
  <si>
    <t>AS703</t>
  </si>
  <si>
    <t>AS704</t>
  </si>
  <si>
    <t>AS705</t>
  </si>
  <si>
    <t>AS706</t>
  </si>
  <si>
    <t>AS707</t>
  </si>
  <si>
    <t>AS708</t>
  </si>
  <si>
    <t>AS709</t>
  </si>
  <si>
    <t>AS710</t>
  </si>
  <si>
    <t>AS711</t>
  </si>
  <si>
    <t>AS712</t>
  </si>
  <si>
    <t>AS713</t>
  </si>
  <si>
    <t>AS714</t>
  </si>
  <si>
    <t>AS715</t>
  </si>
  <si>
    <t>AS716</t>
  </si>
  <si>
    <t>AS717</t>
  </si>
  <si>
    <t>AS718</t>
  </si>
  <si>
    <t>AS719</t>
  </si>
  <si>
    <t>AS720</t>
  </si>
  <si>
    <t>AS721</t>
  </si>
  <si>
    <t>AS722</t>
  </si>
  <si>
    <t>AS723</t>
  </si>
  <si>
    <t>AS724</t>
  </si>
  <si>
    <t>AS725</t>
  </si>
  <si>
    <t>AS726</t>
  </si>
  <si>
    <t>AS727</t>
  </si>
  <si>
    <t>AS728</t>
  </si>
  <si>
    <t>AS729</t>
  </si>
  <si>
    <t>AS730</t>
  </si>
  <si>
    <t>AS731</t>
  </si>
  <si>
    <t>AS732</t>
  </si>
  <si>
    <t>AS733</t>
  </si>
  <si>
    <t>AS734</t>
  </si>
  <si>
    <t>AS735</t>
  </si>
  <si>
    <t>AS736</t>
  </si>
  <si>
    <t>AS737</t>
  </si>
  <si>
    <t>AS738</t>
  </si>
  <si>
    <t>AS739</t>
  </si>
  <si>
    <t>AS740</t>
  </si>
  <si>
    <t>AS741</t>
  </si>
  <si>
    <t>AS742</t>
  </si>
  <si>
    <t>AS743</t>
  </si>
  <si>
    <t>AS744</t>
  </si>
  <si>
    <t>AS745</t>
  </si>
  <si>
    <t>AS746</t>
  </si>
  <si>
    <t>AS747</t>
  </si>
  <si>
    <t>AS748</t>
  </si>
  <si>
    <t>AS749</t>
  </si>
  <si>
    <t>AS750</t>
  </si>
  <si>
    <t>AS751</t>
  </si>
  <si>
    <t>AS752</t>
  </si>
  <si>
    <t>AS753</t>
  </si>
  <si>
    <t>AS754</t>
  </si>
  <si>
    <t>AS755</t>
  </si>
  <si>
    <t>AS756</t>
  </si>
  <si>
    <t>AS757</t>
  </si>
  <si>
    <t>AS758</t>
  </si>
  <si>
    <t>AS759</t>
  </si>
  <si>
    <t>AS760</t>
  </si>
  <si>
    <t>AS761</t>
  </si>
  <si>
    <t>AS762</t>
  </si>
  <si>
    <t>AS763</t>
  </si>
  <si>
    <t>AS764</t>
  </si>
  <si>
    <t>AS765</t>
  </si>
  <si>
    <t>AS766</t>
  </si>
  <si>
    <t>AS767</t>
  </si>
  <si>
    <t>AS768</t>
  </si>
  <si>
    <t>AS769</t>
  </si>
  <si>
    <t>AS770</t>
  </si>
  <si>
    <t>AS771</t>
  </si>
  <si>
    <t>AS772</t>
  </si>
  <si>
    <t>AS773</t>
  </si>
  <si>
    <t>AS774</t>
  </si>
  <si>
    <t>AS775</t>
  </si>
  <si>
    <t>AS776</t>
  </si>
  <si>
    <t>AS777</t>
  </si>
  <si>
    <t>AS778</t>
  </si>
  <si>
    <t>AS779</t>
  </si>
  <si>
    <t>AS780</t>
  </si>
  <si>
    <t>AS781</t>
  </si>
  <si>
    <t>AS782</t>
  </si>
  <si>
    <t>AS783</t>
  </si>
  <si>
    <t>AS784</t>
  </si>
  <si>
    <t>AS785</t>
  </si>
  <si>
    <t>AS786</t>
  </si>
  <si>
    <t>AS787</t>
  </si>
  <si>
    <t>AS788</t>
  </si>
  <si>
    <t>AS789</t>
  </si>
  <si>
    <t>AS790</t>
  </si>
  <si>
    <t>AS791</t>
  </si>
  <si>
    <t>AS792</t>
  </si>
  <si>
    <t>AS793</t>
  </si>
  <si>
    <t>AS794</t>
  </si>
  <si>
    <t>AS795</t>
  </si>
  <si>
    <t>AS796</t>
  </si>
  <si>
    <t>AS797</t>
  </si>
  <si>
    <t>AS798</t>
  </si>
  <si>
    <t>AS799</t>
  </si>
  <si>
    <t>AS800</t>
  </si>
  <si>
    <t>AS801</t>
  </si>
  <si>
    <t>AS802</t>
  </si>
  <si>
    <t>AS803</t>
  </si>
  <si>
    <t>AS804</t>
  </si>
  <si>
    <t>AS805</t>
  </si>
  <si>
    <t>AS806</t>
  </si>
  <si>
    <t>AS807</t>
  </si>
  <si>
    <t>AS808</t>
  </si>
  <si>
    <t>AS809</t>
  </si>
  <si>
    <t>AS810</t>
  </si>
  <si>
    <t>AS811</t>
  </si>
  <si>
    <t>AS812</t>
  </si>
  <si>
    <t>AS813</t>
  </si>
  <si>
    <t>AS814</t>
  </si>
  <si>
    <t>AS815</t>
  </si>
  <si>
    <t>AS816</t>
  </si>
  <si>
    <t>AS817</t>
  </si>
  <si>
    <t>AS818</t>
  </si>
  <si>
    <t>AS819</t>
  </si>
  <si>
    <t>AS820</t>
  </si>
  <si>
    <t>AS821</t>
  </si>
  <si>
    <t>AS822</t>
  </si>
  <si>
    <t>AS823</t>
  </si>
  <si>
    <t>AS824</t>
  </si>
  <si>
    <t>AS825</t>
  </si>
  <si>
    <t>AS826</t>
  </si>
  <si>
    <t>AS827</t>
  </si>
  <si>
    <t>AS828</t>
  </si>
  <si>
    <t>AS829</t>
  </si>
  <si>
    <t>AS830</t>
  </si>
  <si>
    <t>AS831</t>
  </si>
  <si>
    <t>AS832</t>
  </si>
  <si>
    <t>AS833</t>
  </si>
  <si>
    <t>AS834</t>
  </si>
  <si>
    <t>AS835</t>
  </si>
  <si>
    <t>AS836</t>
  </si>
  <si>
    <t>AS837</t>
  </si>
  <si>
    <t>AS838</t>
  </si>
  <si>
    <t>AS839</t>
  </si>
  <si>
    <t>AS840</t>
  </si>
  <si>
    <t>AS841</t>
  </si>
  <si>
    <t>AS842</t>
  </si>
  <si>
    <t>AS843</t>
  </si>
  <si>
    <t>AS844</t>
  </si>
  <si>
    <t>AS845</t>
  </si>
  <si>
    <t>AS846</t>
  </si>
  <si>
    <t>AS847</t>
  </si>
  <si>
    <t>AS848</t>
  </si>
  <si>
    <t>AS849</t>
  </si>
  <si>
    <t>AS850</t>
  </si>
  <si>
    <t>AS851</t>
  </si>
  <si>
    <t>AS852</t>
  </si>
  <si>
    <t>AS853</t>
  </si>
  <si>
    <t>AS854</t>
  </si>
  <si>
    <t>AS855</t>
  </si>
  <si>
    <t>AS856</t>
  </si>
  <si>
    <t>AS857</t>
  </si>
  <si>
    <t>AS858</t>
  </si>
  <si>
    <t>AS859</t>
  </si>
  <si>
    <t>AS860</t>
  </si>
  <si>
    <t>AS861</t>
  </si>
  <si>
    <t>AS862</t>
  </si>
  <si>
    <t>AS863</t>
  </si>
  <si>
    <t>AS864</t>
  </si>
  <si>
    <t>AS865</t>
  </si>
  <si>
    <t>AS866</t>
  </si>
  <si>
    <t>AS867</t>
  </si>
  <si>
    <t>AS868</t>
  </si>
  <si>
    <t>AS869</t>
  </si>
  <si>
    <t>AS870</t>
  </si>
  <si>
    <t>AS871</t>
  </si>
  <si>
    <t>AS872</t>
  </si>
  <si>
    <t>AS873</t>
  </si>
  <si>
    <t>AS874</t>
  </si>
  <si>
    <t>AS875</t>
  </si>
  <si>
    <t>AS876</t>
  </si>
  <si>
    <t>AS877</t>
  </si>
  <si>
    <t>AS878</t>
  </si>
  <si>
    <t>AS879</t>
  </si>
  <si>
    <t>AS880</t>
  </si>
  <si>
    <t>AS881</t>
  </si>
  <si>
    <t>AS882</t>
  </si>
  <si>
    <t>AS883</t>
  </si>
  <si>
    <t>AS884</t>
  </si>
  <si>
    <t>AS885</t>
  </si>
  <si>
    <t>AS886</t>
  </si>
  <si>
    <t>AS887</t>
  </si>
  <si>
    <t>AS888</t>
  </si>
  <si>
    <t>AS889</t>
  </si>
  <si>
    <t>AS890</t>
  </si>
  <si>
    <t>AS891</t>
  </si>
  <si>
    <t>AS892</t>
  </si>
  <si>
    <t>AS893</t>
  </si>
  <si>
    <t>AS894</t>
  </si>
  <si>
    <t>AS895</t>
  </si>
  <si>
    <t>AS896</t>
  </si>
  <si>
    <t>AS897</t>
  </si>
  <si>
    <t>AS898</t>
  </si>
  <si>
    <t>AS899</t>
  </si>
  <si>
    <t>AS900</t>
  </si>
  <si>
    <t>AS901</t>
  </si>
  <si>
    <t>AS902</t>
  </si>
  <si>
    <t>AS903</t>
  </si>
  <si>
    <t>AS904</t>
  </si>
  <si>
    <t>AS905</t>
  </si>
  <si>
    <t>AS906</t>
  </si>
  <si>
    <t>AS907</t>
  </si>
  <si>
    <t>AS908</t>
  </si>
  <si>
    <t>AS909</t>
  </si>
  <si>
    <t>AS910</t>
  </si>
  <si>
    <t>AS911</t>
  </si>
  <si>
    <t>AS912</t>
  </si>
  <si>
    <t>AS913</t>
  </si>
  <si>
    <t>AS914</t>
  </si>
  <si>
    <t>AS915</t>
  </si>
  <si>
    <t>AS916</t>
  </si>
  <si>
    <t>AS917</t>
  </si>
  <si>
    <t>AS918</t>
  </si>
  <si>
    <t>AS919</t>
  </si>
  <si>
    <t>AS920</t>
  </si>
  <si>
    <t>AS921</t>
  </si>
  <si>
    <t>AS922</t>
  </si>
  <si>
    <t>AS923</t>
  </si>
  <si>
    <t>AS924</t>
  </si>
  <si>
    <t>AS925</t>
  </si>
  <si>
    <t>AS926</t>
  </si>
  <si>
    <t>AS927</t>
  </si>
  <si>
    <t>AS928</t>
  </si>
  <si>
    <t>AS929</t>
  </si>
  <si>
    <t>AS930</t>
  </si>
  <si>
    <t>AS931</t>
  </si>
  <si>
    <t>AS932</t>
  </si>
  <si>
    <t>AS933</t>
  </si>
  <si>
    <t>AS934</t>
  </si>
  <si>
    <t>AS935</t>
  </si>
  <si>
    <t>AS936</t>
  </si>
  <si>
    <t>AS937</t>
  </si>
  <si>
    <t>AS938</t>
  </si>
  <si>
    <t>AS939</t>
  </si>
  <si>
    <t>AS940</t>
  </si>
  <si>
    <t>AS941</t>
  </si>
  <si>
    <t>AS942</t>
  </si>
  <si>
    <t>AS943</t>
  </si>
  <si>
    <t>AS944</t>
  </si>
  <si>
    <t>AS945</t>
  </si>
  <si>
    <t>AS946</t>
  </si>
  <si>
    <t>AS947</t>
  </si>
  <si>
    <t>AS948</t>
  </si>
  <si>
    <t>AS949</t>
  </si>
  <si>
    <t>AS950</t>
  </si>
  <si>
    <t>AS951</t>
  </si>
  <si>
    <t>AS952</t>
  </si>
  <si>
    <t>AS953</t>
  </si>
  <si>
    <t>AS954</t>
  </si>
  <si>
    <t>AS955</t>
  </si>
  <si>
    <t>AS956</t>
  </si>
  <si>
    <t>AS957</t>
  </si>
  <si>
    <t>AS958</t>
  </si>
  <si>
    <t>AS959</t>
  </si>
  <si>
    <t>AS960</t>
  </si>
  <si>
    <t>AS961</t>
  </si>
  <si>
    <t>AS962</t>
  </si>
  <si>
    <t>AS963</t>
  </si>
  <si>
    <t>AS964</t>
  </si>
  <si>
    <t>AS965</t>
  </si>
  <si>
    <t>AS966</t>
  </si>
  <si>
    <t>AS967</t>
  </si>
  <si>
    <t>AS968</t>
  </si>
  <si>
    <t>AS969</t>
  </si>
  <si>
    <t>AS970</t>
  </si>
  <si>
    <t>AS971</t>
  </si>
  <si>
    <t>AS972</t>
  </si>
  <si>
    <t>AS973</t>
  </si>
  <si>
    <t>AS974</t>
  </si>
  <si>
    <t>AS975</t>
  </si>
  <si>
    <t>AS976</t>
  </si>
  <si>
    <t>AS977</t>
  </si>
  <si>
    <t>AS978</t>
  </si>
  <si>
    <t>AS979</t>
  </si>
  <si>
    <t>AS980</t>
  </si>
  <si>
    <t>AS981</t>
  </si>
  <si>
    <t>AS982</t>
  </si>
  <si>
    <t>AS983</t>
  </si>
  <si>
    <t>AS984</t>
  </si>
  <si>
    <t>AS985</t>
  </si>
  <si>
    <t>AS986</t>
  </si>
  <si>
    <t>AS987</t>
  </si>
  <si>
    <t>AS988</t>
  </si>
  <si>
    <t>AS989</t>
  </si>
  <si>
    <t>AS990</t>
  </si>
  <si>
    <t>AS991</t>
  </si>
  <si>
    <t>AS992</t>
  </si>
  <si>
    <t>AS993</t>
  </si>
  <si>
    <t>AS994</t>
  </si>
  <si>
    <t>AS995</t>
  </si>
  <si>
    <t>AS996</t>
  </si>
  <si>
    <t>AS997</t>
  </si>
  <si>
    <t>AS998</t>
  </si>
  <si>
    <t>AS999</t>
  </si>
  <si>
    <t>AS1000</t>
  </si>
  <si>
    <t>AS1001</t>
  </si>
  <si>
    <t>AS1002</t>
  </si>
  <si>
    <t>AS1003</t>
  </si>
  <si>
    <t>AS1004</t>
  </si>
  <si>
    <t>AS1005</t>
  </si>
  <si>
    <t>AS1006</t>
  </si>
  <si>
    <t>AS1007</t>
  </si>
  <si>
    <t>AS1008</t>
  </si>
  <si>
    <t>AS1009</t>
  </si>
  <si>
    <t>AS1010</t>
  </si>
  <si>
    <t>AS1011</t>
  </si>
  <si>
    <t>AS1012</t>
  </si>
  <si>
    <t>AS1013</t>
  </si>
  <si>
    <t>AS1014</t>
  </si>
  <si>
    <t>AS1015</t>
  </si>
  <si>
    <t>AS1016</t>
  </si>
  <si>
    <t>AS1017</t>
  </si>
  <si>
    <t>AS1018</t>
  </si>
  <si>
    <t>AS1019</t>
  </si>
  <si>
    <t>AS1020</t>
  </si>
  <si>
    <t>AS1021</t>
  </si>
  <si>
    <t>AS1022</t>
  </si>
  <si>
    <t>AS1023</t>
  </si>
  <si>
    <t>AS1024</t>
  </si>
  <si>
    <t>AS1025</t>
  </si>
  <si>
    <t>AS1026</t>
  </si>
  <si>
    <t>AS1027</t>
  </si>
  <si>
    <t>AS1028</t>
  </si>
  <si>
    <t>AS1029</t>
  </si>
  <si>
    <t>AS1030</t>
  </si>
  <si>
    <t>AS1031</t>
  </si>
  <si>
    <t>AS1032</t>
  </si>
  <si>
    <t>AS1033</t>
  </si>
  <si>
    <t>AS1034</t>
  </si>
  <si>
    <t>AS1035</t>
  </si>
  <si>
    <t>AS1036</t>
  </si>
  <si>
    <t>AS1037</t>
  </si>
  <si>
    <t>AS1038</t>
  </si>
  <si>
    <t>AS1039</t>
  </si>
  <si>
    <t>AS1040</t>
  </si>
  <si>
    <t>AS1041</t>
  </si>
  <si>
    <t>AS1042</t>
  </si>
  <si>
    <t>AS1043</t>
  </si>
  <si>
    <t>AS1044</t>
  </si>
  <si>
    <t>AS1045</t>
  </si>
  <si>
    <t>AS1046</t>
  </si>
  <si>
    <t>AS1047</t>
  </si>
  <si>
    <t>AS1048</t>
  </si>
  <si>
    <t>AS1049</t>
  </si>
  <si>
    <t>AS1050</t>
  </si>
  <si>
    <t>AS1051</t>
  </si>
  <si>
    <t>AS1052</t>
  </si>
  <si>
    <t>AS1053</t>
  </si>
  <si>
    <t>AS1054</t>
  </si>
  <si>
    <t>AS1055</t>
  </si>
  <si>
    <t>AS1056</t>
  </si>
  <si>
    <t>AS1057</t>
  </si>
  <si>
    <t>AS1058</t>
  </si>
  <si>
    <t>AS1059</t>
  </si>
  <si>
    <t>AS1060</t>
  </si>
  <si>
    <t>AS1061</t>
  </si>
  <si>
    <t>AS1062</t>
  </si>
  <si>
    <t>AS1063</t>
  </si>
  <si>
    <t>AS1064</t>
  </si>
  <si>
    <t>AS1065</t>
  </si>
  <si>
    <t>AS1066</t>
  </si>
  <si>
    <t>AS1067</t>
  </si>
  <si>
    <t>AS1068</t>
  </si>
  <si>
    <t>AS1069</t>
  </si>
  <si>
    <t>AS1070</t>
  </si>
  <si>
    <t>AS1071</t>
  </si>
  <si>
    <t>AS1072</t>
  </si>
  <si>
    <t>AS1073</t>
  </si>
  <si>
    <t>AS1074</t>
  </si>
  <si>
    <t>AS1075</t>
  </si>
  <si>
    <t>AS1076</t>
  </si>
  <si>
    <t>AS1077</t>
  </si>
  <si>
    <t>AS1078</t>
  </si>
  <si>
    <t>AS1079</t>
  </si>
  <si>
    <t>AS1080</t>
  </si>
  <si>
    <t>AS1081</t>
  </si>
  <si>
    <t>AS1082</t>
  </si>
  <si>
    <t>AS1083</t>
  </si>
  <si>
    <t>AS1084</t>
  </si>
  <si>
    <t>AS1085</t>
  </si>
  <si>
    <t>AS1086</t>
  </si>
  <si>
    <t>AS1087</t>
  </si>
  <si>
    <t>AS1088</t>
  </si>
  <si>
    <t>AS1089</t>
  </si>
  <si>
    <t>AS1090</t>
  </si>
  <si>
    <t>AS1091</t>
  </si>
  <si>
    <t>AS1092</t>
  </si>
  <si>
    <t>AS1093</t>
  </si>
  <si>
    <t>AS1094</t>
  </si>
  <si>
    <t>AS1095</t>
  </si>
  <si>
    <t>AS1096</t>
  </si>
  <si>
    <t>AS1097</t>
  </si>
  <si>
    <t>AS1098</t>
  </si>
  <si>
    <t>AS1099</t>
  </si>
  <si>
    <t>AS1100</t>
  </si>
  <si>
    <t>AS1101</t>
  </si>
  <si>
    <t>AS1102</t>
  </si>
  <si>
    <t>AS1103</t>
  </si>
  <si>
    <t>AS1104</t>
  </si>
  <si>
    <t>AS1105</t>
  </si>
  <si>
    <t>AS1106</t>
  </si>
  <si>
    <t>AS1107</t>
  </si>
  <si>
    <t>AS1108</t>
  </si>
  <si>
    <t>AS1109</t>
  </si>
  <si>
    <t>AS1110</t>
  </si>
  <si>
    <t>AS1111</t>
  </si>
  <si>
    <t>AS1112</t>
  </si>
  <si>
    <t>AS1113</t>
  </si>
  <si>
    <t>AS1114</t>
  </si>
  <si>
    <t>AS1115</t>
  </si>
  <si>
    <t>AS1116</t>
  </si>
  <si>
    <t>AS1117</t>
  </si>
  <si>
    <t>AS1118</t>
  </si>
  <si>
    <t>AS1119</t>
  </si>
  <si>
    <t>AS1120</t>
  </si>
  <si>
    <t>AS1121</t>
  </si>
  <si>
    <t>AS1122</t>
  </si>
  <si>
    <t>AS1123</t>
  </si>
  <si>
    <t>AS1124</t>
  </si>
  <si>
    <t>AS1125</t>
  </si>
  <si>
    <t>AS1126</t>
  </si>
  <si>
    <t>AS1127</t>
  </si>
  <si>
    <t>AS1128</t>
  </si>
  <si>
    <t>AS1129</t>
  </si>
  <si>
    <t>AS1130</t>
  </si>
  <si>
    <t>AS1131</t>
  </si>
  <si>
    <t>AS1132</t>
  </si>
  <si>
    <t>AS1133</t>
  </si>
  <si>
    <t>AS1134</t>
  </si>
  <si>
    <t>AS1135</t>
  </si>
  <si>
    <t>AS1136</t>
  </si>
  <si>
    <t>AS1137</t>
  </si>
  <si>
    <t>AS1138</t>
  </si>
  <si>
    <t>AS1139</t>
  </si>
  <si>
    <t>AS1140</t>
  </si>
  <si>
    <t>AS1141</t>
  </si>
  <si>
    <t>AS1142</t>
  </si>
  <si>
    <t>AS1143</t>
  </si>
  <si>
    <t>AS1144</t>
  </si>
  <si>
    <t>AS1145</t>
  </si>
  <si>
    <t>AS1146</t>
  </si>
  <si>
    <t>AS1147</t>
  </si>
  <si>
    <t>AS1148</t>
  </si>
  <si>
    <t>AS1149</t>
  </si>
  <si>
    <t>AS1150</t>
  </si>
  <si>
    <t>AS1151</t>
  </si>
  <si>
    <t>AS1152</t>
  </si>
  <si>
    <t>AS1153</t>
  </si>
  <si>
    <t>AS1154</t>
  </si>
  <si>
    <t>AS1155</t>
  </si>
  <si>
    <t>AS1156</t>
  </si>
  <si>
    <t>AS1157</t>
  </si>
  <si>
    <t>AS1158</t>
  </si>
  <si>
    <t>AS1159</t>
  </si>
  <si>
    <t>AS1160</t>
  </si>
  <si>
    <t>AS1161</t>
  </si>
  <si>
    <t>AS1162</t>
  </si>
  <si>
    <t>AS1163</t>
  </si>
  <si>
    <t>AS1164</t>
  </si>
  <si>
    <t>AS1165</t>
  </si>
  <si>
    <t>AS1166</t>
  </si>
  <si>
    <t>AS1167</t>
  </si>
  <si>
    <t>AS1168</t>
  </si>
  <si>
    <t>AS1169</t>
  </si>
  <si>
    <t>AS1170</t>
  </si>
  <si>
    <t>AS1171</t>
  </si>
  <si>
    <t>AS1172</t>
  </si>
  <si>
    <t>AS1173</t>
  </si>
  <si>
    <t>AS1174</t>
  </si>
  <si>
    <t>AS1175</t>
  </si>
  <si>
    <t>AS1176</t>
  </si>
  <si>
    <t>AS1177</t>
  </si>
  <si>
    <t>AS1178</t>
  </si>
  <si>
    <t>AS1179</t>
  </si>
  <si>
    <t>AS1180</t>
  </si>
  <si>
    <t>AS1181</t>
  </si>
  <si>
    <t>AS1182</t>
  </si>
  <si>
    <t>AS1183</t>
  </si>
  <si>
    <t>AS1184</t>
  </si>
  <si>
    <t>AS1185</t>
  </si>
  <si>
    <t>AS1186</t>
  </si>
  <si>
    <t>AS1187</t>
  </si>
  <si>
    <t>AS1188</t>
  </si>
  <si>
    <t>AS1189</t>
  </si>
  <si>
    <t>AS1190</t>
  </si>
  <si>
    <t>AS1191</t>
  </si>
  <si>
    <t>AS1192</t>
  </si>
  <si>
    <t>AS1193</t>
  </si>
  <si>
    <t>AS1194</t>
  </si>
  <si>
    <t>AS1195</t>
  </si>
  <si>
    <t>AS1196</t>
  </si>
  <si>
    <t>AS1197</t>
  </si>
  <si>
    <t>AS1198</t>
  </si>
  <si>
    <t>AS1199</t>
  </si>
  <si>
    <t>AS1200</t>
  </si>
  <si>
    <t>AS1201</t>
  </si>
  <si>
    <t>AS1202</t>
  </si>
  <si>
    <t>AS1203</t>
  </si>
  <si>
    <t>AS1204</t>
  </si>
  <si>
    <t>AS1205</t>
  </si>
  <si>
    <t>AS1206</t>
  </si>
  <si>
    <t>AS1207</t>
  </si>
  <si>
    <t>AS1208</t>
  </si>
  <si>
    <t>AS1209</t>
  </si>
  <si>
    <t>AS1210</t>
  </si>
  <si>
    <t>AS1211</t>
  </si>
  <si>
    <t>AS1212</t>
  </si>
  <si>
    <t>Quincenal</t>
  </si>
  <si>
    <t>frecuencia_new</t>
  </si>
  <si>
    <t>dia_semana</t>
  </si>
  <si>
    <t>semana_mes</t>
  </si>
  <si>
    <t>mes</t>
  </si>
  <si>
    <t>dia_mes</t>
  </si>
  <si>
    <t>actividad</t>
  </si>
  <si>
    <t>duracion</t>
  </si>
  <si>
    <t>Columna1</t>
  </si>
  <si>
    <t>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</si>
</sst>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ont="1" applyFill="1" applyBorder="1"/>
    <xf numFmtId="0" fontId="0" fillId="0" borderId="2" xfId="0" applyFont="1" applyBorder="1"/>
    <xf numFmtId="0" fontId="0" fillId="0" borderId="1" xfId="0" applyFont="1" applyBorder="1"/>
    <xf numFmtId="20" fontId="0" fillId="0" borderId="0" xfId="0" applyNumberFormat="1"/>
    <xf numFmtId="0" fontId="0" fillId="2" borderId="2" xfId="0" applyFont="1" applyFill="1" applyBorder="1"/>
    <xf numFmtId="0" fontId="0" fillId="2" borderId="5" xfId="0" applyFont="1" applyFill="1" applyBorder="1"/>
    <xf numFmtId="0" fontId="0" fillId="0" borderId="5" xfId="0" applyFont="1" applyBorder="1"/>
    <xf numFmtId="0" fontId="0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2" borderId="0" xfId="0" applyFont="1" applyFill="1" applyBorder="1"/>
    <xf numFmtId="20" fontId="0" fillId="0" borderId="0" xfId="0" applyNumberFormat="1" applyFont="1" applyBorder="1"/>
    <xf numFmtId="20" fontId="0" fillId="0" borderId="1" xfId="0" applyNumberFormat="1" applyBorder="1"/>
    <xf numFmtId="20" fontId="0" fillId="2" borderId="0" xfId="0" applyNumberFormat="1" applyFont="1" applyFill="1" applyBorder="1"/>
    <xf numFmtId="20" fontId="0" fillId="0" borderId="4" xfId="0" applyNumberFormat="1" applyBorder="1"/>
    <xf numFmtId="0" fontId="0" fillId="0" borderId="0" xfId="0" applyBorder="1"/>
    <xf numFmtId="20" fontId="0" fillId="0" borderId="0" xfId="0" applyNumberFormat="1" applyBorder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5" formatCode="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a14" displayName="Tabla14" ref="A1:K1213" totalsRowShown="0">
  <autoFilter ref="A1:K1213"/>
  <sortState ref="A2:K1213">
    <sortCondition ref="I1:I1213"/>
  </sortState>
  <tableColumns count="11">
    <tableColumn id="1" name="Equipo"/>
    <tableColumn id="12" name="id"/>
    <tableColumn id="2" name="frecuencia"/>
    <tableColumn id="3" name="Actividad"/>
    <tableColumn id="4" name="Prioridad"/>
    <tableColumn id="5" name="Duración" dataDxfId="7"/>
    <tableColumn id="6" name="Area"/>
    <tableColumn id="7" name="Linea "/>
    <tableColumn id="8" name="Resposable"/>
    <tableColumn id="11" name="tipo de operador"/>
    <tableColumn id="9" name="Columna1" dataDxfId="0">
      <calculatedColumnFormula>Tabla14[[#This Row],[id]]&amp;Tabla14[[#This Row],[Resposable]]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B2:L368" totalsRowShown="0">
  <autoFilter ref="B2:L368"/>
  <tableColumns count="11">
    <tableColumn id="1" name="Equipo"/>
    <tableColumn id="2" name="frecuencia"/>
    <tableColumn id="3" name="Actividad"/>
    <tableColumn id="4" name="Prioridad"/>
    <tableColumn id="5" name="Duración"/>
    <tableColumn id="6" name="Area"/>
    <tableColumn id="7" name="Linea 1"/>
    <tableColumn id="8" name="Linea 2"/>
    <tableColumn id="9" name="Linea 3"/>
    <tableColumn id="10" name="Linea 4"/>
    <tableColumn id="11" name="Linea 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a142" displayName="Tabla142" ref="A1:R1213" totalsRowShown="0">
  <autoFilter ref="A1:R1213">
    <filterColumn colId="4">
      <filters>
        <filter val="Anual"/>
        <filter val="Diaria"/>
        <filter val="Mensual"/>
        <filter val="Quincenal"/>
        <filter val="Semanal"/>
        <filter val="Semestral"/>
        <filter val="Trimestral"/>
      </filters>
    </filterColumn>
  </autoFilter>
  <sortState ref="D307:R660">
    <sortCondition ref="R1:R1213"/>
  </sortState>
  <tableColumns count="18">
    <tableColumn id="4" name="numero_ot">
      <calculatedColumnFormula>VLOOKUP(T2,$V$2:$W$222,2,FALSE)</calculatedColumnFormula>
    </tableColumn>
    <tableColumn id="9" name="codigo_actividad"/>
    <tableColumn id="10" name="Prioridad"/>
    <tableColumn id="12" name="id"/>
    <tableColumn id="1" name="frecuencia_new" dataDxfId="6">
      <calculatedColumnFormula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calculatedColumnFormula>
    </tableColumn>
    <tableColumn id="2" name="dia_semana" dataDxfId="5">
      <calculatedColumnFormula>IF(Tabla142[[#This Row],[frecuencia_new]]="Diaria"," ",RANDBETWEEN(1,6))</calculatedColumnFormula>
    </tableColumn>
    <tableColumn id="14" name="semana_mes" dataDxfId="4">
      <calculatedColumnFormula>IF(Tabla142[[#This Row],[frecuencia_new]]="Diaria","",IF(Tabla142[[#This Row],[frecuencia_new]]="Semanal","",IF(Tabla142[[#This Row],[frecuencia_new]]="Quincenal",RANDBETWEEN(1,2),RANDBETWEEN(1,4))))</calculatedColumnFormula>
    </tableColumn>
    <tableColumn id="15" name="mes" dataDxfId="3">
      <calculatedColumnFormula>IF(Tabla142[[#This Row],[frecuencia_new]]="Trimestral",RANDBETWEEN(1,3),IF(Tabla142[[#This Row],[frecuencia_new]]="Semestral",RANDBETWEEN(1,6),IF(Tabla142[[#This Row],[frecuencia_new]]="Anual",RANDBETWEEN(1,12),"")))</calculatedColumnFormula>
    </tableColumn>
    <tableColumn id="16" name="dia_mes"/>
    <tableColumn id="3" name="actividad"/>
    <tableColumn id="17" name="duracion" dataDxfId="2">
      <calculatedColumnFormula>SUM(MID(Tabla142[[#This Row],[Duración]],1,2)*60,MID(Tabla142[[#This Row],[Duración]],6,2))</calculatedColumnFormula>
    </tableColumn>
    <tableColumn id="5" name="Duración" dataDxfId="1"/>
    <tableColumn id="6" name="Area"/>
    <tableColumn id="7" name="Linea "/>
    <tableColumn id="8" name="Resposable"/>
    <tableColumn id="11" name="observaciones"/>
    <tableColumn id="19" name="fecha_creacion"/>
    <tableColumn id="13" name="frecu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3"/>
  <sheetViews>
    <sheetView topLeftCell="B1" workbookViewId="0">
      <selection activeCell="N6" sqref="N6"/>
    </sheetView>
  </sheetViews>
  <sheetFormatPr baseColWidth="10" defaultRowHeight="15" x14ac:dyDescent="0.25"/>
  <cols>
    <col min="1" max="1" width="31" bestFit="1" customWidth="1"/>
    <col min="2" max="2" width="5" customWidth="1"/>
    <col min="3" max="3" width="22.140625" bestFit="1" customWidth="1"/>
    <col min="4" max="4" width="57.85546875" bestFit="1" customWidth="1"/>
    <col min="5" max="5" width="11.28515625" customWidth="1"/>
    <col min="6" max="6" width="11.140625" bestFit="1" customWidth="1"/>
    <col min="7" max="7" width="19.140625" bestFit="1" customWidth="1"/>
    <col min="8" max="8" width="18.140625" bestFit="1" customWidth="1"/>
    <col min="9" max="9" width="19.7109375" bestFit="1" customWidth="1"/>
    <col min="11" max="12" width="21.85546875" bestFit="1" customWidth="1"/>
    <col min="13" max="13" width="18.140625" bestFit="1" customWidth="1"/>
  </cols>
  <sheetData>
    <row r="1" spans="1:13" x14ac:dyDescent="0.25">
      <c r="A1" t="s">
        <v>0</v>
      </c>
      <c r="B1" t="s">
        <v>303</v>
      </c>
      <c r="C1" t="s">
        <v>1</v>
      </c>
      <c r="D1" t="s">
        <v>2</v>
      </c>
      <c r="E1" t="s">
        <v>3</v>
      </c>
      <c r="F1" t="s">
        <v>4</v>
      </c>
      <c r="G1" t="s">
        <v>244</v>
      </c>
      <c r="H1" t="s">
        <v>298</v>
      </c>
      <c r="I1" t="s">
        <v>366</v>
      </c>
      <c r="J1" t="s">
        <v>362</v>
      </c>
      <c r="K1" t="s">
        <v>1854</v>
      </c>
      <c r="L1" t="s">
        <v>1854</v>
      </c>
      <c r="M1" t="s">
        <v>298</v>
      </c>
    </row>
    <row r="2" spans="1:13" x14ac:dyDescent="0.25">
      <c r="A2" t="s">
        <v>245</v>
      </c>
      <c r="B2">
        <v>1</v>
      </c>
      <c r="C2" t="s">
        <v>6</v>
      </c>
      <c r="D2" t="s">
        <v>49</v>
      </c>
      <c r="E2" t="s">
        <v>47</v>
      </c>
      <c r="F2" s="4" t="s">
        <v>50</v>
      </c>
      <c r="G2" t="s">
        <v>239</v>
      </c>
      <c r="H2" t="s">
        <v>240</v>
      </c>
      <c r="I2" t="s">
        <v>381</v>
      </c>
      <c r="J2" t="s">
        <v>361</v>
      </c>
      <c r="K2" t="str">
        <f>Tabla14[[#This Row],[id]]&amp;Tabla14[[#This Row],[Resposable]]</f>
        <v>1Alexander Rabanales</v>
      </c>
      <c r="L2" t="str">
        <f>Tabla14[[#This Row],[id]]&amp;Tabla14[[#This Row],[Resposable]]</f>
        <v>1Alexander Rabanales</v>
      </c>
      <c r="M2" t="s">
        <v>240</v>
      </c>
    </row>
    <row r="3" spans="1:13" x14ac:dyDescent="0.25">
      <c r="A3" t="s">
        <v>246</v>
      </c>
      <c r="B3">
        <v>6</v>
      </c>
      <c r="C3" t="s">
        <v>6</v>
      </c>
      <c r="D3" t="s">
        <v>59</v>
      </c>
      <c r="E3" t="s">
        <v>47</v>
      </c>
      <c r="F3" s="4" t="s">
        <v>60</v>
      </c>
      <c r="G3" t="s">
        <v>239</v>
      </c>
      <c r="H3" t="s">
        <v>240</v>
      </c>
      <c r="I3" t="s">
        <v>381</v>
      </c>
      <c r="J3" t="s">
        <v>361</v>
      </c>
      <c r="K3" t="str">
        <f>Tabla14[[#This Row],[id]]&amp;Tabla14[[#This Row],[Resposable]]</f>
        <v>6Alexander Rabanales</v>
      </c>
      <c r="L3" t="str">
        <f>Tabla14[[#This Row],[id]]&amp;Tabla14[[#This Row],[Resposable]]</f>
        <v>6Alexander Rabanales</v>
      </c>
      <c r="M3" t="s">
        <v>240</v>
      </c>
    </row>
    <row r="4" spans="1:13" x14ac:dyDescent="0.25">
      <c r="A4" t="s">
        <v>24</v>
      </c>
      <c r="B4">
        <v>49</v>
      </c>
      <c r="C4" t="s">
        <v>6</v>
      </c>
      <c r="D4" t="s">
        <v>136</v>
      </c>
      <c r="E4" t="s">
        <v>47</v>
      </c>
      <c r="F4" s="4" t="s">
        <v>60</v>
      </c>
      <c r="G4" t="s">
        <v>239</v>
      </c>
      <c r="H4" t="s">
        <v>240</v>
      </c>
      <c r="I4" t="s">
        <v>381</v>
      </c>
      <c r="J4" t="s">
        <v>361</v>
      </c>
      <c r="K4" t="str">
        <f>Tabla14[[#This Row],[id]]&amp;Tabla14[[#This Row],[Resposable]]</f>
        <v>49Alexander Rabanales</v>
      </c>
      <c r="L4" t="str">
        <f>Tabla14[[#This Row],[id]]&amp;Tabla14[[#This Row],[Resposable]]</f>
        <v>49Alexander Rabanales</v>
      </c>
      <c r="M4" t="s">
        <v>240</v>
      </c>
    </row>
    <row r="5" spans="1:13" x14ac:dyDescent="0.25">
      <c r="A5" t="s">
        <v>24</v>
      </c>
      <c r="B5">
        <v>49</v>
      </c>
      <c r="C5" t="s">
        <v>6</v>
      </c>
      <c r="D5" t="s">
        <v>139</v>
      </c>
      <c r="E5" t="s">
        <v>47</v>
      </c>
      <c r="F5" s="4" t="s">
        <v>60</v>
      </c>
      <c r="G5" t="s">
        <v>239</v>
      </c>
      <c r="H5" t="s">
        <v>240</v>
      </c>
      <c r="I5" t="s">
        <v>381</v>
      </c>
      <c r="J5" t="s">
        <v>361</v>
      </c>
      <c r="K5" t="str">
        <f>Tabla14[[#This Row],[id]]&amp;Tabla14[[#This Row],[Resposable]]</f>
        <v>49Alexander Rabanales</v>
      </c>
      <c r="L5" t="str">
        <f>Tabla14[[#This Row],[id]]&amp;Tabla14[[#This Row],[Resposable]]</f>
        <v>49Alexander Rabanales</v>
      </c>
      <c r="M5" t="s">
        <v>240</v>
      </c>
    </row>
    <row r="6" spans="1:13" x14ac:dyDescent="0.25">
      <c r="A6" t="s">
        <v>24</v>
      </c>
      <c r="B6">
        <v>49</v>
      </c>
      <c r="C6" t="s">
        <v>6</v>
      </c>
      <c r="D6" t="s">
        <v>372</v>
      </c>
      <c r="E6" t="s">
        <v>47</v>
      </c>
      <c r="F6" s="4" t="s">
        <v>60</v>
      </c>
      <c r="G6" t="s">
        <v>239</v>
      </c>
      <c r="H6" t="s">
        <v>240</v>
      </c>
      <c r="I6" t="s">
        <v>381</v>
      </c>
      <c r="J6" t="s">
        <v>361</v>
      </c>
      <c r="K6" t="str">
        <f>Tabla14[[#This Row],[id]]&amp;Tabla14[[#This Row],[Resposable]]</f>
        <v>49Alexander Rabanales</v>
      </c>
      <c r="L6" t="str">
        <f>Tabla14[[#This Row],[id]]&amp;Tabla14[[#This Row],[Resposable]]</f>
        <v>49Alexander Rabanales</v>
      </c>
      <c r="M6" t="s">
        <v>240</v>
      </c>
    </row>
    <row r="7" spans="1:13" x14ac:dyDescent="0.25">
      <c r="A7" t="s">
        <v>322</v>
      </c>
      <c r="B7">
        <v>123</v>
      </c>
      <c r="C7" t="s">
        <v>6</v>
      </c>
      <c r="D7" t="s">
        <v>170</v>
      </c>
      <c r="E7" t="s">
        <v>47</v>
      </c>
      <c r="F7" s="4" t="s">
        <v>60</v>
      </c>
      <c r="G7" t="s">
        <v>239</v>
      </c>
      <c r="H7" t="s">
        <v>29</v>
      </c>
      <c r="I7" t="s">
        <v>397</v>
      </c>
      <c r="J7" t="s">
        <v>361</v>
      </c>
      <c r="K7" t="str">
        <f>Tabla14[[#This Row],[id]]&amp;Tabla14[[#This Row],[Resposable]]</f>
        <v>123Andres Rabanales</v>
      </c>
      <c r="L7" t="str">
        <f>Tabla14[[#This Row],[id]]&amp;Tabla14[[#This Row],[Resposable]]</f>
        <v>123Andres Rabanales</v>
      </c>
      <c r="M7" t="s">
        <v>29</v>
      </c>
    </row>
    <row r="8" spans="1:13" x14ac:dyDescent="0.25">
      <c r="A8" t="s">
        <v>322</v>
      </c>
      <c r="B8">
        <v>123</v>
      </c>
      <c r="C8" t="s">
        <v>8</v>
      </c>
      <c r="D8" t="s">
        <v>179</v>
      </c>
      <c r="E8" t="s">
        <v>47</v>
      </c>
      <c r="F8" s="4" t="s">
        <v>77</v>
      </c>
      <c r="G8" t="s">
        <v>239</v>
      </c>
      <c r="H8" t="s">
        <v>29</v>
      </c>
      <c r="I8" t="s">
        <v>397</v>
      </c>
      <c r="J8" t="s">
        <v>361</v>
      </c>
      <c r="K8" t="str">
        <f>Tabla14[[#This Row],[id]]&amp;Tabla14[[#This Row],[Resposable]]</f>
        <v>123Andres Rabanales</v>
      </c>
      <c r="L8" t="str">
        <f>Tabla14[[#This Row],[id]]&amp;Tabla14[[#This Row],[Resposable]]</f>
        <v>123Andres Rabanales</v>
      </c>
      <c r="M8" t="s">
        <v>29</v>
      </c>
    </row>
    <row r="9" spans="1:13" x14ac:dyDescent="0.25">
      <c r="A9" t="s">
        <v>322</v>
      </c>
      <c r="B9">
        <v>123</v>
      </c>
      <c r="C9" t="s">
        <v>6</v>
      </c>
      <c r="D9" t="s">
        <v>172</v>
      </c>
      <c r="E9" t="s">
        <v>47</v>
      </c>
      <c r="F9" s="4" t="s">
        <v>150</v>
      </c>
      <c r="G9" t="s">
        <v>239</v>
      </c>
      <c r="H9" t="s">
        <v>29</v>
      </c>
      <c r="I9" t="s">
        <v>397</v>
      </c>
      <c r="J9" t="s">
        <v>361</v>
      </c>
      <c r="K9" t="str">
        <f>Tabla14[[#This Row],[id]]&amp;Tabla14[[#This Row],[Resposable]]</f>
        <v>123Andres Rabanales</v>
      </c>
      <c r="L9" t="str">
        <f>Tabla14[[#This Row],[id]]&amp;Tabla14[[#This Row],[Resposable]]</f>
        <v>123Andres Rabanales</v>
      </c>
      <c r="M9" t="s">
        <v>29</v>
      </c>
    </row>
    <row r="10" spans="1:13" x14ac:dyDescent="0.25">
      <c r="A10" t="s">
        <v>22</v>
      </c>
      <c r="B10">
        <v>204</v>
      </c>
      <c r="C10" t="s">
        <v>7</v>
      </c>
      <c r="D10" t="s">
        <v>99</v>
      </c>
      <c r="E10" t="s">
        <v>47</v>
      </c>
      <c r="F10" t="s">
        <v>48</v>
      </c>
      <c r="G10" t="s">
        <v>239</v>
      </c>
      <c r="H10" t="s">
        <v>378</v>
      </c>
      <c r="I10" t="s">
        <v>390</v>
      </c>
      <c r="J10" t="s">
        <v>363</v>
      </c>
      <c r="K10" t="str">
        <f>Tabla14[[#This Row],[id]]&amp;Tabla14[[#This Row],[Resposable]]</f>
        <v>204Anthony Campos</v>
      </c>
      <c r="L10" t="str">
        <f>Tabla14[[#This Row],[id]]&amp;Tabla14[[#This Row],[Resposable]]</f>
        <v>204Anthony Campos</v>
      </c>
      <c r="M10" t="s">
        <v>378</v>
      </c>
    </row>
    <row r="11" spans="1:13" x14ac:dyDescent="0.25">
      <c r="A11" t="s">
        <v>22</v>
      </c>
      <c r="B11">
        <v>204</v>
      </c>
      <c r="C11" t="s">
        <v>8</v>
      </c>
      <c r="D11" t="s">
        <v>100</v>
      </c>
      <c r="E11" t="s">
        <v>47</v>
      </c>
      <c r="F11" t="s">
        <v>82</v>
      </c>
      <c r="G11" t="s">
        <v>239</v>
      </c>
      <c r="H11" t="s">
        <v>378</v>
      </c>
      <c r="I11" t="s">
        <v>390</v>
      </c>
      <c r="J11" t="s">
        <v>363</v>
      </c>
      <c r="K11" t="str">
        <f>Tabla14[[#This Row],[id]]&amp;Tabla14[[#This Row],[Resposable]]</f>
        <v>204Anthony Campos</v>
      </c>
      <c r="L11" t="str">
        <f>Tabla14[[#This Row],[id]]&amp;Tabla14[[#This Row],[Resposable]]</f>
        <v>204Anthony Campos</v>
      </c>
      <c r="M11" t="s">
        <v>378</v>
      </c>
    </row>
    <row r="12" spans="1:13" x14ac:dyDescent="0.25">
      <c r="A12" t="s">
        <v>22</v>
      </c>
      <c r="B12">
        <v>204</v>
      </c>
      <c r="C12" t="s">
        <v>6</v>
      </c>
      <c r="D12" t="s">
        <v>101</v>
      </c>
      <c r="E12" t="s">
        <v>47</v>
      </c>
      <c r="F12" t="s">
        <v>50</v>
      </c>
      <c r="G12" t="s">
        <v>239</v>
      </c>
      <c r="H12" t="s">
        <v>378</v>
      </c>
      <c r="I12" t="s">
        <v>390</v>
      </c>
      <c r="J12" t="s">
        <v>361</v>
      </c>
      <c r="K12" t="str">
        <f>Tabla14[[#This Row],[id]]&amp;Tabla14[[#This Row],[Resposable]]</f>
        <v>204Anthony Campos</v>
      </c>
      <c r="L12" t="str">
        <f>Tabla14[[#This Row],[id]]&amp;Tabla14[[#This Row],[Resposable]]</f>
        <v>204Anthony Campos</v>
      </c>
      <c r="M12" t="s">
        <v>378</v>
      </c>
    </row>
    <row r="13" spans="1:13" x14ac:dyDescent="0.25">
      <c r="A13" t="s">
        <v>22</v>
      </c>
      <c r="B13">
        <v>204</v>
      </c>
      <c r="C13" t="s">
        <v>5</v>
      </c>
      <c r="D13" t="s">
        <v>102</v>
      </c>
      <c r="E13" t="s">
        <v>47</v>
      </c>
      <c r="F13" t="s">
        <v>65</v>
      </c>
      <c r="G13" t="s">
        <v>239</v>
      </c>
      <c r="H13" t="s">
        <v>378</v>
      </c>
      <c r="I13" t="s">
        <v>390</v>
      </c>
      <c r="J13" t="s">
        <v>363</v>
      </c>
      <c r="K13" t="str">
        <f>Tabla14[[#This Row],[id]]&amp;Tabla14[[#This Row],[Resposable]]</f>
        <v>204Anthony Campos</v>
      </c>
      <c r="L13" t="str">
        <f>Tabla14[[#This Row],[id]]&amp;Tabla14[[#This Row],[Resposable]]</f>
        <v>204Anthony Campos</v>
      </c>
      <c r="M13" t="s">
        <v>378</v>
      </c>
    </row>
    <row r="14" spans="1:13" x14ac:dyDescent="0.25">
      <c r="A14" t="s">
        <v>22</v>
      </c>
      <c r="B14">
        <v>204</v>
      </c>
      <c r="C14" t="s">
        <v>8</v>
      </c>
      <c r="D14" t="s">
        <v>80</v>
      </c>
      <c r="E14" t="s">
        <v>47</v>
      </c>
      <c r="F14" t="s">
        <v>82</v>
      </c>
      <c r="G14" t="s">
        <v>239</v>
      </c>
      <c r="H14" t="s">
        <v>378</v>
      </c>
      <c r="I14" t="s">
        <v>390</v>
      </c>
      <c r="J14" t="s">
        <v>363</v>
      </c>
      <c r="K14" t="str">
        <f>Tabla14[[#This Row],[id]]&amp;Tabla14[[#This Row],[Resposable]]</f>
        <v>204Anthony Campos</v>
      </c>
      <c r="L14" t="str">
        <f>Tabla14[[#This Row],[id]]&amp;Tabla14[[#This Row],[Resposable]]</f>
        <v>204Anthony Campos</v>
      </c>
      <c r="M14" t="s">
        <v>378</v>
      </c>
    </row>
    <row r="15" spans="1:13" x14ac:dyDescent="0.25">
      <c r="A15" t="s">
        <v>22</v>
      </c>
      <c r="B15">
        <v>204</v>
      </c>
      <c r="C15" t="s">
        <v>20</v>
      </c>
      <c r="D15" t="s">
        <v>103</v>
      </c>
      <c r="E15" t="s">
        <v>47</v>
      </c>
      <c r="F15" t="s">
        <v>48</v>
      </c>
      <c r="G15" t="s">
        <v>239</v>
      </c>
      <c r="H15" t="s">
        <v>378</v>
      </c>
      <c r="I15" t="s">
        <v>390</v>
      </c>
      <c r="J15" t="s">
        <v>363</v>
      </c>
      <c r="K15" t="str">
        <f>Tabla14[[#This Row],[id]]&amp;Tabla14[[#This Row],[Resposable]]</f>
        <v>204Anthony Campos</v>
      </c>
      <c r="L15" t="str">
        <f>Tabla14[[#This Row],[id]]&amp;Tabla14[[#This Row],[Resposable]]</f>
        <v>204Anthony Campos</v>
      </c>
      <c r="M15" t="s">
        <v>378</v>
      </c>
    </row>
    <row r="16" spans="1:13" x14ac:dyDescent="0.25">
      <c r="A16" t="s">
        <v>22</v>
      </c>
      <c r="B16">
        <v>204</v>
      </c>
      <c r="C16" t="s">
        <v>8</v>
      </c>
      <c r="D16" t="s">
        <v>57</v>
      </c>
      <c r="E16" t="s">
        <v>47</v>
      </c>
      <c r="F16" t="s">
        <v>82</v>
      </c>
      <c r="G16" t="s">
        <v>239</v>
      </c>
      <c r="H16" t="s">
        <v>378</v>
      </c>
      <c r="I16" t="s">
        <v>390</v>
      </c>
      <c r="J16" t="s">
        <v>363</v>
      </c>
      <c r="K16" t="str">
        <f>Tabla14[[#This Row],[id]]&amp;Tabla14[[#This Row],[Resposable]]</f>
        <v>204Anthony Campos</v>
      </c>
      <c r="L16" t="str">
        <f>Tabla14[[#This Row],[id]]&amp;Tabla14[[#This Row],[Resposable]]</f>
        <v>204Anthony Campos</v>
      </c>
      <c r="M16" t="s">
        <v>378</v>
      </c>
    </row>
    <row r="17" spans="1:13" x14ac:dyDescent="0.25">
      <c r="A17" t="s">
        <v>22</v>
      </c>
      <c r="B17">
        <v>204</v>
      </c>
      <c r="C17" t="s">
        <v>7</v>
      </c>
      <c r="D17" t="s">
        <v>104</v>
      </c>
      <c r="E17" t="s">
        <v>47</v>
      </c>
      <c r="F17" t="s">
        <v>48</v>
      </c>
      <c r="G17" t="s">
        <v>239</v>
      </c>
      <c r="H17" t="s">
        <v>378</v>
      </c>
      <c r="I17" t="s">
        <v>390</v>
      </c>
      <c r="J17" t="s">
        <v>363</v>
      </c>
      <c r="K17" t="str">
        <f>Tabla14[[#This Row],[id]]&amp;Tabla14[[#This Row],[Resposable]]</f>
        <v>204Anthony Campos</v>
      </c>
      <c r="L17" t="str">
        <f>Tabla14[[#This Row],[id]]&amp;Tabla14[[#This Row],[Resposable]]</f>
        <v>204Anthony Campos</v>
      </c>
      <c r="M17" t="s">
        <v>378</v>
      </c>
    </row>
    <row r="18" spans="1:13" x14ac:dyDescent="0.25">
      <c r="A18" t="s">
        <v>11</v>
      </c>
      <c r="B18">
        <v>203</v>
      </c>
      <c r="C18" t="s">
        <v>7</v>
      </c>
      <c r="D18" t="s">
        <v>66</v>
      </c>
      <c r="E18" t="s">
        <v>47</v>
      </c>
      <c r="F18" s="4" t="s">
        <v>58</v>
      </c>
      <c r="G18" t="s">
        <v>239</v>
      </c>
      <c r="H18" t="s">
        <v>378</v>
      </c>
      <c r="I18" t="s">
        <v>390</v>
      </c>
      <c r="J18" t="s">
        <v>363</v>
      </c>
      <c r="K18" t="str">
        <f>Tabla14[[#This Row],[id]]&amp;Tabla14[[#This Row],[Resposable]]</f>
        <v>203Anthony Campos</v>
      </c>
      <c r="L18" t="str">
        <f>Tabla14[[#This Row],[id]]&amp;Tabla14[[#This Row],[Resposable]]</f>
        <v>203Anthony Campos</v>
      </c>
      <c r="M18" t="s">
        <v>378</v>
      </c>
    </row>
    <row r="19" spans="1:13" x14ac:dyDescent="0.25">
      <c r="A19" t="s">
        <v>11</v>
      </c>
      <c r="B19">
        <v>203</v>
      </c>
      <c r="C19" t="s">
        <v>6</v>
      </c>
      <c r="D19" t="s">
        <v>67</v>
      </c>
      <c r="E19" t="s">
        <v>47</v>
      </c>
      <c r="F19" s="4" t="s">
        <v>50</v>
      </c>
      <c r="G19" t="s">
        <v>239</v>
      </c>
      <c r="H19" t="s">
        <v>378</v>
      </c>
      <c r="I19" t="s">
        <v>390</v>
      </c>
      <c r="J19" t="s">
        <v>361</v>
      </c>
      <c r="K19" t="str">
        <f>Tabla14[[#This Row],[id]]&amp;Tabla14[[#This Row],[Resposable]]</f>
        <v>203Anthony Campos</v>
      </c>
      <c r="L19" t="str">
        <f>Tabla14[[#This Row],[id]]&amp;Tabla14[[#This Row],[Resposable]]</f>
        <v>203Anthony Campos</v>
      </c>
      <c r="M19" t="s">
        <v>378</v>
      </c>
    </row>
    <row r="20" spans="1:13" x14ac:dyDescent="0.25">
      <c r="A20" t="s">
        <v>11</v>
      </c>
      <c r="B20">
        <v>203</v>
      </c>
      <c r="C20" t="s">
        <v>6</v>
      </c>
      <c r="D20" t="s">
        <v>68</v>
      </c>
      <c r="E20" t="s">
        <v>47</v>
      </c>
      <c r="F20" s="4" t="s">
        <v>50</v>
      </c>
      <c r="G20" t="s">
        <v>239</v>
      </c>
      <c r="H20" t="s">
        <v>378</v>
      </c>
      <c r="I20" t="s">
        <v>390</v>
      </c>
      <c r="J20" t="s">
        <v>361</v>
      </c>
      <c r="K20" t="str">
        <f>Tabla14[[#This Row],[id]]&amp;Tabla14[[#This Row],[Resposable]]</f>
        <v>203Anthony Campos</v>
      </c>
      <c r="L20" t="str">
        <f>Tabla14[[#This Row],[id]]&amp;Tabla14[[#This Row],[Resposable]]</f>
        <v>203Anthony Campos</v>
      </c>
      <c r="M20" t="s">
        <v>378</v>
      </c>
    </row>
    <row r="21" spans="1:13" x14ac:dyDescent="0.25">
      <c r="A21" t="s">
        <v>11</v>
      </c>
      <c r="B21">
        <v>203</v>
      </c>
      <c r="C21" t="s">
        <v>7</v>
      </c>
      <c r="D21" t="s">
        <v>69</v>
      </c>
      <c r="E21" t="s">
        <v>47</v>
      </c>
      <c r="F21" s="4" t="s">
        <v>58</v>
      </c>
      <c r="G21" t="s">
        <v>239</v>
      </c>
      <c r="H21" t="s">
        <v>378</v>
      </c>
      <c r="I21" t="s">
        <v>390</v>
      </c>
      <c r="J21" t="s">
        <v>361</v>
      </c>
      <c r="K21" t="str">
        <f>Tabla14[[#This Row],[id]]&amp;Tabla14[[#This Row],[Resposable]]</f>
        <v>203Anthony Campos</v>
      </c>
      <c r="L21" t="str">
        <f>Tabla14[[#This Row],[id]]&amp;Tabla14[[#This Row],[Resposable]]</f>
        <v>203Anthony Campos</v>
      </c>
      <c r="M21" t="s">
        <v>378</v>
      </c>
    </row>
    <row r="22" spans="1:13" x14ac:dyDescent="0.25">
      <c r="A22" t="s">
        <v>11</v>
      </c>
      <c r="B22">
        <v>203</v>
      </c>
      <c r="C22" t="s">
        <v>8</v>
      </c>
      <c r="D22" t="s">
        <v>70</v>
      </c>
      <c r="E22" t="s">
        <v>47</v>
      </c>
      <c r="F22" s="4" t="s">
        <v>48</v>
      </c>
      <c r="G22" t="s">
        <v>239</v>
      </c>
      <c r="H22" t="s">
        <v>378</v>
      </c>
      <c r="I22" t="s">
        <v>390</v>
      </c>
      <c r="J22" t="s">
        <v>361</v>
      </c>
      <c r="K22" t="str">
        <f>Tabla14[[#This Row],[id]]&amp;Tabla14[[#This Row],[Resposable]]</f>
        <v>203Anthony Campos</v>
      </c>
      <c r="L22" t="str">
        <f>Tabla14[[#This Row],[id]]&amp;Tabla14[[#This Row],[Resposable]]</f>
        <v>203Anthony Campos</v>
      </c>
      <c r="M22" t="s">
        <v>378</v>
      </c>
    </row>
    <row r="23" spans="1:13" x14ac:dyDescent="0.25">
      <c r="A23" t="s">
        <v>11</v>
      </c>
      <c r="B23">
        <v>203</v>
      </c>
      <c r="C23" t="s">
        <v>6</v>
      </c>
      <c r="D23" t="s">
        <v>72</v>
      </c>
      <c r="E23" t="s">
        <v>54</v>
      </c>
      <c r="F23" s="4" t="s">
        <v>50</v>
      </c>
      <c r="G23" t="s">
        <v>239</v>
      </c>
      <c r="H23" t="s">
        <v>378</v>
      </c>
      <c r="I23" t="s">
        <v>390</v>
      </c>
      <c r="J23" t="s">
        <v>361</v>
      </c>
      <c r="K23" t="str">
        <f>Tabla14[[#This Row],[id]]&amp;Tabla14[[#This Row],[Resposable]]</f>
        <v>203Anthony Campos</v>
      </c>
      <c r="L23" t="str">
        <f>Tabla14[[#This Row],[id]]&amp;Tabla14[[#This Row],[Resposable]]</f>
        <v>203Anthony Campos</v>
      </c>
      <c r="M23" t="s">
        <v>378</v>
      </c>
    </row>
    <row r="24" spans="1:13" x14ac:dyDescent="0.25">
      <c r="A24" t="s">
        <v>11</v>
      </c>
      <c r="B24">
        <v>203</v>
      </c>
      <c r="C24" t="s">
        <v>8</v>
      </c>
      <c r="D24" t="s">
        <v>57</v>
      </c>
      <c r="E24" t="s">
        <v>47</v>
      </c>
      <c r="F24" s="4" t="s">
        <v>71</v>
      </c>
      <c r="G24" t="s">
        <v>239</v>
      </c>
      <c r="H24" t="s">
        <v>378</v>
      </c>
      <c r="I24" t="s">
        <v>390</v>
      </c>
      <c r="J24" t="s">
        <v>363</v>
      </c>
      <c r="K24" t="str">
        <f>Tabla14[[#This Row],[id]]&amp;Tabla14[[#This Row],[Resposable]]</f>
        <v>203Anthony Campos</v>
      </c>
      <c r="L24" t="str">
        <f>Tabla14[[#This Row],[id]]&amp;Tabla14[[#This Row],[Resposable]]</f>
        <v>203Anthony Campos</v>
      </c>
      <c r="M24" t="s">
        <v>378</v>
      </c>
    </row>
    <row r="25" spans="1:13" x14ac:dyDescent="0.25">
      <c r="A25" t="s">
        <v>12</v>
      </c>
      <c r="B25">
        <v>207</v>
      </c>
      <c r="C25" t="s">
        <v>7</v>
      </c>
      <c r="D25" t="s">
        <v>66</v>
      </c>
      <c r="E25" t="s">
        <v>47</v>
      </c>
      <c r="F25" s="4" t="s">
        <v>58</v>
      </c>
      <c r="G25" t="s">
        <v>239</v>
      </c>
      <c r="H25" t="s">
        <v>297</v>
      </c>
      <c r="I25" t="s">
        <v>390</v>
      </c>
      <c r="J25" t="s">
        <v>363</v>
      </c>
      <c r="K25" t="str">
        <f>Tabla14[[#This Row],[id]]&amp;Tabla14[[#This Row],[Resposable]]</f>
        <v>207Anthony Campos</v>
      </c>
      <c r="L25" t="str">
        <f>Tabla14[[#This Row],[id]]&amp;Tabla14[[#This Row],[Resposable]]</f>
        <v>207Anthony Campos</v>
      </c>
      <c r="M25" t="s">
        <v>297</v>
      </c>
    </row>
    <row r="26" spans="1:13" x14ac:dyDescent="0.25">
      <c r="A26" t="s">
        <v>12</v>
      </c>
      <c r="B26">
        <v>207</v>
      </c>
      <c r="C26" t="s">
        <v>6</v>
      </c>
      <c r="D26" t="s">
        <v>67</v>
      </c>
      <c r="E26" t="s">
        <v>47</v>
      </c>
      <c r="F26" s="4" t="s">
        <v>50</v>
      </c>
      <c r="G26" t="s">
        <v>239</v>
      </c>
      <c r="H26" t="s">
        <v>297</v>
      </c>
      <c r="I26" t="s">
        <v>390</v>
      </c>
      <c r="J26" t="s">
        <v>361</v>
      </c>
      <c r="K26" t="str">
        <f>Tabla14[[#This Row],[id]]&amp;Tabla14[[#This Row],[Resposable]]</f>
        <v>207Anthony Campos</v>
      </c>
      <c r="L26" t="str">
        <f>Tabla14[[#This Row],[id]]&amp;Tabla14[[#This Row],[Resposable]]</f>
        <v>207Anthony Campos</v>
      </c>
      <c r="M26" t="s">
        <v>297</v>
      </c>
    </row>
    <row r="27" spans="1:13" x14ac:dyDescent="0.25">
      <c r="A27" t="s">
        <v>12</v>
      </c>
      <c r="B27">
        <v>207</v>
      </c>
      <c r="C27" t="s">
        <v>6</v>
      </c>
      <c r="D27" t="s">
        <v>68</v>
      </c>
      <c r="E27" t="s">
        <v>47</v>
      </c>
      <c r="F27" s="4" t="s">
        <v>50</v>
      </c>
      <c r="G27" t="s">
        <v>239</v>
      </c>
      <c r="H27" t="s">
        <v>297</v>
      </c>
      <c r="I27" t="s">
        <v>390</v>
      </c>
      <c r="J27" t="s">
        <v>361</v>
      </c>
      <c r="K27" t="str">
        <f>Tabla14[[#This Row],[id]]&amp;Tabla14[[#This Row],[Resposable]]</f>
        <v>207Anthony Campos</v>
      </c>
      <c r="L27" t="str">
        <f>Tabla14[[#This Row],[id]]&amp;Tabla14[[#This Row],[Resposable]]</f>
        <v>207Anthony Campos</v>
      </c>
      <c r="M27" t="s">
        <v>297</v>
      </c>
    </row>
    <row r="28" spans="1:13" x14ac:dyDescent="0.25">
      <c r="A28" t="s">
        <v>12</v>
      </c>
      <c r="B28">
        <v>207</v>
      </c>
      <c r="C28" t="s">
        <v>7</v>
      </c>
      <c r="D28" t="s">
        <v>69</v>
      </c>
      <c r="E28" t="s">
        <v>47</v>
      </c>
      <c r="F28" s="4" t="s">
        <v>58</v>
      </c>
      <c r="G28" t="s">
        <v>239</v>
      </c>
      <c r="H28" t="s">
        <v>297</v>
      </c>
      <c r="I28" t="s">
        <v>390</v>
      </c>
      <c r="J28" t="s">
        <v>361</v>
      </c>
      <c r="K28" t="str">
        <f>Tabla14[[#This Row],[id]]&amp;Tabla14[[#This Row],[Resposable]]</f>
        <v>207Anthony Campos</v>
      </c>
      <c r="L28" t="str">
        <f>Tabla14[[#This Row],[id]]&amp;Tabla14[[#This Row],[Resposable]]</f>
        <v>207Anthony Campos</v>
      </c>
      <c r="M28" t="s">
        <v>297</v>
      </c>
    </row>
    <row r="29" spans="1:13" x14ac:dyDescent="0.25">
      <c r="A29" t="s">
        <v>12</v>
      </c>
      <c r="B29">
        <v>207</v>
      </c>
      <c r="C29" t="s">
        <v>8</v>
      </c>
      <c r="D29" t="s">
        <v>70</v>
      </c>
      <c r="E29" t="s">
        <v>47</v>
      </c>
      <c r="F29" s="4" t="s">
        <v>48</v>
      </c>
      <c r="G29" t="s">
        <v>239</v>
      </c>
      <c r="H29" t="s">
        <v>297</v>
      </c>
      <c r="I29" t="s">
        <v>390</v>
      </c>
      <c r="J29" t="s">
        <v>361</v>
      </c>
      <c r="K29" t="str">
        <f>Tabla14[[#This Row],[id]]&amp;Tabla14[[#This Row],[Resposable]]</f>
        <v>207Anthony Campos</v>
      </c>
      <c r="L29" t="str">
        <f>Tabla14[[#This Row],[id]]&amp;Tabla14[[#This Row],[Resposable]]</f>
        <v>207Anthony Campos</v>
      </c>
      <c r="M29" t="s">
        <v>297</v>
      </c>
    </row>
    <row r="30" spans="1:13" x14ac:dyDescent="0.25">
      <c r="A30" t="s">
        <v>12</v>
      </c>
      <c r="B30">
        <v>207</v>
      </c>
      <c r="C30" t="s">
        <v>13</v>
      </c>
      <c r="D30" t="s">
        <v>72</v>
      </c>
      <c r="E30" t="s">
        <v>54</v>
      </c>
      <c r="F30" s="4" t="s">
        <v>50</v>
      </c>
      <c r="G30" t="s">
        <v>239</v>
      </c>
      <c r="H30" t="s">
        <v>297</v>
      </c>
      <c r="I30" t="s">
        <v>390</v>
      </c>
      <c r="J30" t="s">
        <v>361</v>
      </c>
      <c r="K30" t="str">
        <f>Tabla14[[#This Row],[id]]&amp;Tabla14[[#This Row],[Resposable]]</f>
        <v>207Anthony Campos</v>
      </c>
      <c r="L30" t="str">
        <f>Tabla14[[#This Row],[id]]&amp;Tabla14[[#This Row],[Resposable]]</f>
        <v>207Anthony Campos</v>
      </c>
      <c r="M30" t="s">
        <v>297</v>
      </c>
    </row>
    <row r="31" spans="1:13" x14ac:dyDescent="0.25">
      <c r="A31" t="s">
        <v>12</v>
      </c>
      <c r="B31">
        <v>207</v>
      </c>
      <c r="C31" t="s">
        <v>8</v>
      </c>
      <c r="D31" t="s">
        <v>57</v>
      </c>
      <c r="E31" t="s">
        <v>47</v>
      </c>
      <c r="F31" s="4" t="s">
        <v>71</v>
      </c>
      <c r="G31" t="s">
        <v>239</v>
      </c>
      <c r="H31" t="s">
        <v>297</v>
      </c>
      <c r="I31" t="s">
        <v>390</v>
      </c>
      <c r="J31" t="s">
        <v>363</v>
      </c>
      <c r="K31" t="str">
        <f>Tabla14[[#This Row],[id]]&amp;Tabla14[[#This Row],[Resposable]]</f>
        <v>207Anthony Campos</v>
      </c>
      <c r="L31" t="str">
        <f>Tabla14[[#This Row],[id]]&amp;Tabla14[[#This Row],[Resposable]]</f>
        <v>207Anthony Campos</v>
      </c>
      <c r="M31" t="s">
        <v>297</v>
      </c>
    </row>
    <row r="32" spans="1:13" x14ac:dyDescent="0.25">
      <c r="A32" t="s">
        <v>23</v>
      </c>
      <c r="B32">
        <v>205</v>
      </c>
      <c r="C32" t="s">
        <v>13</v>
      </c>
      <c r="D32" t="s">
        <v>112</v>
      </c>
      <c r="E32" t="s">
        <v>54</v>
      </c>
      <c r="F32" t="s">
        <v>89</v>
      </c>
      <c r="G32" t="s">
        <v>239</v>
      </c>
      <c r="H32" t="s">
        <v>297</v>
      </c>
      <c r="I32" t="s">
        <v>390</v>
      </c>
      <c r="J32" t="s">
        <v>361</v>
      </c>
      <c r="K32" t="str">
        <f>Tabla14[[#This Row],[id]]&amp;Tabla14[[#This Row],[Resposable]]</f>
        <v>205Anthony Campos</v>
      </c>
      <c r="L32" t="str">
        <f>Tabla14[[#This Row],[id]]&amp;Tabla14[[#This Row],[Resposable]]</f>
        <v>205Anthony Campos</v>
      </c>
      <c r="M32" t="s">
        <v>297</v>
      </c>
    </row>
    <row r="33" spans="1:13" x14ac:dyDescent="0.25">
      <c r="A33" t="s">
        <v>23</v>
      </c>
      <c r="B33">
        <v>205</v>
      </c>
      <c r="C33" t="s">
        <v>13</v>
      </c>
      <c r="D33" t="s">
        <v>106</v>
      </c>
      <c r="E33" t="s">
        <v>47</v>
      </c>
      <c r="F33" t="s">
        <v>50</v>
      </c>
      <c r="G33" t="s">
        <v>239</v>
      </c>
      <c r="H33" t="s">
        <v>297</v>
      </c>
      <c r="I33" t="s">
        <v>390</v>
      </c>
      <c r="J33" t="s">
        <v>361</v>
      </c>
      <c r="K33" t="str">
        <f>Tabla14[[#This Row],[id]]&amp;Tabla14[[#This Row],[Resposable]]</f>
        <v>205Anthony Campos</v>
      </c>
      <c r="L33" t="str">
        <f>Tabla14[[#This Row],[id]]&amp;Tabla14[[#This Row],[Resposable]]</f>
        <v>205Anthony Campos</v>
      </c>
      <c r="M33" t="s">
        <v>297</v>
      </c>
    </row>
    <row r="34" spans="1:13" x14ac:dyDescent="0.25">
      <c r="A34" t="s">
        <v>23</v>
      </c>
      <c r="B34">
        <v>205</v>
      </c>
      <c r="C34" t="s">
        <v>13</v>
      </c>
      <c r="D34" t="s">
        <v>113</v>
      </c>
      <c r="E34" t="s">
        <v>47</v>
      </c>
      <c r="F34" t="s">
        <v>89</v>
      </c>
      <c r="G34" t="s">
        <v>239</v>
      </c>
      <c r="H34" t="s">
        <v>297</v>
      </c>
      <c r="I34" t="s">
        <v>390</v>
      </c>
      <c r="J34" t="s">
        <v>361</v>
      </c>
      <c r="K34" t="str">
        <f>Tabla14[[#This Row],[id]]&amp;Tabla14[[#This Row],[Resposable]]</f>
        <v>205Anthony Campos</v>
      </c>
      <c r="L34" t="str">
        <f>Tabla14[[#This Row],[id]]&amp;Tabla14[[#This Row],[Resposable]]</f>
        <v>205Anthony Campos</v>
      </c>
      <c r="M34" t="s">
        <v>297</v>
      </c>
    </row>
    <row r="35" spans="1:13" x14ac:dyDescent="0.25">
      <c r="A35" t="s">
        <v>23</v>
      </c>
      <c r="B35">
        <v>205</v>
      </c>
      <c r="C35" t="s">
        <v>8</v>
      </c>
      <c r="D35" t="s">
        <v>379</v>
      </c>
      <c r="E35" t="s">
        <v>47</v>
      </c>
      <c r="F35" t="s">
        <v>58</v>
      </c>
      <c r="G35" t="s">
        <v>239</v>
      </c>
      <c r="H35" t="s">
        <v>297</v>
      </c>
      <c r="I35" t="s">
        <v>390</v>
      </c>
      <c r="J35" t="s">
        <v>363</v>
      </c>
      <c r="K35" t="str">
        <f>Tabla14[[#This Row],[id]]&amp;Tabla14[[#This Row],[Resposable]]</f>
        <v>205Anthony Campos</v>
      </c>
      <c r="L35" t="str">
        <f>Tabla14[[#This Row],[id]]&amp;Tabla14[[#This Row],[Resposable]]</f>
        <v>205Anthony Campos</v>
      </c>
      <c r="M35" t="s">
        <v>297</v>
      </c>
    </row>
    <row r="36" spans="1:13" x14ac:dyDescent="0.25">
      <c r="A36" t="s">
        <v>15</v>
      </c>
      <c r="B36">
        <v>46</v>
      </c>
      <c r="C36" t="s">
        <v>7</v>
      </c>
      <c r="D36" t="s">
        <v>66</v>
      </c>
      <c r="E36" t="s">
        <v>47</v>
      </c>
      <c r="F36" s="4" t="s">
        <v>77</v>
      </c>
      <c r="G36" t="s">
        <v>239</v>
      </c>
      <c r="H36" t="s">
        <v>299</v>
      </c>
      <c r="I36" t="s">
        <v>390</v>
      </c>
      <c r="J36" t="s">
        <v>363</v>
      </c>
      <c r="K36" t="str">
        <f>Tabla14[[#This Row],[id]]&amp;Tabla14[[#This Row],[Resposable]]</f>
        <v>46Anthony Campos</v>
      </c>
      <c r="L36" t="str">
        <f>Tabla14[[#This Row],[id]]&amp;Tabla14[[#This Row],[Resposable]]</f>
        <v>46Anthony Campos</v>
      </c>
      <c r="M36" t="s">
        <v>299</v>
      </c>
    </row>
    <row r="37" spans="1:13" x14ac:dyDescent="0.25">
      <c r="A37" t="s">
        <v>15</v>
      </c>
      <c r="B37">
        <v>46</v>
      </c>
      <c r="C37" t="s">
        <v>7</v>
      </c>
      <c r="D37" t="s">
        <v>79</v>
      </c>
      <c r="E37" t="s">
        <v>47</v>
      </c>
      <c r="F37" s="4" t="s">
        <v>48</v>
      </c>
      <c r="G37" t="s">
        <v>239</v>
      </c>
      <c r="H37" t="s">
        <v>299</v>
      </c>
      <c r="I37" t="s">
        <v>390</v>
      </c>
      <c r="J37" t="s">
        <v>363</v>
      </c>
      <c r="K37" t="str">
        <f>Tabla14[[#This Row],[id]]&amp;Tabla14[[#This Row],[Resposable]]</f>
        <v>46Anthony Campos</v>
      </c>
      <c r="L37" t="str">
        <f>Tabla14[[#This Row],[id]]&amp;Tabla14[[#This Row],[Resposable]]</f>
        <v>46Anthony Campos</v>
      </c>
      <c r="M37" t="s">
        <v>299</v>
      </c>
    </row>
    <row r="38" spans="1:13" x14ac:dyDescent="0.25">
      <c r="A38" t="s">
        <v>15</v>
      </c>
      <c r="B38">
        <v>46</v>
      </c>
      <c r="C38" t="s">
        <v>8</v>
      </c>
      <c r="D38" t="s">
        <v>80</v>
      </c>
      <c r="E38" t="s">
        <v>47</v>
      </c>
      <c r="F38" s="4" t="s">
        <v>48</v>
      </c>
      <c r="G38" t="s">
        <v>239</v>
      </c>
      <c r="H38" t="s">
        <v>299</v>
      </c>
      <c r="I38" t="s">
        <v>390</v>
      </c>
      <c r="J38" t="s">
        <v>363</v>
      </c>
      <c r="K38" t="str">
        <f>Tabla14[[#This Row],[id]]&amp;Tabla14[[#This Row],[Resposable]]</f>
        <v>46Anthony Campos</v>
      </c>
      <c r="L38" t="str">
        <f>Tabla14[[#This Row],[id]]&amp;Tabla14[[#This Row],[Resposable]]</f>
        <v>46Anthony Campos</v>
      </c>
      <c r="M38" t="s">
        <v>299</v>
      </c>
    </row>
    <row r="39" spans="1:13" x14ac:dyDescent="0.25">
      <c r="A39" t="s">
        <v>15</v>
      </c>
      <c r="B39">
        <v>46</v>
      </c>
      <c r="C39" t="s">
        <v>8</v>
      </c>
      <c r="D39" t="s">
        <v>81</v>
      </c>
      <c r="E39" t="s">
        <v>47</v>
      </c>
      <c r="F39" s="4" t="s">
        <v>77</v>
      </c>
      <c r="G39" t="s">
        <v>239</v>
      </c>
      <c r="H39" t="s">
        <v>299</v>
      </c>
      <c r="I39" t="s">
        <v>390</v>
      </c>
      <c r="J39" t="s">
        <v>363</v>
      </c>
      <c r="K39" t="str">
        <f>Tabla14[[#This Row],[id]]&amp;Tabla14[[#This Row],[Resposable]]</f>
        <v>46Anthony Campos</v>
      </c>
      <c r="L39" t="str">
        <f>Tabla14[[#This Row],[id]]&amp;Tabla14[[#This Row],[Resposable]]</f>
        <v>46Anthony Campos</v>
      </c>
      <c r="M39" t="s">
        <v>299</v>
      </c>
    </row>
    <row r="40" spans="1:13" x14ac:dyDescent="0.25">
      <c r="A40" t="s">
        <v>15</v>
      </c>
      <c r="B40">
        <v>46</v>
      </c>
      <c r="C40" t="s">
        <v>8</v>
      </c>
      <c r="D40" t="s">
        <v>57</v>
      </c>
      <c r="E40" t="s">
        <v>47</v>
      </c>
      <c r="F40" s="4" t="s">
        <v>77</v>
      </c>
      <c r="G40" t="s">
        <v>239</v>
      </c>
      <c r="H40" t="s">
        <v>299</v>
      </c>
      <c r="I40" t="s">
        <v>390</v>
      </c>
      <c r="J40" t="s">
        <v>363</v>
      </c>
      <c r="K40" t="str">
        <f>Tabla14[[#This Row],[id]]&amp;Tabla14[[#This Row],[Resposable]]</f>
        <v>46Anthony Campos</v>
      </c>
      <c r="L40" t="str">
        <f>Tabla14[[#This Row],[id]]&amp;Tabla14[[#This Row],[Resposable]]</f>
        <v>46Anthony Campos</v>
      </c>
      <c r="M40" t="s">
        <v>299</v>
      </c>
    </row>
    <row r="41" spans="1:13" x14ac:dyDescent="0.25">
      <c r="A41" t="s">
        <v>245</v>
      </c>
      <c r="B41">
        <v>4</v>
      </c>
      <c r="C41" t="s">
        <v>7</v>
      </c>
      <c r="D41" t="s">
        <v>51</v>
      </c>
      <c r="E41" t="s">
        <v>47</v>
      </c>
      <c r="F41" s="4" t="s">
        <v>50</v>
      </c>
      <c r="G41" t="s">
        <v>239</v>
      </c>
      <c r="H41" t="s">
        <v>252</v>
      </c>
      <c r="I41" t="s">
        <v>390</v>
      </c>
      <c r="J41" t="s">
        <v>364</v>
      </c>
      <c r="K41" t="str">
        <f>Tabla14[[#This Row],[id]]&amp;Tabla14[[#This Row],[Resposable]]</f>
        <v>4Anthony Campos</v>
      </c>
      <c r="L41" t="str">
        <f>Tabla14[[#This Row],[id]]&amp;Tabla14[[#This Row],[Resposable]]</f>
        <v>4Anthony Campos</v>
      </c>
      <c r="M41" t="s">
        <v>252</v>
      </c>
    </row>
    <row r="42" spans="1:13" x14ac:dyDescent="0.25">
      <c r="A42" t="s">
        <v>245</v>
      </c>
      <c r="B42">
        <v>4</v>
      </c>
      <c r="C42" t="s">
        <v>8</v>
      </c>
      <c r="D42" t="s">
        <v>55</v>
      </c>
      <c r="E42" t="s">
        <v>47</v>
      </c>
      <c r="F42" s="4" t="s">
        <v>50</v>
      </c>
      <c r="G42" t="s">
        <v>239</v>
      </c>
      <c r="H42" t="s">
        <v>252</v>
      </c>
      <c r="I42" t="s">
        <v>390</v>
      </c>
      <c r="J42" t="s">
        <v>363</v>
      </c>
      <c r="K42" t="str">
        <f>Tabla14[[#This Row],[id]]&amp;Tabla14[[#This Row],[Resposable]]</f>
        <v>4Anthony Campos</v>
      </c>
      <c r="L42" t="str">
        <f>Tabla14[[#This Row],[id]]&amp;Tabla14[[#This Row],[Resposable]]</f>
        <v>4Anthony Campos</v>
      </c>
      <c r="M42" t="s">
        <v>252</v>
      </c>
    </row>
    <row r="43" spans="1:13" x14ac:dyDescent="0.25">
      <c r="A43" t="s">
        <v>245</v>
      </c>
      <c r="B43">
        <v>4</v>
      </c>
      <c r="C43" t="s">
        <v>8</v>
      </c>
      <c r="D43" t="s">
        <v>57</v>
      </c>
      <c r="E43" t="s">
        <v>54</v>
      </c>
      <c r="F43" s="4" t="s">
        <v>50</v>
      </c>
      <c r="G43" t="s">
        <v>239</v>
      </c>
      <c r="H43" t="s">
        <v>252</v>
      </c>
      <c r="I43" t="s">
        <v>390</v>
      </c>
      <c r="J43" t="s">
        <v>363</v>
      </c>
      <c r="K43" t="str">
        <f>Tabla14[[#This Row],[id]]&amp;Tabla14[[#This Row],[Resposable]]</f>
        <v>4Anthony Campos</v>
      </c>
      <c r="L43" t="str">
        <f>Tabla14[[#This Row],[id]]&amp;Tabla14[[#This Row],[Resposable]]</f>
        <v>4Anthony Campos</v>
      </c>
      <c r="M43" t="s">
        <v>252</v>
      </c>
    </row>
    <row r="44" spans="1:13" x14ac:dyDescent="0.25">
      <c r="A44" t="s">
        <v>10</v>
      </c>
      <c r="B44">
        <v>19</v>
      </c>
      <c r="C44" t="s">
        <v>7</v>
      </c>
      <c r="D44" t="s">
        <v>66</v>
      </c>
      <c r="E44" t="s">
        <v>47</v>
      </c>
      <c r="F44" s="4" t="s">
        <v>58</v>
      </c>
      <c r="G44" t="s">
        <v>239</v>
      </c>
      <c r="H44" t="s">
        <v>252</v>
      </c>
      <c r="I44" t="s">
        <v>390</v>
      </c>
      <c r="J44" t="s">
        <v>363</v>
      </c>
      <c r="K44" t="str">
        <f>Tabla14[[#This Row],[id]]&amp;Tabla14[[#This Row],[Resposable]]</f>
        <v>19Anthony Campos</v>
      </c>
      <c r="L44" t="str">
        <f>Tabla14[[#This Row],[id]]&amp;Tabla14[[#This Row],[Resposable]]</f>
        <v>19Anthony Campos</v>
      </c>
      <c r="M44" t="s">
        <v>252</v>
      </c>
    </row>
    <row r="45" spans="1:13" x14ac:dyDescent="0.25">
      <c r="A45" t="s">
        <v>10</v>
      </c>
      <c r="B45">
        <v>19</v>
      </c>
      <c r="C45" t="s">
        <v>8</v>
      </c>
      <c r="D45" t="s">
        <v>57</v>
      </c>
      <c r="E45" t="s">
        <v>47</v>
      </c>
      <c r="F45" s="4" t="s">
        <v>71</v>
      </c>
      <c r="G45" t="s">
        <v>239</v>
      </c>
      <c r="H45" t="s">
        <v>252</v>
      </c>
      <c r="I45" t="s">
        <v>390</v>
      </c>
      <c r="J45" t="s">
        <v>363</v>
      </c>
      <c r="K45" t="str">
        <f>Tabla14[[#This Row],[id]]&amp;Tabla14[[#This Row],[Resposable]]</f>
        <v>19Anthony Campos</v>
      </c>
      <c r="L45" t="str">
        <f>Tabla14[[#This Row],[id]]&amp;Tabla14[[#This Row],[Resposable]]</f>
        <v>19Anthony Campos</v>
      </c>
      <c r="M45" t="s">
        <v>252</v>
      </c>
    </row>
    <row r="46" spans="1:13" x14ac:dyDescent="0.25">
      <c r="A46" t="s">
        <v>16</v>
      </c>
      <c r="B46">
        <v>47</v>
      </c>
      <c r="C46" t="s">
        <v>13</v>
      </c>
      <c r="D46" t="s">
        <v>83</v>
      </c>
      <c r="E46" t="s">
        <v>47</v>
      </c>
      <c r="F46" s="4" t="s">
        <v>50</v>
      </c>
      <c r="G46" t="s">
        <v>239</v>
      </c>
      <c r="H46" t="s">
        <v>252</v>
      </c>
      <c r="I46" t="s">
        <v>390</v>
      </c>
      <c r="J46" t="s">
        <v>363</v>
      </c>
      <c r="K46" t="str">
        <f>Tabla14[[#This Row],[id]]&amp;Tabla14[[#This Row],[Resposable]]</f>
        <v>47Anthony Campos</v>
      </c>
      <c r="L46" t="str">
        <f>Tabla14[[#This Row],[id]]&amp;Tabla14[[#This Row],[Resposable]]</f>
        <v>47Anthony Campos</v>
      </c>
      <c r="M46" t="s">
        <v>252</v>
      </c>
    </row>
    <row r="47" spans="1:13" x14ac:dyDescent="0.25">
      <c r="A47" t="s">
        <v>16</v>
      </c>
      <c r="B47">
        <v>47</v>
      </c>
      <c r="C47" t="s">
        <v>8</v>
      </c>
      <c r="D47" t="s">
        <v>88</v>
      </c>
      <c r="E47" t="s">
        <v>54</v>
      </c>
      <c r="F47" s="4" t="s">
        <v>89</v>
      </c>
      <c r="G47" t="s">
        <v>239</v>
      </c>
      <c r="H47" t="s">
        <v>252</v>
      </c>
      <c r="I47" t="s">
        <v>390</v>
      </c>
      <c r="J47" t="s">
        <v>363</v>
      </c>
      <c r="K47" t="str">
        <f>Tabla14[[#This Row],[id]]&amp;Tabla14[[#This Row],[Resposable]]</f>
        <v>47Anthony Campos</v>
      </c>
      <c r="L47" t="str">
        <f>Tabla14[[#This Row],[id]]&amp;Tabla14[[#This Row],[Resposable]]</f>
        <v>47Anthony Campos</v>
      </c>
      <c r="M47" t="s">
        <v>252</v>
      </c>
    </row>
    <row r="48" spans="1:13" x14ac:dyDescent="0.25">
      <c r="A48" t="s">
        <v>16</v>
      </c>
      <c r="B48">
        <v>47</v>
      </c>
      <c r="C48" t="s">
        <v>8</v>
      </c>
      <c r="D48" t="s">
        <v>91</v>
      </c>
      <c r="E48" t="s">
        <v>54</v>
      </c>
      <c r="F48" s="4" t="s">
        <v>50</v>
      </c>
      <c r="G48" t="s">
        <v>239</v>
      </c>
      <c r="H48" t="s">
        <v>252</v>
      </c>
      <c r="I48" t="s">
        <v>390</v>
      </c>
      <c r="J48" t="s">
        <v>363</v>
      </c>
      <c r="K48" t="str">
        <f>Tabla14[[#This Row],[id]]&amp;Tabla14[[#This Row],[Resposable]]</f>
        <v>47Anthony Campos</v>
      </c>
      <c r="L48" t="str">
        <f>Tabla14[[#This Row],[id]]&amp;Tabla14[[#This Row],[Resposable]]</f>
        <v>47Anthony Campos</v>
      </c>
      <c r="M48" t="s">
        <v>252</v>
      </c>
    </row>
    <row r="49" spans="1:13" x14ac:dyDescent="0.25">
      <c r="A49" t="s">
        <v>17</v>
      </c>
      <c r="B49">
        <v>52</v>
      </c>
      <c r="C49" t="s">
        <v>7</v>
      </c>
      <c r="D49" t="s">
        <v>92</v>
      </c>
      <c r="E49" t="s">
        <v>47</v>
      </c>
      <c r="F49" s="4" t="s">
        <v>48</v>
      </c>
      <c r="G49" t="s">
        <v>239</v>
      </c>
      <c r="H49" t="s">
        <v>252</v>
      </c>
      <c r="I49" t="s">
        <v>390</v>
      </c>
      <c r="J49" t="s">
        <v>363</v>
      </c>
      <c r="K49" t="str">
        <f>Tabla14[[#This Row],[id]]&amp;Tabla14[[#This Row],[Resposable]]</f>
        <v>52Anthony Campos</v>
      </c>
      <c r="L49" t="str">
        <f>Tabla14[[#This Row],[id]]&amp;Tabla14[[#This Row],[Resposable]]</f>
        <v>52Anthony Campos</v>
      </c>
      <c r="M49" t="s">
        <v>252</v>
      </c>
    </row>
    <row r="50" spans="1:13" x14ac:dyDescent="0.25">
      <c r="A50" t="s">
        <v>17</v>
      </c>
      <c r="B50">
        <v>52</v>
      </c>
      <c r="C50" t="s">
        <v>7</v>
      </c>
      <c r="D50" t="s">
        <v>93</v>
      </c>
      <c r="E50" t="s">
        <v>47</v>
      </c>
      <c r="F50" s="4" t="s">
        <v>48</v>
      </c>
      <c r="G50" t="s">
        <v>239</v>
      </c>
      <c r="H50" t="s">
        <v>252</v>
      </c>
      <c r="I50" t="s">
        <v>390</v>
      </c>
      <c r="J50" t="s">
        <v>363</v>
      </c>
      <c r="K50" t="str">
        <f>Tabla14[[#This Row],[id]]&amp;Tabla14[[#This Row],[Resposable]]</f>
        <v>52Anthony Campos</v>
      </c>
      <c r="L50" t="str">
        <f>Tabla14[[#This Row],[id]]&amp;Tabla14[[#This Row],[Resposable]]</f>
        <v>52Anthony Campos</v>
      </c>
      <c r="M50" t="s">
        <v>252</v>
      </c>
    </row>
    <row r="51" spans="1:13" x14ac:dyDescent="0.25">
      <c r="A51" t="s">
        <v>17</v>
      </c>
      <c r="B51">
        <v>52</v>
      </c>
      <c r="C51" t="s">
        <v>7</v>
      </c>
      <c r="D51" t="s">
        <v>94</v>
      </c>
      <c r="E51" t="s">
        <v>47</v>
      </c>
      <c r="F51" s="4" t="s">
        <v>48</v>
      </c>
      <c r="G51" t="s">
        <v>239</v>
      </c>
      <c r="H51" t="s">
        <v>252</v>
      </c>
      <c r="I51" t="s">
        <v>390</v>
      </c>
      <c r="J51" t="s">
        <v>363</v>
      </c>
      <c r="K51" t="str">
        <f>Tabla14[[#This Row],[id]]&amp;Tabla14[[#This Row],[Resposable]]</f>
        <v>52Anthony Campos</v>
      </c>
      <c r="L51" t="str">
        <f>Tabla14[[#This Row],[id]]&amp;Tabla14[[#This Row],[Resposable]]</f>
        <v>52Anthony Campos</v>
      </c>
      <c r="M51" t="s">
        <v>252</v>
      </c>
    </row>
    <row r="52" spans="1:13" x14ac:dyDescent="0.25">
      <c r="A52" t="s">
        <v>17</v>
      </c>
      <c r="B52">
        <v>52</v>
      </c>
      <c r="C52" t="s">
        <v>7</v>
      </c>
      <c r="D52" t="s">
        <v>95</v>
      </c>
      <c r="E52" t="s">
        <v>47</v>
      </c>
      <c r="F52" s="4" t="s">
        <v>96</v>
      </c>
      <c r="G52" t="s">
        <v>239</v>
      </c>
      <c r="H52" t="s">
        <v>252</v>
      </c>
      <c r="I52" t="s">
        <v>390</v>
      </c>
      <c r="J52" t="s">
        <v>363</v>
      </c>
      <c r="K52" t="str">
        <f>Tabla14[[#This Row],[id]]&amp;Tabla14[[#This Row],[Resposable]]</f>
        <v>52Anthony Campos</v>
      </c>
      <c r="L52" t="str">
        <f>Tabla14[[#This Row],[id]]&amp;Tabla14[[#This Row],[Resposable]]</f>
        <v>52Anthony Campos</v>
      </c>
      <c r="M52" t="s">
        <v>252</v>
      </c>
    </row>
    <row r="53" spans="1:13" x14ac:dyDescent="0.25">
      <c r="A53" t="s">
        <v>17</v>
      </c>
      <c r="B53">
        <v>52</v>
      </c>
      <c r="C53" t="s">
        <v>18</v>
      </c>
      <c r="D53" t="s">
        <v>97</v>
      </c>
      <c r="E53" t="s">
        <v>47</v>
      </c>
      <c r="F53" s="4" t="s">
        <v>48</v>
      </c>
      <c r="G53" t="s">
        <v>239</v>
      </c>
      <c r="H53" t="s">
        <v>252</v>
      </c>
      <c r="I53" t="s">
        <v>390</v>
      </c>
      <c r="J53" t="s">
        <v>363</v>
      </c>
      <c r="K53" t="str">
        <f>Tabla14[[#This Row],[id]]&amp;Tabla14[[#This Row],[Resposable]]</f>
        <v>52Anthony Campos</v>
      </c>
      <c r="L53" t="str">
        <f>Tabla14[[#This Row],[id]]&amp;Tabla14[[#This Row],[Resposable]]</f>
        <v>52Anthony Campos</v>
      </c>
      <c r="M53" t="s">
        <v>252</v>
      </c>
    </row>
    <row r="54" spans="1:13" x14ac:dyDescent="0.25">
      <c r="A54" t="s">
        <v>17</v>
      </c>
      <c r="B54">
        <v>52</v>
      </c>
      <c r="C54" t="s">
        <v>8</v>
      </c>
      <c r="D54" t="s">
        <v>57</v>
      </c>
      <c r="E54" t="s">
        <v>54</v>
      </c>
      <c r="F54" s="4" t="s">
        <v>77</v>
      </c>
      <c r="G54" t="s">
        <v>239</v>
      </c>
      <c r="H54" t="s">
        <v>252</v>
      </c>
      <c r="I54" t="s">
        <v>390</v>
      </c>
      <c r="J54" t="s">
        <v>363</v>
      </c>
      <c r="K54" t="str">
        <f>Tabla14[[#This Row],[id]]&amp;Tabla14[[#This Row],[Resposable]]</f>
        <v>52Anthony Campos</v>
      </c>
      <c r="L54" t="str">
        <f>Tabla14[[#This Row],[id]]&amp;Tabla14[[#This Row],[Resposable]]</f>
        <v>52Anthony Campos</v>
      </c>
      <c r="M54" t="s">
        <v>252</v>
      </c>
    </row>
    <row r="55" spans="1:13" x14ac:dyDescent="0.25">
      <c r="A55" t="s">
        <v>310</v>
      </c>
      <c r="B55">
        <v>79</v>
      </c>
      <c r="C55" t="s">
        <v>18</v>
      </c>
      <c r="D55" t="s">
        <v>105</v>
      </c>
      <c r="E55" t="s">
        <v>47</v>
      </c>
      <c r="F55" s="4" t="s">
        <v>58</v>
      </c>
      <c r="G55" t="s">
        <v>239</v>
      </c>
      <c r="H55" t="s">
        <v>252</v>
      </c>
      <c r="I55" t="s">
        <v>390</v>
      </c>
      <c r="J55" t="s">
        <v>363</v>
      </c>
      <c r="K55" t="str">
        <f>Tabla14[[#This Row],[id]]&amp;Tabla14[[#This Row],[Resposable]]</f>
        <v>79Anthony Campos</v>
      </c>
      <c r="L55" t="str">
        <f>Tabla14[[#This Row],[id]]&amp;Tabla14[[#This Row],[Resposable]]</f>
        <v>79Anthony Campos</v>
      </c>
      <c r="M55" t="s">
        <v>252</v>
      </c>
    </row>
    <row r="56" spans="1:13" x14ac:dyDescent="0.25">
      <c r="A56" t="s">
        <v>310</v>
      </c>
      <c r="B56">
        <v>79</v>
      </c>
      <c r="C56" t="s">
        <v>5</v>
      </c>
      <c r="D56" t="s">
        <v>107</v>
      </c>
      <c r="E56" t="s">
        <v>47</v>
      </c>
      <c r="F56" s="4" t="s">
        <v>58</v>
      </c>
      <c r="G56" t="s">
        <v>239</v>
      </c>
      <c r="H56" t="s">
        <v>252</v>
      </c>
      <c r="I56" t="s">
        <v>390</v>
      </c>
      <c r="J56" t="s">
        <v>363</v>
      </c>
      <c r="K56" t="str">
        <f>Tabla14[[#This Row],[id]]&amp;Tabla14[[#This Row],[Resposable]]</f>
        <v>79Anthony Campos</v>
      </c>
      <c r="L56" t="str">
        <f>Tabla14[[#This Row],[id]]&amp;Tabla14[[#This Row],[Resposable]]</f>
        <v>79Anthony Campos</v>
      </c>
      <c r="M56" t="s">
        <v>252</v>
      </c>
    </row>
    <row r="57" spans="1:13" x14ac:dyDescent="0.25">
      <c r="A57" t="s">
        <v>310</v>
      </c>
      <c r="B57">
        <v>79</v>
      </c>
      <c r="C57" t="s">
        <v>8</v>
      </c>
      <c r="D57" t="s">
        <v>108</v>
      </c>
      <c r="E57" t="s">
        <v>47</v>
      </c>
      <c r="F57" s="4" t="s">
        <v>77</v>
      </c>
      <c r="G57" t="s">
        <v>239</v>
      </c>
      <c r="H57" t="s">
        <v>252</v>
      </c>
      <c r="I57" t="s">
        <v>390</v>
      </c>
      <c r="J57" t="s">
        <v>363</v>
      </c>
      <c r="K57" t="str">
        <f>Tabla14[[#This Row],[id]]&amp;Tabla14[[#This Row],[Resposable]]</f>
        <v>79Anthony Campos</v>
      </c>
      <c r="L57" t="str">
        <f>Tabla14[[#This Row],[id]]&amp;Tabla14[[#This Row],[Resposable]]</f>
        <v>79Anthony Campos</v>
      </c>
      <c r="M57" t="s">
        <v>252</v>
      </c>
    </row>
    <row r="58" spans="1:13" x14ac:dyDescent="0.25">
      <c r="A58" t="s">
        <v>310</v>
      </c>
      <c r="B58">
        <v>79</v>
      </c>
      <c r="C58" t="s">
        <v>7</v>
      </c>
      <c r="D58" t="s">
        <v>109</v>
      </c>
      <c r="E58" t="s">
        <v>47</v>
      </c>
      <c r="F58" s="4" t="s">
        <v>82</v>
      </c>
      <c r="G58" t="s">
        <v>239</v>
      </c>
      <c r="H58" t="s">
        <v>252</v>
      </c>
      <c r="I58" t="s">
        <v>390</v>
      </c>
      <c r="J58" t="s">
        <v>363</v>
      </c>
      <c r="K58" t="str">
        <f>Tabla14[[#This Row],[id]]&amp;Tabla14[[#This Row],[Resposable]]</f>
        <v>79Anthony Campos</v>
      </c>
      <c r="L58" t="str">
        <f>Tabla14[[#This Row],[id]]&amp;Tabla14[[#This Row],[Resposable]]</f>
        <v>79Anthony Campos</v>
      </c>
      <c r="M58" t="s">
        <v>252</v>
      </c>
    </row>
    <row r="59" spans="1:13" x14ac:dyDescent="0.25">
      <c r="A59" t="s">
        <v>310</v>
      </c>
      <c r="B59">
        <v>79</v>
      </c>
      <c r="C59" t="s">
        <v>7</v>
      </c>
      <c r="D59" t="s">
        <v>110</v>
      </c>
      <c r="E59" t="s">
        <v>47</v>
      </c>
      <c r="F59" s="4" t="s">
        <v>71</v>
      </c>
      <c r="G59" t="s">
        <v>239</v>
      </c>
      <c r="H59" t="s">
        <v>252</v>
      </c>
      <c r="I59" t="s">
        <v>390</v>
      </c>
      <c r="J59" t="s">
        <v>363</v>
      </c>
      <c r="K59" t="str">
        <f>Tabla14[[#This Row],[id]]&amp;Tabla14[[#This Row],[Resposable]]</f>
        <v>79Anthony Campos</v>
      </c>
      <c r="L59" t="str">
        <f>Tabla14[[#This Row],[id]]&amp;Tabla14[[#This Row],[Resposable]]</f>
        <v>79Anthony Campos</v>
      </c>
      <c r="M59" t="s">
        <v>252</v>
      </c>
    </row>
    <row r="60" spans="1:13" x14ac:dyDescent="0.25">
      <c r="A60" t="s">
        <v>310</v>
      </c>
      <c r="B60">
        <v>79</v>
      </c>
      <c r="C60" t="s">
        <v>18</v>
      </c>
      <c r="D60" t="s">
        <v>111</v>
      </c>
      <c r="E60" t="s">
        <v>47</v>
      </c>
      <c r="F60" s="4" t="s">
        <v>58</v>
      </c>
      <c r="G60" t="s">
        <v>239</v>
      </c>
      <c r="H60" t="s">
        <v>252</v>
      </c>
      <c r="I60" t="s">
        <v>390</v>
      </c>
      <c r="J60" t="s">
        <v>363</v>
      </c>
      <c r="K60" t="str">
        <f>Tabla14[[#This Row],[id]]&amp;Tabla14[[#This Row],[Resposable]]</f>
        <v>79Anthony Campos</v>
      </c>
      <c r="L60" t="str">
        <f>Tabla14[[#This Row],[id]]&amp;Tabla14[[#This Row],[Resposable]]</f>
        <v>79Anthony Campos</v>
      </c>
      <c r="M60" t="s">
        <v>252</v>
      </c>
    </row>
    <row r="61" spans="1:13" x14ac:dyDescent="0.25">
      <c r="A61" t="s">
        <v>24</v>
      </c>
      <c r="B61">
        <v>106</v>
      </c>
      <c r="C61" t="s">
        <v>5</v>
      </c>
      <c r="D61" t="s">
        <v>115</v>
      </c>
      <c r="E61" t="s">
        <v>47</v>
      </c>
      <c r="F61" s="4" t="s">
        <v>58</v>
      </c>
      <c r="G61" t="s">
        <v>239</v>
      </c>
      <c r="H61" t="s">
        <v>252</v>
      </c>
      <c r="I61" t="s">
        <v>390</v>
      </c>
      <c r="J61" t="s">
        <v>363</v>
      </c>
      <c r="K61" t="str">
        <f>Tabla14[[#This Row],[id]]&amp;Tabla14[[#This Row],[Resposable]]</f>
        <v>106Anthony Campos</v>
      </c>
      <c r="L61" t="str">
        <f>Tabla14[[#This Row],[id]]&amp;Tabla14[[#This Row],[Resposable]]</f>
        <v>106Anthony Campos</v>
      </c>
      <c r="M61" t="s">
        <v>252</v>
      </c>
    </row>
    <row r="62" spans="1:13" x14ac:dyDescent="0.25">
      <c r="A62" t="s">
        <v>24</v>
      </c>
      <c r="B62">
        <v>106</v>
      </c>
      <c r="C62" t="s">
        <v>5</v>
      </c>
      <c r="D62" t="s">
        <v>117</v>
      </c>
      <c r="E62" t="s">
        <v>47</v>
      </c>
      <c r="F62" s="4" t="s">
        <v>96</v>
      </c>
      <c r="G62" t="s">
        <v>239</v>
      </c>
      <c r="H62" t="s">
        <v>252</v>
      </c>
      <c r="I62" t="s">
        <v>390</v>
      </c>
      <c r="J62" t="s">
        <v>363</v>
      </c>
      <c r="K62" t="str">
        <f>Tabla14[[#This Row],[id]]&amp;Tabla14[[#This Row],[Resposable]]</f>
        <v>106Anthony Campos</v>
      </c>
      <c r="L62" t="str">
        <f>Tabla14[[#This Row],[id]]&amp;Tabla14[[#This Row],[Resposable]]</f>
        <v>106Anthony Campos</v>
      </c>
      <c r="M62" t="s">
        <v>252</v>
      </c>
    </row>
    <row r="63" spans="1:13" x14ac:dyDescent="0.25">
      <c r="A63" t="s">
        <v>24</v>
      </c>
      <c r="B63">
        <v>106</v>
      </c>
      <c r="C63" t="s">
        <v>7</v>
      </c>
      <c r="D63" t="s">
        <v>118</v>
      </c>
      <c r="E63" t="s">
        <v>47</v>
      </c>
      <c r="F63" s="4" t="s">
        <v>71</v>
      </c>
      <c r="G63" t="s">
        <v>239</v>
      </c>
      <c r="H63" t="s">
        <v>252</v>
      </c>
      <c r="I63" t="s">
        <v>390</v>
      </c>
      <c r="J63" t="s">
        <v>363</v>
      </c>
      <c r="K63" t="str">
        <f>Tabla14[[#This Row],[id]]&amp;Tabla14[[#This Row],[Resposable]]</f>
        <v>106Anthony Campos</v>
      </c>
      <c r="L63" t="str">
        <f>Tabla14[[#This Row],[id]]&amp;Tabla14[[#This Row],[Resposable]]</f>
        <v>106Anthony Campos</v>
      </c>
      <c r="M63" t="s">
        <v>252</v>
      </c>
    </row>
    <row r="64" spans="1:13" x14ac:dyDescent="0.25">
      <c r="A64" t="s">
        <v>24</v>
      </c>
      <c r="B64">
        <v>106</v>
      </c>
      <c r="C64" t="s">
        <v>7</v>
      </c>
      <c r="D64" t="s">
        <v>119</v>
      </c>
      <c r="E64" t="s">
        <v>47</v>
      </c>
      <c r="F64" s="4" t="s">
        <v>71</v>
      </c>
      <c r="G64" t="s">
        <v>239</v>
      </c>
      <c r="H64" t="s">
        <v>252</v>
      </c>
      <c r="I64" t="s">
        <v>390</v>
      </c>
      <c r="J64" t="s">
        <v>363</v>
      </c>
      <c r="K64" t="str">
        <f>Tabla14[[#This Row],[id]]&amp;Tabla14[[#This Row],[Resposable]]</f>
        <v>106Anthony Campos</v>
      </c>
      <c r="L64" t="str">
        <f>Tabla14[[#This Row],[id]]&amp;Tabla14[[#This Row],[Resposable]]</f>
        <v>106Anthony Campos</v>
      </c>
      <c r="M64" t="s">
        <v>252</v>
      </c>
    </row>
    <row r="65" spans="1:13" x14ac:dyDescent="0.25">
      <c r="A65" t="s">
        <v>24</v>
      </c>
      <c r="B65">
        <v>106</v>
      </c>
      <c r="C65" t="s">
        <v>7</v>
      </c>
      <c r="D65" t="s">
        <v>120</v>
      </c>
      <c r="E65" t="s">
        <v>47</v>
      </c>
      <c r="F65" s="4" t="s">
        <v>96</v>
      </c>
      <c r="G65" t="s">
        <v>239</v>
      </c>
      <c r="H65" t="s">
        <v>252</v>
      </c>
      <c r="I65" t="s">
        <v>390</v>
      </c>
      <c r="J65" t="s">
        <v>363</v>
      </c>
      <c r="K65" t="str">
        <f>Tabla14[[#This Row],[id]]&amp;Tabla14[[#This Row],[Resposable]]</f>
        <v>106Anthony Campos</v>
      </c>
      <c r="L65" t="str">
        <f>Tabla14[[#This Row],[id]]&amp;Tabla14[[#This Row],[Resposable]]</f>
        <v>106Anthony Campos</v>
      </c>
      <c r="M65" t="s">
        <v>252</v>
      </c>
    </row>
    <row r="66" spans="1:13" x14ac:dyDescent="0.25">
      <c r="A66" t="s">
        <v>24</v>
      </c>
      <c r="B66">
        <v>106</v>
      </c>
      <c r="C66" t="s">
        <v>8</v>
      </c>
      <c r="D66" t="s">
        <v>121</v>
      </c>
      <c r="E66" t="s">
        <v>47</v>
      </c>
      <c r="F66" s="4" t="s">
        <v>50</v>
      </c>
      <c r="G66" t="s">
        <v>239</v>
      </c>
      <c r="H66" t="s">
        <v>252</v>
      </c>
      <c r="I66" t="s">
        <v>390</v>
      </c>
      <c r="J66" t="s">
        <v>363</v>
      </c>
      <c r="K66" t="str">
        <f>Tabla14[[#This Row],[id]]&amp;Tabla14[[#This Row],[Resposable]]</f>
        <v>106Anthony Campos</v>
      </c>
      <c r="L66" t="str">
        <f>Tabla14[[#This Row],[id]]&amp;Tabla14[[#This Row],[Resposable]]</f>
        <v>106Anthony Campos</v>
      </c>
      <c r="M66" t="s">
        <v>252</v>
      </c>
    </row>
    <row r="67" spans="1:13" x14ac:dyDescent="0.25">
      <c r="A67" t="s">
        <v>24</v>
      </c>
      <c r="B67">
        <v>106</v>
      </c>
      <c r="C67" t="s">
        <v>18</v>
      </c>
      <c r="D67" t="s">
        <v>122</v>
      </c>
      <c r="E67" t="s">
        <v>47</v>
      </c>
      <c r="F67" s="4" t="s">
        <v>48</v>
      </c>
      <c r="G67" t="s">
        <v>239</v>
      </c>
      <c r="H67" t="s">
        <v>252</v>
      </c>
      <c r="I67" t="s">
        <v>390</v>
      </c>
      <c r="J67" t="s">
        <v>363</v>
      </c>
      <c r="K67" t="str">
        <f>Tabla14[[#This Row],[id]]&amp;Tabla14[[#This Row],[Resposable]]</f>
        <v>106Anthony Campos</v>
      </c>
      <c r="L67" t="str">
        <f>Tabla14[[#This Row],[id]]&amp;Tabla14[[#This Row],[Resposable]]</f>
        <v>106Anthony Campos</v>
      </c>
      <c r="M67" t="s">
        <v>252</v>
      </c>
    </row>
    <row r="68" spans="1:13" x14ac:dyDescent="0.25">
      <c r="A68" t="s">
        <v>24</v>
      </c>
      <c r="B68">
        <v>106</v>
      </c>
      <c r="C68" t="s">
        <v>8</v>
      </c>
      <c r="D68" t="s">
        <v>123</v>
      </c>
      <c r="E68" t="s">
        <v>47</v>
      </c>
      <c r="F68" s="4" t="s">
        <v>50</v>
      </c>
      <c r="G68" t="s">
        <v>239</v>
      </c>
      <c r="H68" t="s">
        <v>252</v>
      </c>
      <c r="I68" t="s">
        <v>390</v>
      </c>
      <c r="J68" t="s">
        <v>363</v>
      </c>
      <c r="K68" t="str">
        <f>Tabla14[[#This Row],[id]]&amp;Tabla14[[#This Row],[Resposable]]</f>
        <v>106Anthony Campos</v>
      </c>
      <c r="L68" t="str">
        <f>Tabla14[[#This Row],[id]]&amp;Tabla14[[#This Row],[Resposable]]</f>
        <v>106Anthony Campos</v>
      </c>
      <c r="M68" t="s">
        <v>252</v>
      </c>
    </row>
    <row r="69" spans="1:13" x14ac:dyDescent="0.25">
      <c r="A69" t="s">
        <v>24</v>
      </c>
      <c r="B69">
        <v>106</v>
      </c>
      <c r="C69" t="s">
        <v>8</v>
      </c>
      <c r="D69" t="s">
        <v>124</v>
      </c>
      <c r="E69" t="s">
        <v>47</v>
      </c>
      <c r="F69" s="4" t="s">
        <v>50</v>
      </c>
      <c r="G69" t="s">
        <v>239</v>
      </c>
      <c r="H69" t="s">
        <v>252</v>
      </c>
      <c r="I69" t="s">
        <v>390</v>
      </c>
      <c r="J69" t="s">
        <v>363</v>
      </c>
      <c r="K69" t="str">
        <f>Tabla14[[#This Row],[id]]&amp;Tabla14[[#This Row],[Resposable]]</f>
        <v>106Anthony Campos</v>
      </c>
      <c r="L69" t="str">
        <f>Tabla14[[#This Row],[id]]&amp;Tabla14[[#This Row],[Resposable]]</f>
        <v>106Anthony Campos</v>
      </c>
      <c r="M69" t="s">
        <v>252</v>
      </c>
    </row>
    <row r="70" spans="1:13" x14ac:dyDescent="0.25">
      <c r="A70" t="s">
        <v>24</v>
      </c>
      <c r="B70">
        <v>106</v>
      </c>
      <c r="C70" t="s">
        <v>8</v>
      </c>
      <c r="D70" t="s">
        <v>125</v>
      </c>
      <c r="E70" t="s">
        <v>47</v>
      </c>
      <c r="F70" s="4" t="s">
        <v>50</v>
      </c>
      <c r="G70" t="s">
        <v>239</v>
      </c>
      <c r="H70" t="s">
        <v>252</v>
      </c>
      <c r="I70" t="s">
        <v>390</v>
      </c>
      <c r="J70" t="s">
        <v>363</v>
      </c>
      <c r="K70" t="str">
        <f>Tabla14[[#This Row],[id]]&amp;Tabla14[[#This Row],[Resposable]]</f>
        <v>106Anthony Campos</v>
      </c>
      <c r="L70" t="str">
        <f>Tabla14[[#This Row],[id]]&amp;Tabla14[[#This Row],[Resposable]]</f>
        <v>106Anthony Campos</v>
      </c>
      <c r="M70" t="s">
        <v>252</v>
      </c>
    </row>
    <row r="71" spans="1:13" x14ac:dyDescent="0.25">
      <c r="A71" t="s">
        <v>24</v>
      </c>
      <c r="B71">
        <v>106</v>
      </c>
      <c r="C71" t="s">
        <v>8</v>
      </c>
      <c r="D71" t="s">
        <v>126</v>
      </c>
      <c r="E71" t="s">
        <v>47</v>
      </c>
      <c r="F71" s="4" t="s">
        <v>50</v>
      </c>
      <c r="G71" t="s">
        <v>239</v>
      </c>
      <c r="H71" t="s">
        <v>252</v>
      </c>
      <c r="I71" t="s">
        <v>390</v>
      </c>
      <c r="J71" t="s">
        <v>363</v>
      </c>
      <c r="K71" t="str">
        <f>Tabla14[[#This Row],[id]]&amp;Tabla14[[#This Row],[Resposable]]</f>
        <v>106Anthony Campos</v>
      </c>
      <c r="L71" t="str">
        <f>Tabla14[[#This Row],[id]]&amp;Tabla14[[#This Row],[Resposable]]</f>
        <v>106Anthony Campos</v>
      </c>
      <c r="M71" t="s">
        <v>252</v>
      </c>
    </row>
    <row r="72" spans="1:13" x14ac:dyDescent="0.25">
      <c r="A72" t="s">
        <v>24</v>
      </c>
      <c r="B72">
        <v>106</v>
      </c>
      <c r="C72" t="s">
        <v>8</v>
      </c>
      <c r="D72" t="s">
        <v>127</v>
      </c>
      <c r="E72" t="s">
        <v>47</v>
      </c>
      <c r="F72" s="4" t="s">
        <v>50</v>
      </c>
      <c r="G72" t="s">
        <v>239</v>
      </c>
      <c r="H72" t="s">
        <v>252</v>
      </c>
      <c r="I72" t="s">
        <v>390</v>
      </c>
      <c r="J72" t="s">
        <v>363</v>
      </c>
      <c r="K72" t="str">
        <f>Tabla14[[#This Row],[id]]&amp;Tabla14[[#This Row],[Resposable]]</f>
        <v>106Anthony Campos</v>
      </c>
      <c r="L72" t="str">
        <f>Tabla14[[#This Row],[id]]&amp;Tabla14[[#This Row],[Resposable]]</f>
        <v>106Anthony Campos</v>
      </c>
      <c r="M72" t="s">
        <v>252</v>
      </c>
    </row>
    <row r="73" spans="1:13" x14ac:dyDescent="0.25">
      <c r="A73" t="s">
        <v>24</v>
      </c>
      <c r="B73">
        <v>106</v>
      </c>
      <c r="C73" t="s">
        <v>8</v>
      </c>
      <c r="D73" t="s">
        <v>128</v>
      </c>
      <c r="E73" t="s">
        <v>47</v>
      </c>
      <c r="F73" s="4" t="s">
        <v>50</v>
      </c>
      <c r="G73" t="s">
        <v>239</v>
      </c>
      <c r="H73" t="s">
        <v>252</v>
      </c>
      <c r="I73" t="s">
        <v>390</v>
      </c>
      <c r="J73" t="s">
        <v>363</v>
      </c>
      <c r="K73" t="str">
        <f>Tabla14[[#This Row],[id]]&amp;Tabla14[[#This Row],[Resposable]]</f>
        <v>106Anthony Campos</v>
      </c>
      <c r="L73" t="str">
        <f>Tabla14[[#This Row],[id]]&amp;Tabla14[[#This Row],[Resposable]]</f>
        <v>106Anthony Campos</v>
      </c>
      <c r="M73" t="s">
        <v>252</v>
      </c>
    </row>
    <row r="74" spans="1:13" x14ac:dyDescent="0.25">
      <c r="A74" t="s">
        <v>24</v>
      </c>
      <c r="B74">
        <v>106</v>
      </c>
      <c r="C74" t="s">
        <v>7</v>
      </c>
      <c r="D74" t="s">
        <v>129</v>
      </c>
      <c r="E74" t="s">
        <v>47</v>
      </c>
      <c r="F74" s="4" t="s">
        <v>71</v>
      </c>
      <c r="G74" t="s">
        <v>239</v>
      </c>
      <c r="H74" t="s">
        <v>252</v>
      </c>
      <c r="I74" t="s">
        <v>390</v>
      </c>
      <c r="J74" t="s">
        <v>363</v>
      </c>
      <c r="K74" t="str">
        <f>Tabla14[[#This Row],[id]]&amp;Tabla14[[#This Row],[Resposable]]</f>
        <v>106Anthony Campos</v>
      </c>
      <c r="L74" t="str">
        <f>Tabla14[[#This Row],[id]]&amp;Tabla14[[#This Row],[Resposable]]</f>
        <v>106Anthony Campos</v>
      </c>
      <c r="M74" t="s">
        <v>252</v>
      </c>
    </row>
    <row r="75" spans="1:13" x14ac:dyDescent="0.25">
      <c r="A75" t="s">
        <v>24</v>
      </c>
      <c r="B75">
        <v>106</v>
      </c>
      <c r="C75" t="s">
        <v>7</v>
      </c>
      <c r="D75" t="s">
        <v>130</v>
      </c>
      <c r="E75" t="s">
        <v>47</v>
      </c>
      <c r="F75" s="4" t="s">
        <v>71</v>
      </c>
      <c r="G75" t="s">
        <v>239</v>
      </c>
      <c r="H75" t="s">
        <v>252</v>
      </c>
      <c r="I75" t="s">
        <v>390</v>
      </c>
      <c r="J75" t="s">
        <v>363</v>
      </c>
      <c r="K75" t="str">
        <f>Tabla14[[#This Row],[id]]&amp;Tabla14[[#This Row],[Resposable]]</f>
        <v>106Anthony Campos</v>
      </c>
      <c r="L75" t="str">
        <f>Tabla14[[#This Row],[id]]&amp;Tabla14[[#This Row],[Resposable]]</f>
        <v>106Anthony Campos</v>
      </c>
      <c r="M75" t="s">
        <v>252</v>
      </c>
    </row>
    <row r="76" spans="1:13" x14ac:dyDescent="0.25">
      <c r="A76" t="s">
        <v>24</v>
      </c>
      <c r="B76">
        <v>106</v>
      </c>
      <c r="C76" t="s">
        <v>7</v>
      </c>
      <c r="D76" t="s">
        <v>131</v>
      </c>
      <c r="E76" t="s">
        <v>47</v>
      </c>
      <c r="F76" s="4" t="s">
        <v>71</v>
      </c>
      <c r="G76" t="s">
        <v>239</v>
      </c>
      <c r="H76" t="s">
        <v>252</v>
      </c>
      <c r="I76" t="s">
        <v>390</v>
      </c>
      <c r="J76" t="s">
        <v>363</v>
      </c>
      <c r="K76" t="str">
        <f>Tabla14[[#This Row],[id]]&amp;Tabla14[[#This Row],[Resposable]]</f>
        <v>106Anthony Campos</v>
      </c>
      <c r="L76" t="str">
        <f>Tabla14[[#This Row],[id]]&amp;Tabla14[[#This Row],[Resposable]]</f>
        <v>106Anthony Campos</v>
      </c>
      <c r="M76" t="s">
        <v>252</v>
      </c>
    </row>
    <row r="77" spans="1:13" x14ac:dyDescent="0.25">
      <c r="A77" t="s">
        <v>24</v>
      </c>
      <c r="B77">
        <v>106</v>
      </c>
      <c r="C77" t="s">
        <v>18</v>
      </c>
      <c r="D77" t="s">
        <v>132</v>
      </c>
      <c r="E77" t="s">
        <v>47</v>
      </c>
      <c r="F77" s="4" t="s">
        <v>48</v>
      </c>
      <c r="G77" t="s">
        <v>239</v>
      </c>
      <c r="H77" t="s">
        <v>252</v>
      </c>
      <c r="I77" t="s">
        <v>390</v>
      </c>
      <c r="J77" t="s">
        <v>363</v>
      </c>
      <c r="K77" t="str">
        <f>Tabla14[[#This Row],[id]]&amp;Tabla14[[#This Row],[Resposable]]</f>
        <v>106Anthony Campos</v>
      </c>
      <c r="L77" t="str">
        <f>Tabla14[[#This Row],[id]]&amp;Tabla14[[#This Row],[Resposable]]</f>
        <v>106Anthony Campos</v>
      </c>
      <c r="M77" t="s">
        <v>252</v>
      </c>
    </row>
    <row r="78" spans="1:13" x14ac:dyDescent="0.25">
      <c r="A78" t="s">
        <v>24</v>
      </c>
      <c r="B78">
        <v>106</v>
      </c>
      <c r="C78" t="s">
        <v>7</v>
      </c>
      <c r="D78" t="s">
        <v>133</v>
      </c>
      <c r="E78" t="s">
        <v>47</v>
      </c>
      <c r="F78" s="4" t="s">
        <v>71</v>
      </c>
      <c r="G78" t="s">
        <v>239</v>
      </c>
      <c r="H78" t="s">
        <v>252</v>
      </c>
      <c r="I78" t="s">
        <v>390</v>
      </c>
      <c r="J78" t="s">
        <v>363</v>
      </c>
      <c r="K78" t="str">
        <f>Tabla14[[#This Row],[id]]&amp;Tabla14[[#This Row],[Resposable]]</f>
        <v>106Anthony Campos</v>
      </c>
      <c r="L78" t="str">
        <f>Tabla14[[#This Row],[id]]&amp;Tabla14[[#This Row],[Resposable]]</f>
        <v>106Anthony Campos</v>
      </c>
      <c r="M78" t="s">
        <v>252</v>
      </c>
    </row>
    <row r="79" spans="1:13" x14ac:dyDescent="0.25">
      <c r="A79" t="s">
        <v>24</v>
      </c>
      <c r="B79">
        <v>106</v>
      </c>
      <c r="C79" t="s">
        <v>7</v>
      </c>
      <c r="D79" t="s">
        <v>134</v>
      </c>
      <c r="E79" t="s">
        <v>47</v>
      </c>
      <c r="F79" s="4" t="s">
        <v>71</v>
      </c>
      <c r="G79" t="s">
        <v>239</v>
      </c>
      <c r="H79" t="s">
        <v>252</v>
      </c>
      <c r="I79" t="s">
        <v>390</v>
      </c>
      <c r="J79" t="s">
        <v>363</v>
      </c>
      <c r="K79" t="str">
        <f>Tabla14[[#This Row],[id]]&amp;Tabla14[[#This Row],[Resposable]]</f>
        <v>106Anthony Campos</v>
      </c>
      <c r="L79" t="str">
        <f>Tabla14[[#This Row],[id]]&amp;Tabla14[[#This Row],[Resposable]]</f>
        <v>106Anthony Campos</v>
      </c>
      <c r="M79" t="s">
        <v>252</v>
      </c>
    </row>
    <row r="80" spans="1:13" x14ac:dyDescent="0.25">
      <c r="A80" t="s">
        <v>24</v>
      </c>
      <c r="B80">
        <v>106</v>
      </c>
      <c r="C80" t="s">
        <v>8</v>
      </c>
      <c r="D80" t="s">
        <v>135</v>
      </c>
      <c r="E80" t="s">
        <v>47</v>
      </c>
      <c r="F80" s="4" t="s">
        <v>50</v>
      </c>
      <c r="G80" t="s">
        <v>239</v>
      </c>
      <c r="H80" t="s">
        <v>252</v>
      </c>
      <c r="I80" t="s">
        <v>390</v>
      </c>
      <c r="J80" t="s">
        <v>363</v>
      </c>
      <c r="K80" t="str">
        <f>Tabla14[[#This Row],[id]]&amp;Tabla14[[#This Row],[Resposable]]</f>
        <v>106Anthony Campos</v>
      </c>
      <c r="L80" t="str">
        <f>Tabla14[[#This Row],[id]]&amp;Tabla14[[#This Row],[Resposable]]</f>
        <v>106Anthony Campos</v>
      </c>
      <c r="M80" t="s">
        <v>252</v>
      </c>
    </row>
    <row r="81" spans="1:13" x14ac:dyDescent="0.25">
      <c r="A81" t="s">
        <v>24</v>
      </c>
      <c r="B81">
        <v>106</v>
      </c>
      <c r="C81" t="s">
        <v>7</v>
      </c>
      <c r="D81" t="s">
        <v>137</v>
      </c>
      <c r="E81" t="s">
        <v>47</v>
      </c>
      <c r="F81" s="4" t="s">
        <v>71</v>
      </c>
      <c r="G81" t="s">
        <v>239</v>
      </c>
      <c r="H81" t="s">
        <v>252</v>
      </c>
      <c r="I81" t="s">
        <v>390</v>
      </c>
      <c r="J81" t="s">
        <v>363</v>
      </c>
      <c r="K81" t="str">
        <f>Tabla14[[#This Row],[id]]&amp;Tabla14[[#This Row],[Resposable]]</f>
        <v>106Anthony Campos</v>
      </c>
      <c r="L81" t="str">
        <f>Tabla14[[#This Row],[id]]&amp;Tabla14[[#This Row],[Resposable]]</f>
        <v>106Anthony Campos</v>
      </c>
      <c r="M81" t="s">
        <v>252</v>
      </c>
    </row>
    <row r="82" spans="1:13" x14ac:dyDescent="0.25">
      <c r="A82" t="s">
        <v>24</v>
      </c>
      <c r="B82">
        <v>106</v>
      </c>
      <c r="C82" t="s">
        <v>18</v>
      </c>
      <c r="D82" t="s">
        <v>138</v>
      </c>
      <c r="E82" t="s">
        <v>47</v>
      </c>
      <c r="F82" s="4" t="s">
        <v>48</v>
      </c>
      <c r="G82" t="s">
        <v>239</v>
      </c>
      <c r="H82" t="s">
        <v>252</v>
      </c>
      <c r="I82" t="s">
        <v>390</v>
      </c>
      <c r="J82" t="s">
        <v>363</v>
      </c>
      <c r="K82" t="str">
        <f>Tabla14[[#This Row],[id]]&amp;Tabla14[[#This Row],[Resposable]]</f>
        <v>106Anthony Campos</v>
      </c>
      <c r="L82" t="str">
        <f>Tabla14[[#This Row],[id]]&amp;Tabla14[[#This Row],[Resposable]]</f>
        <v>106Anthony Campos</v>
      </c>
      <c r="M82" t="s">
        <v>252</v>
      </c>
    </row>
    <row r="83" spans="1:13" x14ac:dyDescent="0.25">
      <c r="A83" t="s">
        <v>24</v>
      </c>
      <c r="B83">
        <v>106</v>
      </c>
      <c r="C83" t="s">
        <v>18</v>
      </c>
      <c r="D83" t="s">
        <v>140</v>
      </c>
      <c r="E83" t="s">
        <v>47</v>
      </c>
      <c r="F83" s="4" t="s">
        <v>48</v>
      </c>
      <c r="G83" t="s">
        <v>239</v>
      </c>
      <c r="H83" t="s">
        <v>252</v>
      </c>
      <c r="I83" t="s">
        <v>390</v>
      </c>
      <c r="J83" t="s">
        <v>363</v>
      </c>
      <c r="K83" t="str">
        <f>Tabla14[[#This Row],[id]]&amp;Tabla14[[#This Row],[Resposable]]</f>
        <v>106Anthony Campos</v>
      </c>
      <c r="L83" t="str">
        <f>Tabla14[[#This Row],[id]]&amp;Tabla14[[#This Row],[Resposable]]</f>
        <v>106Anthony Campos</v>
      </c>
      <c r="M83" t="s">
        <v>252</v>
      </c>
    </row>
    <row r="84" spans="1:13" x14ac:dyDescent="0.25">
      <c r="A84" t="s">
        <v>24</v>
      </c>
      <c r="B84">
        <v>106</v>
      </c>
      <c r="C84" t="s">
        <v>8</v>
      </c>
      <c r="D84" t="s">
        <v>141</v>
      </c>
      <c r="E84" t="s">
        <v>47</v>
      </c>
      <c r="F84" s="4" t="s">
        <v>50</v>
      </c>
      <c r="G84" t="s">
        <v>239</v>
      </c>
      <c r="H84" t="s">
        <v>252</v>
      </c>
      <c r="I84" t="s">
        <v>390</v>
      </c>
      <c r="J84" t="s">
        <v>363</v>
      </c>
      <c r="K84" t="str">
        <f>Tabla14[[#This Row],[id]]&amp;Tabla14[[#This Row],[Resposable]]</f>
        <v>106Anthony Campos</v>
      </c>
      <c r="L84" t="str">
        <f>Tabla14[[#This Row],[id]]&amp;Tabla14[[#This Row],[Resposable]]</f>
        <v>106Anthony Campos</v>
      </c>
      <c r="M84" t="s">
        <v>252</v>
      </c>
    </row>
    <row r="85" spans="1:13" x14ac:dyDescent="0.25">
      <c r="A85" t="s">
        <v>24</v>
      </c>
      <c r="B85">
        <v>106</v>
      </c>
      <c r="C85" t="s">
        <v>18</v>
      </c>
      <c r="D85" t="s">
        <v>142</v>
      </c>
      <c r="E85" t="s">
        <v>47</v>
      </c>
      <c r="F85" s="4" t="s">
        <v>48</v>
      </c>
      <c r="G85" t="s">
        <v>239</v>
      </c>
      <c r="H85" t="s">
        <v>252</v>
      </c>
      <c r="I85" t="s">
        <v>390</v>
      </c>
      <c r="J85" t="s">
        <v>363</v>
      </c>
      <c r="K85" t="str">
        <f>Tabla14[[#This Row],[id]]&amp;Tabla14[[#This Row],[Resposable]]</f>
        <v>106Anthony Campos</v>
      </c>
      <c r="L85" t="str">
        <f>Tabla14[[#This Row],[id]]&amp;Tabla14[[#This Row],[Resposable]]</f>
        <v>106Anthony Campos</v>
      </c>
      <c r="M85" t="s">
        <v>252</v>
      </c>
    </row>
    <row r="86" spans="1:13" x14ac:dyDescent="0.25">
      <c r="A86" t="s">
        <v>24</v>
      </c>
      <c r="B86">
        <v>106</v>
      </c>
      <c r="C86" t="s">
        <v>7</v>
      </c>
      <c r="D86" t="s">
        <v>143</v>
      </c>
      <c r="E86" t="s">
        <v>47</v>
      </c>
      <c r="F86" s="4" t="s">
        <v>71</v>
      </c>
      <c r="G86" t="s">
        <v>239</v>
      </c>
      <c r="H86" t="s">
        <v>252</v>
      </c>
      <c r="I86" t="s">
        <v>390</v>
      </c>
      <c r="J86" t="s">
        <v>363</v>
      </c>
      <c r="K86" t="str">
        <f>Tabla14[[#This Row],[id]]&amp;Tabla14[[#This Row],[Resposable]]</f>
        <v>106Anthony Campos</v>
      </c>
      <c r="L86" t="str">
        <f>Tabla14[[#This Row],[id]]&amp;Tabla14[[#This Row],[Resposable]]</f>
        <v>106Anthony Campos</v>
      </c>
      <c r="M86" t="s">
        <v>252</v>
      </c>
    </row>
    <row r="87" spans="1:13" x14ac:dyDescent="0.25">
      <c r="A87" t="s">
        <v>25</v>
      </c>
      <c r="B87">
        <v>106</v>
      </c>
      <c r="C87" t="s">
        <v>18</v>
      </c>
      <c r="D87" t="s">
        <v>145</v>
      </c>
      <c r="E87" t="s">
        <v>47</v>
      </c>
      <c r="F87" s="4" t="s">
        <v>48</v>
      </c>
      <c r="G87" t="s">
        <v>239</v>
      </c>
      <c r="H87" t="s">
        <v>252</v>
      </c>
      <c r="I87" t="s">
        <v>390</v>
      </c>
      <c r="J87" t="s">
        <v>363</v>
      </c>
      <c r="K87" t="str">
        <f>Tabla14[[#This Row],[id]]&amp;Tabla14[[#This Row],[Resposable]]</f>
        <v>106Anthony Campos</v>
      </c>
      <c r="L87" t="str">
        <f>Tabla14[[#This Row],[id]]&amp;Tabla14[[#This Row],[Resposable]]</f>
        <v>106Anthony Campos</v>
      </c>
      <c r="M87" t="s">
        <v>252</v>
      </c>
    </row>
    <row r="88" spans="1:13" x14ac:dyDescent="0.25">
      <c r="A88" t="s">
        <v>25</v>
      </c>
      <c r="B88">
        <v>106</v>
      </c>
      <c r="C88" t="s">
        <v>26</v>
      </c>
      <c r="D88" t="s">
        <v>146</v>
      </c>
      <c r="E88" t="s">
        <v>47</v>
      </c>
      <c r="F88" s="4" t="s">
        <v>82</v>
      </c>
      <c r="G88" t="s">
        <v>239</v>
      </c>
      <c r="H88" t="s">
        <v>252</v>
      </c>
      <c r="I88" t="s">
        <v>390</v>
      </c>
      <c r="J88" t="s">
        <v>363</v>
      </c>
      <c r="K88" t="str">
        <f>Tabla14[[#This Row],[id]]&amp;Tabla14[[#This Row],[Resposable]]</f>
        <v>106Anthony Campos</v>
      </c>
      <c r="L88" t="str">
        <f>Tabla14[[#This Row],[id]]&amp;Tabla14[[#This Row],[Resposable]]</f>
        <v>106Anthony Campos</v>
      </c>
      <c r="M88" t="s">
        <v>252</v>
      </c>
    </row>
    <row r="89" spans="1:13" x14ac:dyDescent="0.25">
      <c r="A89" t="s">
        <v>25</v>
      </c>
      <c r="B89">
        <v>106</v>
      </c>
      <c r="C89" t="s">
        <v>7</v>
      </c>
      <c r="D89" t="s">
        <v>148</v>
      </c>
      <c r="E89" t="s">
        <v>47</v>
      </c>
      <c r="F89" s="4" t="s">
        <v>48</v>
      </c>
      <c r="G89" t="s">
        <v>239</v>
      </c>
      <c r="H89" t="s">
        <v>252</v>
      </c>
      <c r="I89" t="s">
        <v>390</v>
      </c>
      <c r="J89" t="s">
        <v>363</v>
      </c>
      <c r="K89" t="str">
        <f>Tabla14[[#This Row],[id]]&amp;Tabla14[[#This Row],[Resposable]]</f>
        <v>106Anthony Campos</v>
      </c>
      <c r="L89" t="str">
        <f>Tabla14[[#This Row],[id]]&amp;Tabla14[[#This Row],[Resposable]]</f>
        <v>106Anthony Campos</v>
      </c>
      <c r="M89" t="s">
        <v>252</v>
      </c>
    </row>
    <row r="90" spans="1:13" x14ac:dyDescent="0.25">
      <c r="A90" t="s">
        <v>25</v>
      </c>
      <c r="B90">
        <v>106</v>
      </c>
      <c r="C90" t="s">
        <v>8</v>
      </c>
      <c r="D90" t="s">
        <v>149</v>
      </c>
      <c r="E90" t="s">
        <v>47</v>
      </c>
      <c r="F90" s="4" t="s">
        <v>150</v>
      </c>
      <c r="G90" t="s">
        <v>239</v>
      </c>
      <c r="H90" t="s">
        <v>252</v>
      </c>
      <c r="I90" t="s">
        <v>390</v>
      </c>
      <c r="J90" t="s">
        <v>363</v>
      </c>
      <c r="K90" t="str">
        <f>Tabla14[[#This Row],[id]]&amp;Tabla14[[#This Row],[Resposable]]</f>
        <v>106Anthony Campos</v>
      </c>
      <c r="L90" t="str">
        <f>Tabla14[[#This Row],[id]]&amp;Tabla14[[#This Row],[Resposable]]</f>
        <v>106Anthony Campos</v>
      </c>
      <c r="M90" t="s">
        <v>252</v>
      </c>
    </row>
    <row r="91" spans="1:13" x14ac:dyDescent="0.25">
      <c r="A91" t="s">
        <v>25</v>
      </c>
      <c r="B91">
        <v>106</v>
      </c>
      <c r="C91" t="s">
        <v>18</v>
      </c>
      <c r="D91" t="s">
        <v>151</v>
      </c>
      <c r="E91" t="s">
        <v>47</v>
      </c>
      <c r="F91" s="4" t="s">
        <v>58</v>
      </c>
      <c r="G91" t="s">
        <v>239</v>
      </c>
      <c r="H91" t="s">
        <v>252</v>
      </c>
      <c r="I91" t="s">
        <v>390</v>
      </c>
      <c r="J91" t="s">
        <v>363</v>
      </c>
      <c r="K91" t="str">
        <f>Tabla14[[#This Row],[id]]&amp;Tabla14[[#This Row],[Resposable]]</f>
        <v>106Anthony Campos</v>
      </c>
      <c r="L91" t="str">
        <f>Tabla14[[#This Row],[id]]&amp;Tabla14[[#This Row],[Resposable]]</f>
        <v>106Anthony Campos</v>
      </c>
      <c r="M91" t="s">
        <v>252</v>
      </c>
    </row>
    <row r="92" spans="1:13" x14ac:dyDescent="0.25">
      <c r="A92" t="s">
        <v>25</v>
      </c>
      <c r="B92">
        <v>106</v>
      </c>
      <c r="C92" t="s">
        <v>8</v>
      </c>
      <c r="D92" t="s">
        <v>152</v>
      </c>
      <c r="E92" t="s">
        <v>47</v>
      </c>
      <c r="F92" s="4" t="s">
        <v>150</v>
      </c>
      <c r="G92" t="s">
        <v>239</v>
      </c>
      <c r="H92" t="s">
        <v>252</v>
      </c>
      <c r="I92" t="s">
        <v>390</v>
      </c>
      <c r="J92" t="s">
        <v>363</v>
      </c>
      <c r="K92" t="str">
        <f>Tabla14[[#This Row],[id]]&amp;Tabla14[[#This Row],[Resposable]]</f>
        <v>106Anthony Campos</v>
      </c>
      <c r="L92" t="str">
        <f>Tabla14[[#This Row],[id]]&amp;Tabla14[[#This Row],[Resposable]]</f>
        <v>106Anthony Campos</v>
      </c>
      <c r="M92" t="s">
        <v>252</v>
      </c>
    </row>
    <row r="93" spans="1:13" x14ac:dyDescent="0.25">
      <c r="A93" t="s">
        <v>25</v>
      </c>
      <c r="B93">
        <v>106</v>
      </c>
      <c r="C93" t="s">
        <v>8</v>
      </c>
      <c r="D93" t="s">
        <v>153</v>
      </c>
      <c r="E93" t="s">
        <v>47</v>
      </c>
      <c r="F93" s="4" t="s">
        <v>150</v>
      </c>
      <c r="G93" t="s">
        <v>239</v>
      </c>
      <c r="H93" t="s">
        <v>252</v>
      </c>
      <c r="I93" t="s">
        <v>390</v>
      </c>
      <c r="J93" t="s">
        <v>363</v>
      </c>
      <c r="K93" t="str">
        <f>Tabla14[[#This Row],[id]]&amp;Tabla14[[#This Row],[Resposable]]</f>
        <v>106Anthony Campos</v>
      </c>
      <c r="L93" t="str">
        <f>Tabla14[[#This Row],[id]]&amp;Tabla14[[#This Row],[Resposable]]</f>
        <v>106Anthony Campos</v>
      </c>
      <c r="M93" t="s">
        <v>252</v>
      </c>
    </row>
    <row r="94" spans="1:13" x14ac:dyDescent="0.25">
      <c r="A94" t="s">
        <v>25</v>
      </c>
      <c r="B94">
        <v>106</v>
      </c>
      <c r="C94" t="s">
        <v>8</v>
      </c>
      <c r="D94" t="s">
        <v>154</v>
      </c>
      <c r="E94" t="s">
        <v>47</v>
      </c>
      <c r="F94" s="4" t="s">
        <v>150</v>
      </c>
      <c r="G94" t="s">
        <v>239</v>
      </c>
      <c r="H94" t="s">
        <v>252</v>
      </c>
      <c r="I94" t="s">
        <v>390</v>
      </c>
      <c r="J94" t="s">
        <v>363</v>
      </c>
      <c r="K94" t="str">
        <f>Tabla14[[#This Row],[id]]&amp;Tabla14[[#This Row],[Resposable]]</f>
        <v>106Anthony Campos</v>
      </c>
      <c r="L94" t="str">
        <f>Tabla14[[#This Row],[id]]&amp;Tabla14[[#This Row],[Resposable]]</f>
        <v>106Anthony Campos</v>
      </c>
      <c r="M94" t="s">
        <v>252</v>
      </c>
    </row>
    <row r="95" spans="1:13" x14ac:dyDescent="0.25">
      <c r="A95" t="s">
        <v>25</v>
      </c>
      <c r="B95">
        <v>106</v>
      </c>
      <c r="C95" t="s">
        <v>8</v>
      </c>
      <c r="D95" t="s">
        <v>155</v>
      </c>
      <c r="E95" t="s">
        <v>47</v>
      </c>
      <c r="F95" s="4" t="s">
        <v>150</v>
      </c>
      <c r="G95" t="s">
        <v>239</v>
      </c>
      <c r="H95" t="s">
        <v>252</v>
      </c>
      <c r="I95" t="s">
        <v>390</v>
      </c>
      <c r="J95" t="s">
        <v>363</v>
      </c>
      <c r="K95" t="str">
        <f>Tabla14[[#This Row],[id]]&amp;Tabla14[[#This Row],[Resposable]]</f>
        <v>106Anthony Campos</v>
      </c>
      <c r="L95" t="str">
        <f>Tabla14[[#This Row],[id]]&amp;Tabla14[[#This Row],[Resposable]]</f>
        <v>106Anthony Campos</v>
      </c>
      <c r="M95" t="s">
        <v>252</v>
      </c>
    </row>
    <row r="96" spans="1:13" x14ac:dyDescent="0.25">
      <c r="A96" t="s">
        <v>25</v>
      </c>
      <c r="B96">
        <v>106</v>
      </c>
      <c r="C96" t="s">
        <v>8</v>
      </c>
      <c r="D96" t="s">
        <v>156</v>
      </c>
      <c r="E96" t="s">
        <v>47</v>
      </c>
      <c r="F96" s="4" t="s">
        <v>150</v>
      </c>
      <c r="G96" t="s">
        <v>239</v>
      </c>
      <c r="H96" t="s">
        <v>252</v>
      </c>
      <c r="I96" t="s">
        <v>390</v>
      </c>
      <c r="J96" t="s">
        <v>363</v>
      </c>
      <c r="K96" t="str">
        <f>Tabla14[[#This Row],[id]]&amp;Tabla14[[#This Row],[Resposable]]</f>
        <v>106Anthony Campos</v>
      </c>
      <c r="L96" t="str">
        <f>Tabla14[[#This Row],[id]]&amp;Tabla14[[#This Row],[Resposable]]</f>
        <v>106Anthony Campos</v>
      </c>
      <c r="M96" t="s">
        <v>252</v>
      </c>
    </row>
    <row r="97" spans="1:13" x14ac:dyDescent="0.25">
      <c r="A97" t="s">
        <v>25</v>
      </c>
      <c r="B97">
        <v>106</v>
      </c>
      <c r="C97" t="s">
        <v>20</v>
      </c>
      <c r="D97" t="s">
        <v>157</v>
      </c>
      <c r="E97" t="s">
        <v>47</v>
      </c>
      <c r="F97" s="4" t="s">
        <v>58</v>
      </c>
      <c r="G97" t="s">
        <v>239</v>
      </c>
      <c r="H97" t="s">
        <v>252</v>
      </c>
      <c r="I97" t="s">
        <v>390</v>
      </c>
      <c r="J97" t="s">
        <v>363</v>
      </c>
      <c r="K97" t="str">
        <f>Tabla14[[#This Row],[id]]&amp;Tabla14[[#This Row],[Resposable]]</f>
        <v>106Anthony Campos</v>
      </c>
      <c r="L97" t="str">
        <f>Tabla14[[#This Row],[id]]&amp;Tabla14[[#This Row],[Resposable]]</f>
        <v>106Anthony Campos</v>
      </c>
      <c r="M97" t="s">
        <v>252</v>
      </c>
    </row>
    <row r="98" spans="1:13" x14ac:dyDescent="0.25">
      <c r="A98" t="s">
        <v>25</v>
      </c>
      <c r="B98">
        <v>106</v>
      </c>
      <c r="C98" t="s">
        <v>18</v>
      </c>
      <c r="D98" t="s">
        <v>158</v>
      </c>
      <c r="E98" t="s">
        <v>47</v>
      </c>
      <c r="F98" s="4" t="s">
        <v>58</v>
      </c>
      <c r="G98" t="s">
        <v>239</v>
      </c>
      <c r="H98" t="s">
        <v>252</v>
      </c>
      <c r="I98" t="s">
        <v>390</v>
      </c>
      <c r="J98" t="s">
        <v>363</v>
      </c>
      <c r="K98" t="str">
        <f>Tabla14[[#This Row],[id]]&amp;Tabla14[[#This Row],[Resposable]]</f>
        <v>106Anthony Campos</v>
      </c>
      <c r="L98" t="str">
        <f>Tabla14[[#This Row],[id]]&amp;Tabla14[[#This Row],[Resposable]]</f>
        <v>106Anthony Campos</v>
      </c>
      <c r="M98" t="s">
        <v>252</v>
      </c>
    </row>
    <row r="99" spans="1:13" x14ac:dyDescent="0.25">
      <c r="A99" t="s">
        <v>25</v>
      </c>
      <c r="B99">
        <v>106</v>
      </c>
      <c r="C99" t="s">
        <v>5</v>
      </c>
      <c r="D99" t="s">
        <v>159</v>
      </c>
      <c r="E99" t="s">
        <v>47</v>
      </c>
      <c r="F99" s="4" t="s">
        <v>96</v>
      </c>
      <c r="G99" t="s">
        <v>239</v>
      </c>
      <c r="H99" t="s">
        <v>252</v>
      </c>
      <c r="I99" t="s">
        <v>390</v>
      </c>
      <c r="J99" t="s">
        <v>363</v>
      </c>
      <c r="K99" t="str">
        <f>Tabla14[[#This Row],[id]]&amp;Tabla14[[#This Row],[Resposable]]</f>
        <v>106Anthony Campos</v>
      </c>
      <c r="L99" t="str">
        <f>Tabla14[[#This Row],[id]]&amp;Tabla14[[#This Row],[Resposable]]</f>
        <v>106Anthony Campos</v>
      </c>
      <c r="M99" t="s">
        <v>252</v>
      </c>
    </row>
    <row r="100" spans="1:13" x14ac:dyDescent="0.25">
      <c r="A100" t="s">
        <v>25</v>
      </c>
      <c r="B100">
        <v>106</v>
      </c>
      <c r="C100" t="s">
        <v>8</v>
      </c>
      <c r="D100" t="s">
        <v>57</v>
      </c>
      <c r="E100" t="s">
        <v>47</v>
      </c>
      <c r="F100" s="4" t="s">
        <v>71</v>
      </c>
      <c r="G100" t="s">
        <v>239</v>
      </c>
      <c r="H100" t="s">
        <v>252</v>
      </c>
      <c r="I100" t="s">
        <v>390</v>
      </c>
      <c r="J100" t="s">
        <v>363</v>
      </c>
      <c r="K100" t="str">
        <f>Tabla14[[#This Row],[id]]&amp;Tabla14[[#This Row],[Resposable]]</f>
        <v>106Anthony Campos</v>
      </c>
      <c r="L100" t="str">
        <f>Tabla14[[#This Row],[id]]&amp;Tabla14[[#This Row],[Resposable]]</f>
        <v>106Anthony Campos</v>
      </c>
      <c r="M100" t="s">
        <v>252</v>
      </c>
    </row>
    <row r="101" spans="1:13" x14ac:dyDescent="0.25">
      <c r="A101" t="s">
        <v>25</v>
      </c>
      <c r="B101">
        <v>106</v>
      </c>
      <c r="C101" t="s">
        <v>5</v>
      </c>
      <c r="D101" t="s">
        <v>160</v>
      </c>
      <c r="E101" t="s">
        <v>47</v>
      </c>
      <c r="F101" s="4" t="s">
        <v>48</v>
      </c>
      <c r="G101" t="s">
        <v>239</v>
      </c>
      <c r="H101" t="s">
        <v>252</v>
      </c>
      <c r="I101" t="s">
        <v>390</v>
      </c>
      <c r="J101" t="s">
        <v>363</v>
      </c>
      <c r="K101" t="str">
        <f>Tabla14[[#This Row],[id]]&amp;Tabla14[[#This Row],[Resposable]]</f>
        <v>106Anthony Campos</v>
      </c>
      <c r="L101" t="str">
        <f>Tabla14[[#This Row],[id]]&amp;Tabla14[[#This Row],[Resposable]]</f>
        <v>106Anthony Campos</v>
      </c>
      <c r="M101" t="s">
        <v>252</v>
      </c>
    </row>
    <row r="102" spans="1:13" x14ac:dyDescent="0.25">
      <c r="A102" t="s">
        <v>27</v>
      </c>
      <c r="B102">
        <v>110</v>
      </c>
      <c r="C102" t="s">
        <v>7</v>
      </c>
      <c r="D102" t="s">
        <v>66</v>
      </c>
      <c r="E102" t="s">
        <v>47</v>
      </c>
      <c r="F102" s="4" t="s">
        <v>82</v>
      </c>
      <c r="G102" t="s">
        <v>239</v>
      </c>
      <c r="H102" t="s">
        <v>252</v>
      </c>
      <c r="I102" t="s">
        <v>390</v>
      </c>
      <c r="J102" t="s">
        <v>363</v>
      </c>
      <c r="K102" t="str">
        <f>Tabla14[[#This Row],[id]]&amp;Tabla14[[#This Row],[Resposable]]</f>
        <v>110Anthony Campos</v>
      </c>
      <c r="L102" t="str">
        <f>Tabla14[[#This Row],[id]]&amp;Tabla14[[#This Row],[Resposable]]</f>
        <v>110Anthony Campos</v>
      </c>
      <c r="M102" t="s">
        <v>252</v>
      </c>
    </row>
    <row r="103" spans="1:13" x14ac:dyDescent="0.25">
      <c r="A103" t="s">
        <v>27</v>
      </c>
      <c r="B103">
        <v>110</v>
      </c>
      <c r="C103" t="s">
        <v>7</v>
      </c>
      <c r="D103" t="s">
        <v>161</v>
      </c>
      <c r="E103" t="s">
        <v>47</v>
      </c>
      <c r="F103" s="4" t="s">
        <v>82</v>
      </c>
      <c r="G103" t="s">
        <v>239</v>
      </c>
      <c r="H103" t="s">
        <v>252</v>
      </c>
      <c r="I103" t="s">
        <v>390</v>
      </c>
      <c r="J103" t="s">
        <v>363</v>
      </c>
      <c r="K103" t="str">
        <f>Tabla14[[#This Row],[id]]&amp;Tabla14[[#This Row],[Resposable]]</f>
        <v>110Anthony Campos</v>
      </c>
      <c r="L103" t="str">
        <f>Tabla14[[#This Row],[id]]&amp;Tabla14[[#This Row],[Resposable]]</f>
        <v>110Anthony Campos</v>
      </c>
      <c r="M103" t="s">
        <v>252</v>
      </c>
    </row>
    <row r="104" spans="1:13" x14ac:dyDescent="0.25">
      <c r="A104" t="s">
        <v>27</v>
      </c>
      <c r="B104">
        <v>110</v>
      </c>
      <c r="C104" t="s">
        <v>7</v>
      </c>
      <c r="D104" t="s">
        <v>134</v>
      </c>
      <c r="E104" t="s">
        <v>47</v>
      </c>
      <c r="F104" s="4" t="s">
        <v>71</v>
      </c>
      <c r="G104" t="s">
        <v>239</v>
      </c>
      <c r="H104" t="s">
        <v>252</v>
      </c>
      <c r="I104" t="s">
        <v>390</v>
      </c>
      <c r="J104" t="s">
        <v>363</v>
      </c>
      <c r="K104" t="str">
        <f>Tabla14[[#This Row],[id]]&amp;Tabla14[[#This Row],[Resposable]]</f>
        <v>110Anthony Campos</v>
      </c>
      <c r="L104" t="str">
        <f>Tabla14[[#This Row],[id]]&amp;Tabla14[[#This Row],[Resposable]]</f>
        <v>110Anthony Campos</v>
      </c>
      <c r="M104" t="s">
        <v>252</v>
      </c>
    </row>
    <row r="105" spans="1:13" x14ac:dyDescent="0.25">
      <c r="A105" t="s">
        <v>27</v>
      </c>
      <c r="B105">
        <v>110</v>
      </c>
      <c r="C105" t="s">
        <v>7</v>
      </c>
      <c r="D105" t="s">
        <v>164</v>
      </c>
      <c r="E105" t="s">
        <v>47</v>
      </c>
      <c r="F105" s="4" t="s">
        <v>82</v>
      </c>
      <c r="G105" t="s">
        <v>239</v>
      </c>
      <c r="H105" t="s">
        <v>252</v>
      </c>
      <c r="I105" t="s">
        <v>390</v>
      </c>
      <c r="J105" t="s">
        <v>363</v>
      </c>
      <c r="K105" t="str">
        <f>Tabla14[[#This Row],[id]]&amp;Tabla14[[#This Row],[Resposable]]</f>
        <v>110Anthony Campos</v>
      </c>
      <c r="L105" t="str">
        <f>Tabla14[[#This Row],[id]]&amp;Tabla14[[#This Row],[Resposable]]</f>
        <v>110Anthony Campos</v>
      </c>
      <c r="M105" t="s">
        <v>252</v>
      </c>
    </row>
    <row r="106" spans="1:13" x14ac:dyDescent="0.25">
      <c r="A106" t="s">
        <v>27</v>
      </c>
      <c r="B106">
        <v>110</v>
      </c>
      <c r="C106" t="s">
        <v>8</v>
      </c>
      <c r="D106" t="s">
        <v>80</v>
      </c>
      <c r="E106" t="s">
        <v>47</v>
      </c>
      <c r="F106" s="4" t="s">
        <v>82</v>
      </c>
      <c r="G106" t="s">
        <v>239</v>
      </c>
      <c r="H106" t="s">
        <v>252</v>
      </c>
      <c r="I106" t="s">
        <v>390</v>
      </c>
      <c r="J106" t="s">
        <v>363</v>
      </c>
      <c r="K106" t="str">
        <f>Tabla14[[#This Row],[id]]&amp;Tabla14[[#This Row],[Resposable]]</f>
        <v>110Anthony Campos</v>
      </c>
      <c r="L106" t="str">
        <f>Tabla14[[#This Row],[id]]&amp;Tabla14[[#This Row],[Resposable]]</f>
        <v>110Anthony Campos</v>
      </c>
      <c r="M106" t="s">
        <v>252</v>
      </c>
    </row>
    <row r="107" spans="1:13" x14ac:dyDescent="0.25">
      <c r="A107" t="s">
        <v>27</v>
      </c>
      <c r="B107">
        <v>110</v>
      </c>
      <c r="C107" t="s">
        <v>20</v>
      </c>
      <c r="D107" t="s">
        <v>166</v>
      </c>
      <c r="E107" t="s">
        <v>47</v>
      </c>
      <c r="F107" s="4" t="s">
        <v>167</v>
      </c>
      <c r="G107" t="s">
        <v>239</v>
      </c>
      <c r="H107" t="s">
        <v>252</v>
      </c>
      <c r="I107" t="s">
        <v>390</v>
      </c>
      <c r="J107" t="s">
        <v>363</v>
      </c>
      <c r="K107" t="str">
        <f>Tabla14[[#This Row],[id]]&amp;Tabla14[[#This Row],[Resposable]]</f>
        <v>110Anthony Campos</v>
      </c>
      <c r="L107" t="str">
        <f>Tabla14[[#This Row],[id]]&amp;Tabla14[[#This Row],[Resposable]]</f>
        <v>110Anthony Campos</v>
      </c>
      <c r="M107" t="s">
        <v>252</v>
      </c>
    </row>
    <row r="108" spans="1:13" x14ac:dyDescent="0.25">
      <c r="A108" t="s">
        <v>27</v>
      </c>
      <c r="B108">
        <v>110</v>
      </c>
      <c r="C108" t="s">
        <v>7</v>
      </c>
      <c r="D108" t="s">
        <v>168</v>
      </c>
      <c r="E108" t="s">
        <v>47</v>
      </c>
      <c r="F108" s="4" t="s">
        <v>71</v>
      </c>
      <c r="G108" t="s">
        <v>239</v>
      </c>
      <c r="H108" t="s">
        <v>252</v>
      </c>
      <c r="I108" t="s">
        <v>390</v>
      </c>
      <c r="J108" t="s">
        <v>363</v>
      </c>
      <c r="K108" t="str">
        <f>Tabla14[[#This Row],[id]]&amp;Tabla14[[#This Row],[Resposable]]</f>
        <v>110Anthony Campos</v>
      </c>
      <c r="L108" t="str">
        <f>Tabla14[[#This Row],[id]]&amp;Tabla14[[#This Row],[Resposable]]</f>
        <v>110Anthony Campos</v>
      </c>
      <c r="M108" t="s">
        <v>252</v>
      </c>
    </row>
    <row r="109" spans="1:13" x14ac:dyDescent="0.25">
      <c r="A109" t="s">
        <v>27</v>
      </c>
      <c r="B109">
        <v>110</v>
      </c>
      <c r="C109" t="s">
        <v>8</v>
      </c>
      <c r="D109" t="s">
        <v>57</v>
      </c>
      <c r="E109" t="s">
        <v>47</v>
      </c>
      <c r="F109" s="4" t="s">
        <v>82</v>
      </c>
      <c r="G109" t="s">
        <v>239</v>
      </c>
      <c r="H109" t="s">
        <v>252</v>
      </c>
      <c r="I109" t="s">
        <v>390</v>
      </c>
      <c r="J109" t="s">
        <v>363</v>
      </c>
      <c r="K109" t="str">
        <f>Tabla14[[#This Row],[id]]&amp;Tabla14[[#This Row],[Resposable]]</f>
        <v>110Anthony Campos</v>
      </c>
      <c r="L109" t="str">
        <f>Tabla14[[#This Row],[id]]&amp;Tabla14[[#This Row],[Resposable]]</f>
        <v>110Anthony Campos</v>
      </c>
      <c r="M109" t="s">
        <v>252</v>
      </c>
    </row>
    <row r="110" spans="1:13" x14ac:dyDescent="0.25">
      <c r="A110" s="18" t="s">
        <v>31</v>
      </c>
      <c r="B110" s="18">
        <v>137</v>
      </c>
      <c r="C110" s="18" t="s">
        <v>18</v>
      </c>
      <c r="D110" s="18" t="s">
        <v>187</v>
      </c>
      <c r="E110" s="18" t="s">
        <v>47</v>
      </c>
      <c r="F110" s="19" t="s">
        <v>48</v>
      </c>
      <c r="G110" s="18" t="s">
        <v>239</v>
      </c>
      <c r="H110" t="s">
        <v>252</v>
      </c>
      <c r="I110" t="s">
        <v>390</v>
      </c>
      <c r="J110" t="s">
        <v>363</v>
      </c>
      <c r="K110" t="str">
        <f>Tabla14[[#This Row],[id]]&amp;Tabla14[[#This Row],[Resposable]]</f>
        <v>137Anthony Campos</v>
      </c>
      <c r="L110" t="str">
        <f>Tabla14[[#This Row],[id]]&amp;Tabla14[[#This Row],[Resposable]]</f>
        <v>137Anthony Campos</v>
      </c>
      <c r="M110" t="s">
        <v>252</v>
      </c>
    </row>
    <row r="111" spans="1:13" x14ac:dyDescent="0.25">
      <c r="A111" s="18" t="s">
        <v>31</v>
      </c>
      <c r="B111" s="18">
        <v>137</v>
      </c>
      <c r="C111" s="18" t="s">
        <v>8</v>
      </c>
      <c r="D111" s="18" t="s">
        <v>188</v>
      </c>
      <c r="E111" s="18" t="s">
        <v>47</v>
      </c>
      <c r="F111" s="19" t="s">
        <v>71</v>
      </c>
      <c r="G111" s="18" t="s">
        <v>239</v>
      </c>
      <c r="H111" t="s">
        <v>252</v>
      </c>
      <c r="I111" t="s">
        <v>390</v>
      </c>
      <c r="J111" t="s">
        <v>363</v>
      </c>
      <c r="K111" t="str">
        <f>Tabla14[[#This Row],[id]]&amp;Tabla14[[#This Row],[Resposable]]</f>
        <v>137Anthony Campos</v>
      </c>
      <c r="L111" t="str">
        <f>Tabla14[[#This Row],[id]]&amp;Tabla14[[#This Row],[Resposable]]</f>
        <v>137Anthony Campos</v>
      </c>
      <c r="M111" t="s">
        <v>252</v>
      </c>
    </row>
    <row r="112" spans="1:13" x14ac:dyDescent="0.25">
      <c r="A112" s="18" t="s">
        <v>31</v>
      </c>
      <c r="B112" s="18">
        <v>137</v>
      </c>
      <c r="C112" s="18" t="s">
        <v>7</v>
      </c>
      <c r="D112" s="18" t="s">
        <v>189</v>
      </c>
      <c r="E112" s="18" t="s">
        <v>47</v>
      </c>
      <c r="F112" s="19" t="s">
        <v>77</v>
      </c>
      <c r="G112" s="18" t="s">
        <v>239</v>
      </c>
      <c r="H112" t="s">
        <v>252</v>
      </c>
      <c r="I112" t="s">
        <v>390</v>
      </c>
      <c r="J112" t="s">
        <v>363</v>
      </c>
      <c r="K112" t="str">
        <f>Tabla14[[#This Row],[id]]&amp;Tabla14[[#This Row],[Resposable]]</f>
        <v>137Anthony Campos</v>
      </c>
      <c r="L112" t="str">
        <f>Tabla14[[#This Row],[id]]&amp;Tabla14[[#This Row],[Resposable]]</f>
        <v>137Anthony Campos</v>
      </c>
      <c r="M112" t="s">
        <v>252</v>
      </c>
    </row>
    <row r="113" spans="1:13" x14ac:dyDescent="0.25">
      <c r="A113" s="18" t="s">
        <v>31</v>
      </c>
      <c r="B113" s="18">
        <v>137</v>
      </c>
      <c r="C113" s="18" t="s">
        <v>7</v>
      </c>
      <c r="D113" s="18" t="s">
        <v>190</v>
      </c>
      <c r="E113" s="18" t="s">
        <v>47</v>
      </c>
      <c r="F113" s="19" t="s">
        <v>71</v>
      </c>
      <c r="G113" s="18" t="s">
        <v>239</v>
      </c>
      <c r="H113" t="s">
        <v>252</v>
      </c>
      <c r="I113" t="s">
        <v>390</v>
      </c>
      <c r="J113" t="s">
        <v>363</v>
      </c>
      <c r="K113" t="str">
        <f>Tabla14[[#This Row],[id]]&amp;Tabla14[[#This Row],[Resposable]]</f>
        <v>137Anthony Campos</v>
      </c>
      <c r="L113" t="str">
        <f>Tabla14[[#This Row],[id]]&amp;Tabla14[[#This Row],[Resposable]]</f>
        <v>137Anthony Campos</v>
      </c>
      <c r="M113" t="s">
        <v>252</v>
      </c>
    </row>
    <row r="114" spans="1:13" x14ac:dyDescent="0.25">
      <c r="A114" s="18" t="s">
        <v>31</v>
      </c>
      <c r="B114" s="18">
        <v>137</v>
      </c>
      <c r="C114" s="18" t="s">
        <v>7</v>
      </c>
      <c r="D114" s="18" t="s">
        <v>191</v>
      </c>
      <c r="E114" s="18" t="s">
        <v>47</v>
      </c>
      <c r="F114" s="19" t="s">
        <v>77</v>
      </c>
      <c r="G114" s="18" t="s">
        <v>239</v>
      </c>
      <c r="H114" t="s">
        <v>252</v>
      </c>
      <c r="I114" t="s">
        <v>390</v>
      </c>
      <c r="J114" t="s">
        <v>363</v>
      </c>
      <c r="K114" t="str">
        <f>Tabla14[[#This Row],[id]]&amp;Tabla14[[#This Row],[Resposable]]</f>
        <v>137Anthony Campos</v>
      </c>
      <c r="L114" t="str">
        <f>Tabla14[[#This Row],[id]]&amp;Tabla14[[#This Row],[Resposable]]</f>
        <v>137Anthony Campos</v>
      </c>
      <c r="M114" t="s">
        <v>252</v>
      </c>
    </row>
    <row r="115" spans="1:13" x14ac:dyDescent="0.25">
      <c r="A115" s="18" t="s">
        <v>31</v>
      </c>
      <c r="B115" s="18">
        <v>137</v>
      </c>
      <c r="C115" s="18" t="s">
        <v>20</v>
      </c>
      <c r="D115" s="18" t="s">
        <v>192</v>
      </c>
      <c r="E115" s="18" t="s">
        <v>47</v>
      </c>
      <c r="F115" s="19" t="s">
        <v>82</v>
      </c>
      <c r="G115" s="18" t="s">
        <v>239</v>
      </c>
      <c r="H115" t="s">
        <v>252</v>
      </c>
      <c r="I115" t="s">
        <v>390</v>
      </c>
      <c r="J115" t="s">
        <v>363</v>
      </c>
      <c r="K115" t="str">
        <f>Tabla14[[#This Row],[id]]&amp;Tabla14[[#This Row],[Resposable]]</f>
        <v>137Anthony Campos</v>
      </c>
      <c r="L115" t="str">
        <f>Tabla14[[#This Row],[id]]&amp;Tabla14[[#This Row],[Resposable]]</f>
        <v>137Anthony Campos</v>
      </c>
      <c r="M115" t="s">
        <v>252</v>
      </c>
    </row>
    <row r="116" spans="1:13" x14ac:dyDescent="0.25">
      <c r="A116" s="18" t="s">
        <v>32</v>
      </c>
      <c r="B116" s="18">
        <v>155</v>
      </c>
      <c r="C116" s="18" t="s">
        <v>8</v>
      </c>
      <c r="D116" s="18" t="s">
        <v>108</v>
      </c>
      <c r="E116" s="18" t="s">
        <v>47</v>
      </c>
      <c r="F116" s="19" t="s">
        <v>82</v>
      </c>
      <c r="G116" s="18" t="s">
        <v>239</v>
      </c>
      <c r="H116" t="s">
        <v>252</v>
      </c>
      <c r="I116" t="s">
        <v>390</v>
      </c>
      <c r="J116" t="s">
        <v>363</v>
      </c>
      <c r="K116" t="str">
        <f>Tabla14[[#This Row],[id]]&amp;Tabla14[[#This Row],[Resposable]]</f>
        <v>155Anthony Campos</v>
      </c>
      <c r="L116" t="str">
        <f>Tabla14[[#This Row],[id]]&amp;Tabla14[[#This Row],[Resposable]]</f>
        <v>155Anthony Campos</v>
      </c>
      <c r="M116" t="s">
        <v>252</v>
      </c>
    </row>
    <row r="117" spans="1:13" x14ac:dyDescent="0.25">
      <c r="A117" s="18" t="s">
        <v>32</v>
      </c>
      <c r="B117" s="18">
        <v>155</v>
      </c>
      <c r="C117" s="18" t="s">
        <v>7</v>
      </c>
      <c r="D117" s="18" t="s">
        <v>194</v>
      </c>
      <c r="E117" s="18" t="s">
        <v>47</v>
      </c>
      <c r="F117" s="19" t="s">
        <v>58</v>
      </c>
      <c r="G117" s="18" t="s">
        <v>239</v>
      </c>
      <c r="H117" t="s">
        <v>252</v>
      </c>
      <c r="I117" t="s">
        <v>390</v>
      </c>
      <c r="J117" t="s">
        <v>363</v>
      </c>
      <c r="K117" t="str">
        <f>Tabla14[[#This Row],[id]]&amp;Tabla14[[#This Row],[Resposable]]</f>
        <v>155Anthony Campos</v>
      </c>
      <c r="L117" t="str">
        <f>Tabla14[[#This Row],[id]]&amp;Tabla14[[#This Row],[Resposable]]</f>
        <v>155Anthony Campos</v>
      </c>
      <c r="M117" t="s">
        <v>252</v>
      </c>
    </row>
    <row r="118" spans="1:13" x14ac:dyDescent="0.25">
      <c r="A118" t="s">
        <v>11</v>
      </c>
      <c r="B118">
        <v>201</v>
      </c>
      <c r="C118" t="s">
        <v>7</v>
      </c>
      <c r="D118" t="s">
        <v>66</v>
      </c>
      <c r="E118" t="s">
        <v>47</v>
      </c>
      <c r="F118" s="4" t="s">
        <v>58</v>
      </c>
      <c r="G118" t="s">
        <v>239</v>
      </c>
      <c r="H118" t="s">
        <v>378</v>
      </c>
      <c r="I118" t="s">
        <v>390</v>
      </c>
      <c r="J118" t="s">
        <v>363</v>
      </c>
      <c r="K118" t="str">
        <f>Tabla14[[#This Row],[id]]&amp;Tabla14[[#This Row],[Resposable]]</f>
        <v>201Anthony Campos</v>
      </c>
      <c r="L118" t="str">
        <f>Tabla14[[#This Row],[id]]&amp;Tabla14[[#This Row],[Resposable]]</f>
        <v>201Anthony Campos</v>
      </c>
      <c r="M118" t="s">
        <v>378</v>
      </c>
    </row>
    <row r="119" spans="1:13" x14ac:dyDescent="0.25">
      <c r="A119" t="s">
        <v>11</v>
      </c>
      <c r="B119">
        <v>201</v>
      </c>
      <c r="C119" t="s">
        <v>6</v>
      </c>
      <c r="D119" t="s">
        <v>67</v>
      </c>
      <c r="E119" t="s">
        <v>47</v>
      </c>
      <c r="F119" s="4" t="s">
        <v>50</v>
      </c>
      <c r="G119" t="s">
        <v>239</v>
      </c>
      <c r="H119" t="s">
        <v>378</v>
      </c>
      <c r="I119" t="s">
        <v>390</v>
      </c>
      <c r="J119" t="s">
        <v>361</v>
      </c>
      <c r="K119" t="str">
        <f>Tabla14[[#This Row],[id]]&amp;Tabla14[[#This Row],[Resposable]]</f>
        <v>201Anthony Campos</v>
      </c>
      <c r="L119" t="str">
        <f>Tabla14[[#This Row],[id]]&amp;Tabla14[[#This Row],[Resposable]]</f>
        <v>201Anthony Campos</v>
      </c>
      <c r="M119" t="s">
        <v>378</v>
      </c>
    </row>
    <row r="120" spans="1:13" x14ac:dyDescent="0.25">
      <c r="A120" t="s">
        <v>11</v>
      </c>
      <c r="B120">
        <v>201</v>
      </c>
      <c r="C120" t="s">
        <v>6</v>
      </c>
      <c r="D120" t="s">
        <v>68</v>
      </c>
      <c r="E120" t="s">
        <v>47</v>
      </c>
      <c r="F120" s="4" t="s">
        <v>50</v>
      </c>
      <c r="G120" t="s">
        <v>239</v>
      </c>
      <c r="H120" t="s">
        <v>378</v>
      </c>
      <c r="I120" t="s">
        <v>390</v>
      </c>
      <c r="J120" t="s">
        <v>361</v>
      </c>
      <c r="K120" t="str">
        <f>Tabla14[[#This Row],[id]]&amp;Tabla14[[#This Row],[Resposable]]</f>
        <v>201Anthony Campos</v>
      </c>
      <c r="L120" t="str">
        <f>Tabla14[[#This Row],[id]]&amp;Tabla14[[#This Row],[Resposable]]</f>
        <v>201Anthony Campos</v>
      </c>
      <c r="M120" t="s">
        <v>378</v>
      </c>
    </row>
    <row r="121" spans="1:13" x14ac:dyDescent="0.25">
      <c r="A121" t="s">
        <v>11</v>
      </c>
      <c r="B121">
        <v>201</v>
      </c>
      <c r="C121" t="s">
        <v>7</v>
      </c>
      <c r="D121" t="s">
        <v>69</v>
      </c>
      <c r="E121" t="s">
        <v>47</v>
      </c>
      <c r="F121" s="4" t="s">
        <v>58</v>
      </c>
      <c r="G121" t="s">
        <v>239</v>
      </c>
      <c r="H121" t="s">
        <v>378</v>
      </c>
      <c r="I121" t="s">
        <v>390</v>
      </c>
      <c r="J121" t="s">
        <v>361</v>
      </c>
      <c r="K121" t="str">
        <f>Tabla14[[#This Row],[id]]&amp;Tabla14[[#This Row],[Resposable]]</f>
        <v>201Anthony Campos</v>
      </c>
      <c r="L121" t="str">
        <f>Tabla14[[#This Row],[id]]&amp;Tabla14[[#This Row],[Resposable]]</f>
        <v>201Anthony Campos</v>
      </c>
      <c r="M121" t="s">
        <v>378</v>
      </c>
    </row>
    <row r="122" spans="1:13" x14ac:dyDescent="0.25">
      <c r="A122" t="s">
        <v>11</v>
      </c>
      <c r="B122">
        <v>201</v>
      </c>
      <c r="C122" t="s">
        <v>8</v>
      </c>
      <c r="D122" t="s">
        <v>70</v>
      </c>
      <c r="E122" t="s">
        <v>47</v>
      </c>
      <c r="F122" s="4" t="s">
        <v>48</v>
      </c>
      <c r="G122" t="s">
        <v>239</v>
      </c>
      <c r="H122" t="s">
        <v>378</v>
      </c>
      <c r="I122" t="s">
        <v>390</v>
      </c>
      <c r="J122" t="s">
        <v>361</v>
      </c>
      <c r="K122" t="str">
        <f>Tabla14[[#This Row],[id]]&amp;Tabla14[[#This Row],[Resposable]]</f>
        <v>201Anthony Campos</v>
      </c>
      <c r="L122" t="str">
        <f>Tabla14[[#This Row],[id]]&amp;Tabla14[[#This Row],[Resposable]]</f>
        <v>201Anthony Campos</v>
      </c>
      <c r="M122" t="s">
        <v>378</v>
      </c>
    </row>
    <row r="123" spans="1:13" x14ac:dyDescent="0.25">
      <c r="A123" t="s">
        <v>11</v>
      </c>
      <c r="B123">
        <v>201</v>
      </c>
      <c r="C123" t="s">
        <v>6</v>
      </c>
      <c r="D123" t="s">
        <v>72</v>
      </c>
      <c r="E123" t="s">
        <v>54</v>
      </c>
      <c r="F123" s="4" t="s">
        <v>50</v>
      </c>
      <c r="G123" t="s">
        <v>239</v>
      </c>
      <c r="H123" t="s">
        <v>378</v>
      </c>
      <c r="I123" t="s">
        <v>390</v>
      </c>
      <c r="J123" t="s">
        <v>361</v>
      </c>
      <c r="K123" t="str">
        <f>Tabla14[[#This Row],[id]]&amp;Tabla14[[#This Row],[Resposable]]</f>
        <v>201Anthony Campos</v>
      </c>
      <c r="L123" t="str">
        <f>Tabla14[[#This Row],[id]]&amp;Tabla14[[#This Row],[Resposable]]</f>
        <v>201Anthony Campos</v>
      </c>
      <c r="M123" t="s">
        <v>378</v>
      </c>
    </row>
    <row r="124" spans="1:13" x14ac:dyDescent="0.25">
      <c r="A124" t="s">
        <v>11</v>
      </c>
      <c r="B124">
        <v>201</v>
      </c>
      <c r="C124" t="s">
        <v>8</v>
      </c>
      <c r="D124" t="s">
        <v>57</v>
      </c>
      <c r="E124" t="s">
        <v>47</v>
      </c>
      <c r="F124" s="4" t="s">
        <v>71</v>
      </c>
      <c r="G124" t="s">
        <v>239</v>
      </c>
      <c r="H124" t="s">
        <v>378</v>
      </c>
      <c r="I124" t="s">
        <v>390</v>
      </c>
      <c r="J124" t="s">
        <v>363</v>
      </c>
      <c r="K124" t="str">
        <f>Tabla14[[#This Row],[id]]&amp;Tabla14[[#This Row],[Resposable]]</f>
        <v>201Anthony Campos</v>
      </c>
      <c r="L124" t="str">
        <f>Tabla14[[#This Row],[id]]&amp;Tabla14[[#This Row],[Resposable]]</f>
        <v>201Anthony Campos</v>
      </c>
      <c r="M124" t="s">
        <v>378</v>
      </c>
    </row>
    <row r="125" spans="1:13" x14ac:dyDescent="0.25">
      <c r="A125" t="s">
        <v>12</v>
      </c>
      <c r="B125">
        <v>208</v>
      </c>
      <c r="C125" t="s">
        <v>7</v>
      </c>
      <c r="D125" t="s">
        <v>66</v>
      </c>
      <c r="E125" t="s">
        <v>47</v>
      </c>
      <c r="F125" s="4" t="s">
        <v>58</v>
      </c>
      <c r="G125" t="s">
        <v>239</v>
      </c>
      <c r="H125" t="s">
        <v>297</v>
      </c>
      <c r="I125" t="s">
        <v>390</v>
      </c>
      <c r="J125" t="s">
        <v>363</v>
      </c>
      <c r="K125" t="str">
        <f>Tabla14[[#This Row],[id]]&amp;Tabla14[[#This Row],[Resposable]]</f>
        <v>208Anthony Campos</v>
      </c>
      <c r="L125" t="str">
        <f>Tabla14[[#This Row],[id]]&amp;Tabla14[[#This Row],[Resposable]]</f>
        <v>208Anthony Campos</v>
      </c>
      <c r="M125" t="s">
        <v>297</v>
      </c>
    </row>
    <row r="126" spans="1:13" x14ac:dyDescent="0.25">
      <c r="A126" t="s">
        <v>12</v>
      </c>
      <c r="B126">
        <v>208</v>
      </c>
      <c r="C126" t="s">
        <v>6</v>
      </c>
      <c r="D126" t="s">
        <v>67</v>
      </c>
      <c r="E126" t="s">
        <v>47</v>
      </c>
      <c r="F126" s="4" t="s">
        <v>50</v>
      </c>
      <c r="G126" t="s">
        <v>239</v>
      </c>
      <c r="H126" t="s">
        <v>297</v>
      </c>
      <c r="I126" t="s">
        <v>390</v>
      </c>
      <c r="J126" t="s">
        <v>361</v>
      </c>
      <c r="K126" t="str">
        <f>Tabla14[[#This Row],[id]]&amp;Tabla14[[#This Row],[Resposable]]</f>
        <v>208Anthony Campos</v>
      </c>
      <c r="L126" t="str">
        <f>Tabla14[[#This Row],[id]]&amp;Tabla14[[#This Row],[Resposable]]</f>
        <v>208Anthony Campos</v>
      </c>
      <c r="M126" t="s">
        <v>297</v>
      </c>
    </row>
    <row r="127" spans="1:13" x14ac:dyDescent="0.25">
      <c r="A127" t="s">
        <v>12</v>
      </c>
      <c r="B127">
        <v>208</v>
      </c>
      <c r="C127" t="s">
        <v>6</v>
      </c>
      <c r="D127" t="s">
        <v>68</v>
      </c>
      <c r="E127" t="s">
        <v>47</v>
      </c>
      <c r="F127" s="4" t="s">
        <v>50</v>
      </c>
      <c r="G127" t="s">
        <v>239</v>
      </c>
      <c r="H127" t="s">
        <v>297</v>
      </c>
      <c r="I127" t="s">
        <v>390</v>
      </c>
      <c r="J127" t="s">
        <v>361</v>
      </c>
      <c r="K127" t="str">
        <f>Tabla14[[#This Row],[id]]&amp;Tabla14[[#This Row],[Resposable]]</f>
        <v>208Anthony Campos</v>
      </c>
      <c r="L127" t="str">
        <f>Tabla14[[#This Row],[id]]&amp;Tabla14[[#This Row],[Resposable]]</f>
        <v>208Anthony Campos</v>
      </c>
      <c r="M127" t="s">
        <v>297</v>
      </c>
    </row>
    <row r="128" spans="1:13" x14ac:dyDescent="0.25">
      <c r="A128" t="s">
        <v>12</v>
      </c>
      <c r="B128">
        <v>208</v>
      </c>
      <c r="C128" t="s">
        <v>7</v>
      </c>
      <c r="D128" t="s">
        <v>69</v>
      </c>
      <c r="E128" t="s">
        <v>47</v>
      </c>
      <c r="F128" s="4" t="s">
        <v>58</v>
      </c>
      <c r="G128" t="s">
        <v>239</v>
      </c>
      <c r="H128" t="s">
        <v>297</v>
      </c>
      <c r="I128" t="s">
        <v>390</v>
      </c>
      <c r="J128" t="s">
        <v>361</v>
      </c>
      <c r="K128" t="str">
        <f>Tabla14[[#This Row],[id]]&amp;Tabla14[[#This Row],[Resposable]]</f>
        <v>208Anthony Campos</v>
      </c>
      <c r="L128" t="str">
        <f>Tabla14[[#This Row],[id]]&amp;Tabla14[[#This Row],[Resposable]]</f>
        <v>208Anthony Campos</v>
      </c>
      <c r="M128" t="s">
        <v>297</v>
      </c>
    </row>
    <row r="129" spans="1:13" x14ac:dyDescent="0.25">
      <c r="A129" t="s">
        <v>12</v>
      </c>
      <c r="B129">
        <v>208</v>
      </c>
      <c r="C129" t="s">
        <v>8</v>
      </c>
      <c r="D129" t="s">
        <v>70</v>
      </c>
      <c r="E129" t="s">
        <v>47</v>
      </c>
      <c r="F129" s="4" t="s">
        <v>48</v>
      </c>
      <c r="G129" t="s">
        <v>239</v>
      </c>
      <c r="H129" t="s">
        <v>297</v>
      </c>
      <c r="I129" t="s">
        <v>390</v>
      </c>
      <c r="J129" t="s">
        <v>361</v>
      </c>
      <c r="K129" t="str">
        <f>Tabla14[[#This Row],[id]]&amp;Tabla14[[#This Row],[Resposable]]</f>
        <v>208Anthony Campos</v>
      </c>
      <c r="L129" t="str">
        <f>Tabla14[[#This Row],[id]]&amp;Tabla14[[#This Row],[Resposable]]</f>
        <v>208Anthony Campos</v>
      </c>
      <c r="M129" t="s">
        <v>297</v>
      </c>
    </row>
    <row r="130" spans="1:13" x14ac:dyDescent="0.25">
      <c r="A130" t="s">
        <v>12</v>
      </c>
      <c r="B130">
        <v>208</v>
      </c>
      <c r="C130" t="s">
        <v>13</v>
      </c>
      <c r="D130" t="s">
        <v>72</v>
      </c>
      <c r="E130" t="s">
        <v>54</v>
      </c>
      <c r="F130" s="4" t="s">
        <v>50</v>
      </c>
      <c r="G130" t="s">
        <v>239</v>
      </c>
      <c r="H130" t="s">
        <v>297</v>
      </c>
      <c r="I130" t="s">
        <v>390</v>
      </c>
      <c r="J130" t="s">
        <v>361</v>
      </c>
      <c r="K130" t="str">
        <f>Tabla14[[#This Row],[id]]&amp;Tabla14[[#This Row],[Resposable]]</f>
        <v>208Anthony Campos</v>
      </c>
      <c r="L130" t="str">
        <f>Tabla14[[#This Row],[id]]&amp;Tabla14[[#This Row],[Resposable]]</f>
        <v>208Anthony Campos</v>
      </c>
      <c r="M130" t="s">
        <v>297</v>
      </c>
    </row>
    <row r="131" spans="1:13" x14ac:dyDescent="0.25">
      <c r="A131" t="s">
        <v>12</v>
      </c>
      <c r="B131">
        <v>208</v>
      </c>
      <c r="C131" t="s">
        <v>8</v>
      </c>
      <c r="D131" t="s">
        <v>57</v>
      </c>
      <c r="E131" t="s">
        <v>47</v>
      </c>
      <c r="F131" s="4" t="s">
        <v>71</v>
      </c>
      <c r="G131" t="s">
        <v>239</v>
      </c>
      <c r="H131" t="s">
        <v>297</v>
      </c>
      <c r="I131" t="s">
        <v>390</v>
      </c>
      <c r="J131" t="s">
        <v>363</v>
      </c>
      <c r="K131" t="str">
        <f>Tabla14[[#This Row],[id]]&amp;Tabla14[[#This Row],[Resposable]]</f>
        <v>208Anthony Campos</v>
      </c>
      <c r="L131" t="str">
        <f>Tabla14[[#This Row],[id]]&amp;Tabla14[[#This Row],[Resposable]]</f>
        <v>208Anthony Campos</v>
      </c>
      <c r="M131" t="s">
        <v>297</v>
      </c>
    </row>
    <row r="132" spans="1:13" x14ac:dyDescent="0.25">
      <c r="A132" t="s">
        <v>34</v>
      </c>
      <c r="B132">
        <v>23</v>
      </c>
      <c r="C132" t="s">
        <v>5</v>
      </c>
      <c r="D132" t="s">
        <v>46</v>
      </c>
      <c r="E132" t="s">
        <v>47</v>
      </c>
      <c r="F132" s="4" t="s">
        <v>58</v>
      </c>
      <c r="G132" t="s">
        <v>253</v>
      </c>
      <c r="H132" t="s">
        <v>324</v>
      </c>
      <c r="I132" t="s">
        <v>384</v>
      </c>
      <c r="J132" t="s">
        <v>360</v>
      </c>
      <c r="K132" t="str">
        <f>Tabla14[[#This Row],[id]]&amp;Tabla14[[#This Row],[Resposable]]</f>
        <v>23Bezalel Mendoza</v>
      </c>
      <c r="L132" t="str">
        <f>Tabla14[[#This Row],[id]]&amp;Tabla14[[#This Row],[Resposable]]</f>
        <v>23Bezalel Mendoza</v>
      </c>
      <c r="M132" t="s">
        <v>324</v>
      </c>
    </row>
    <row r="133" spans="1:13" x14ac:dyDescent="0.25">
      <c r="A133" t="s">
        <v>34</v>
      </c>
      <c r="B133">
        <v>23</v>
      </c>
      <c r="C133" t="s">
        <v>5</v>
      </c>
      <c r="D133" t="s">
        <v>52</v>
      </c>
      <c r="E133" t="s">
        <v>47</v>
      </c>
      <c r="F133" s="4" t="s">
        <v>58</v>
      </c>
      <c r="G133" t="s">
        <v>253</v>
      </c>
      <c r="H133" t="s">
        <v>324</v>
      </c>
      <c r="I133" t="s">
        <v>384</v>
      </c>
      <c r="J133" t="s">
        <v>360</v>
      </c>
      <c r="K133" t="str">
        <f>Tabla14[[#This Row],[id]]&amp;Tabla14[[#This Row],[Resposable]]</f>
        <v>23Bezalel Mendoza</v>
      </c>
      <c r="L133" t="str">
        <f>Tabla14[[#This Row],[id]]&amp;Tabla14[[#This Row],[Resposable]]</f>
        <v>23Bezalel Mendoza</v>
      </c>
      <c r="M133" t="s">
        <v>324</v>
      </c>
    </row>
    <row r="134" spans="1:13" x14ac:dyDescent="0.25">
      <c r="A134" t="s">
        <v>34</v>
      </c>
      <c r="B134">
        <v>23</v>
      </c>
      <c r="C134" t="s">
        <v>5</v>
      </c>
      <c r="D134" t="s">
        <v>53</v>
      </c>
      <c r="E134" t="s">
        <v>47</v>
      </c>
      <c r="F134" s="4" t="s">
        <v>58</v>
      </c>
      <c r="G134" t="s">
        <v>253</v>
      </c>
      <c r="H134" t="s">
        <v>324</v>
      </c>
      <c r="I134" t="s">
        <v>384</v>
      </c>
      <c r="J134" t="s">
        <v>360</v>
      </c>
      <c r="K134" t="str">
        <f>Tabla14[[#This Row],[id]]&amp;Tabla14[[#This Row],[Resposable]]</f>
        <v>23Bezalel Mendoza</v>
      </c>
      <c r="L134" t="str">
        <f>Tabla14[[#This Row],[id]]&amp;Tabla14[[#This Row],[Resposable]]</f>
        <v>23Bezalel Mendoza</v>
      </c>
      <c r="M134" t="s">
        <v>324</v>
      </c>
    </row>
    <row r="135" spans="1:13" x14ac:dyDescent="0.25">
      <c r="A135" t="s">
        <v>34</v>
      </c>
      <c r="B135">
        <v>23</v>
      </c>
      <c r="C135" t="s">
        <v>5</v>
      </c>
      <c r="D135" t="s">
        <v>209</v>
      </c>
      <c r="E135" t="s">
        <v>47</v>
      </c>
      <c r="F135" s="4" t="s">
        <v>210</v>
      </c>
      <c r="G135" t="s">
        <v>253</v>
      </c>
      <c r="H135" t="s">
        <v>324</v>
      </c>
      <c r="I135" t="s">
        <v>384</v>
      </c>
      <c r="J135" t="s">
        <v>360</v>
      </c>
      <c r="K135" t="str">
        <f>Tabla14[[#This Row],[id]]&amp;Tabla14[[#This Row],[Resposable]]</f>
        <v>23Bezalel Mendoza</v>
      </c>
      <c r="L135" t="str">
        <f>Tabla14[[#This Row],[id]]&amp;Tabla14[[#This Row],[Resposable]]</f>
        <v>23Bezalel Mendoza</v>
      </c>
      <c r="M135" t="s">
        <v>324</v>
      </c>
    </row>
    <row r="136" spans="1:13" x14ac:dyDescent="0.25">
      <c r="A136" t="s">
        <v>34</v>
      </c>
      <c r="B136">
        <v>23</v>
      </c>
      <c r="C136" t="s">
        <v>5</v>
      </c>
      <c r="D136" t="s">
        <v>64</v>
      </c>
      <c r="E136" t="s">
        <v>47</v>
      </c>
      <c r="F136" s="4" t="s">
        <v>210</v>
      </c>
      <c r="G136" t="s">
        <v>253</v>
      </c>
      <c r="H136" t="s">
        <v>324</v>
      </c>
      <c r="I136" t="s">
        <v>384</v>
      </c>
      <c r="J136" t="s">
        <v>360</v>
      </c>
      <c r="K136" t="str">
        <f>Tabla14[[#This Row],[id]]&amp;Tabla14[[#This Row],[Resposable]]</f>
        <v>23Bezalel Mendoza</v>
      </c>
      <c r="L136" t="str">
        <f>Tabla14[[#This Row],[id]]&amp;Tabla14[[#This Row],[Resposable]]</f>
        <v>23Bezalel Mendoza</v>
      </c>
      <c r="M136" t="s">
        <v>324</v>
      </c>
    </row>
    <row r="137" spans="1:13" x14ac:dyDescent="0.25">
      <c r="A137" t="s">
        <v>36</v>
      </c>
      <c r="B137">
        <v>23</v>
      </c>
      <c r="C137" t="s">
        <v>5</v>
      </c>
      <c r="D137" t="s">
        <v>46</v>
      </c>
      <c r="E137" t="s">
        <v>47</v>
      </c>
      <c r="F137" s="4" t="s">
        <v>58</v>
      </c>
      <c r="G137" t="s">
        <v>253</v>
      </c>
      <c r="H137" t="s">
        <v>324</v>
      </c>
      <c r="I137" t="s">
        <v>384</v>
      </c>
      <c r="J137" t="s">
        <v>360</v>
      </c>
      <c r="K137" t="str">
        <f>Tabla14[[#This Row],[id]]&amp;Tabla14[[#This Row],[Resposable]]</f>
        <v>23Bezalel Mendoza</v>
      </c>
      <c r="L137" t="str">
        <f>Tabla14[[#This Row],[id]]&amp;Tabla14[[#This Row],[Resposable]]</f>
        <v>23Bezalel Mendoza</v>
      </c>
      <c r="M137" t="s">
        <v>324</v>
      </c>
    </row>
    <row r="138" spans="1:13" x14ac:dyDescent="0.25">
      <c r="A138" t="s">
        <v>36</v>
      </c>
      <c r="B138">
        <v>23</v>
      </c>
      <c r="C138" t="s">
        <v>5</v>
      </c>
      <c r="D138" t="s">
        <v>52</v>
      </c>
      <c r="E138" t="s">
        <v>47</v>
      </c>
      <c r="F138" s="4" t="s">
        <v>58</v>
      </c>
      <c r="G138" t="s">
        <v>253</v>
      </c>
      <c r="H138" t="s">
        <v>324</v>
      </c>
      <c r="I138" t="s">
        <v>384</v>
      </c>
      <c r="J138" t="s">
        <v>360</v>
      </c>
      <c r="K138" t="str">
        <f>Tabla14[[#This Row],[id]]&amp;Tabla14[[#This Row],[Resposable]]</f>
        <v>23Bezalel Mendoza</v>
      </c>
      <c r="L138" t="str">
        <f>Tabla14[[#This Row],[id]]&amp;Tabla14[[#This Row],[Resposable]]</f>
        <v>23Bezalel Mendoza</v>
      </c>
      <c r="M138" t="s">
        <v>324</v>
      </c>
    </row>
    <row r="139" spans="1:13" x14ac:dyDescent="0.25">
      <c r="A139" t="s">
        <v>36</v>
      </c>
      <c r="B139">
        <v>23</v>
      </c>
      <c r="C139" t="s">
        <v>5</v>
      </c>
      <c r="D139" t="s">
        <v>53</v>
      </c>
      <c r="E139" t="s">
        <v>47</v>
      </c>
      <c r="F139" s="4" t="s">
        <v>58</v>
      </c>
      <c r="G139" t="s">
        <v>253</v>
      </c>
      <c r="H139" t="s">
        <v>324</v>
      </c>
      <c r="I139" t="s">
        <v>384</v>
      </c>
      <c r="J139" t="s">
        <v>360</v>
      </c>
      <c r="K139" t="str">
        <f>Tabla14[[#This Row],[id]]&amp;Tabla14[[#This Row],[Resposable]]</f>
        <v>23Bezalel Mendoza</v>
      </c>
      <c r="L139" t="str">
        <f>Tabla14[[#This Row],[id]]&amp;Tabla14[[#This Row],[Resposable]]</f>
        <v>23Bezalel Mendoza</v>
      </c>
      <c r="M139" t="s">
        <v>324</v>
      </c>
    </row>
    <row r="140" spans="1:13" x14ac:dyDescent="0.25">
      <c r="A140" t="s">
        <v>36</v>
      </c>
      <c r="B140">
        <v>23</v>
      </c>
      <c r="C140" t="s">
        <v>5</v>
      </c>
      <c r="D140" t="s">
        <v>209</v>
      </c>
      <c r="E140" t="s">
        <v>47</v>
      </c>
      <c r="F140" s="4" t="s">
        <v>210</v>
      </c>
      <c r="G140" t="s">
        <v>253</v>
      </c>
      <c r="H140" t="s">
        <v>324</v>
      </c>
      <c r="I140" t="s">
        <v>384</v>
      </c>
      <c r="J140" t="s">
        <v>360</v>
      </c>
      <c r="K140" t="str">
        <f>Tabla14[[#This Row],[id]]&amp;Tabla14[[#This Row],[Resposable]]</f>
        <v>23Bezalel Mendoza</v>
      </c>
      <c r="L140" t="str">
        <f>Tabla14[[#This Row],[id]]&amp;Tabla14[[#This Row],[Resposable]]</f>
        <v>23Bezalel Mendoza</v>
      </c>
      <c r="M140" t="s">
        <v>324</v>
      </c>
    </row>
    <row r="141" spans="1:13" x14ac:dyDescent="0.25">
      <c r="A141" t="s">
        <v>36</v>
      </c>
      <c r="B141">
        <v>23</v>
      </c>
      <c r="C141" t="s">
        <v>5</v>
      </c>
      <c r="D141" t="s">
        <v>64</v>
      </c>
      <c r="E141" t="s">
        <v>47</v>
      </c>
      <c r="F141" s="4" t="s">
        <v>210</v>
      </c>
      <c r="G141" t="s">
        <v>253</v>
      </c>
      <c r="H141" t="s">
        <v>324</v>
      </c>
      <c r="I141" t="s">
        <v>384</v>
      </c>
      <c r="J141" t="s">
        <v>360</v>
      </c>
      <c r="K141" t="str">
        <f>Tabla14[[#This Row],[id]]&amp;Tabla14[[#This Row],[Resposable]]</f>
        <v>23Bezalel Mendoza</v>
      </c>
      <c r="L141" t="str">
        <f>Tabla14[[#This Row],[id]]&amp;Tabla14[[#This Row],[Resposable]]</f>
        <v>23Bezalel Mendoza</v>
      </c>
      <c r="M141" t="s">
        <v>324</v>
      </c>
    </row>
    <row r="142" spans="1:13" x14ac:dyDescent="0.25">
      <c r="A142" t="s">
        <v>38</v>
      </c>
      <c r="B142">
        <v>23</v>
      </c>
      <c r="C142" t="s">
        <v>5</v>
      </c>
      <c r="D142" t="s">
        <v>46</v>
      </c>
      <c r="E142" t="s">
        <v>47</v>
      </c>
      <c r="F142" s="4" t="s">
        <v>58</v>
      </c>
      <c r="G142" t="s">
        <v>253</v>
      </c>
      <c r="H142" t="s">
        <v>324</v>
      </c>
      <c r="I142" t="s">
        <v>384</v>
      </c>
      <c r="J142" t="s">
        <v>360</v>
      </c>
      <c r="K142" t="str">
        <f>Tabla14[[#This Row],[id]]&amp;Tabla14[[#This Row],[Resposable]]</f>
        <v>23Bezalel Mendoza</v>
      </c>
      <c r="L142" t="str">
        <f>Tabla14[[#This Row],[id]]&amp;Tabla14[[#This Row],[Resposable]]</f>
        <v>23Bezalel Mendoza</v>
      </c>
      <c r="M142" t="s">
        <v>324</v>
      </c>
    </row>
    <row r="143" spans="1:13" x14ac:dyDescent="0.25">
      <c r="A143" t="s">
        <v>38</v>
      </c>
      <c r="B143">
        <v>23</v>
      </c>
      <c r="C143" t="s">
        <v>5</v>
      </c>
      <c r="D143" t="s">
        <v>52</v>
      </c>
      <c r="E143" t="s">
        <v>47</v>
      </c>
      <c r="F143" s="4" t="s">
        <v>58</v>
      </c>
      <c r="G143" t="s">
        <v>253</v>
      </c>
      <c r="H143" t="s">
        <v>324</v>
      </c>
      <c r="I143" t="s">
        <v>384</v>
      </c>
      <c r="J143" t="s">
        <v>360</v>
      </c>
      <c r="K143" t="str">
        <f>Tabla14[[#This Row],[id]]&amp;Tabla14[[#This Row],[Resposable]]</f>
        <v>23Bezalel Mendoza</v>
      </c>
      <c r="L143" t="str">
        <f>Tabla14[[#This Row],[id]]&amp;Tabla14[[#This Row],[Resposable]]</f>
        <v>23Bezalel Mendoza</v>
      </c>
      <c r="M143" t="s">
        <v>324</v>
      </c>
    </row>
    <row r="144" spans="1:13" x14ac:dyDescent="0.25">
      <c r="A144" t="s">
        <v>38</v>
      </c>
      <c r="B144">
        <v>23</v>
      </c>
      <c r="C144" t="s">
        <v>5</v>
      </c>
      <c r="D144" t="s">
        <v>53</v>
      </c>
      <c r="E144" t="s">
        <v>47</v>
      </c>
      <c r="F144" s="4" t="s">
        <v>58</v>
      </c>
      <c r="G144" t="s">
        <v>253</v>
      </c>
      <c r="H144" t="s">
        <v>324</v>
      </c>
      <c r="I144" t="s">
        <v>384</v>
      </c>
      <c r="J144" t="s">
        <v>360</v>
      </c>
      <c r="K144" t="str">
        <f>Tabla14[[#This Row],[id]]&amp;Tabla14[[#This Row],[Resposable]]</f>
        <v>23Bezalel Mendoza</v>
      </c>
      <c r="L144" t="str">
        <f>Tabla14[[#This Row],[id]]&amp;Tabla14[[#This Row],[Resposable]]</f>
        <v>23Bezalel Mendoza</v>
      </c>
      <c r="M144" t="s">
        <v>324</v>
      </c>
    </row>
    <row r="145" spans="1:13" x14ac:dyDescent="0.25">
      <c r="A145" t="s">
        <v>38</v>
      </c>
      <c r="B145">
        <v>23</v>
      </c>
      <c r="C145" t="s">
        <v>5</v>
      </c>
      <c r="D145" t="s">
        <v>64</v>
      </c>
      <c r="E145" t="s">
        <v>47</v>
      </c>
      <c r="F145" s="4" t="s">
        <v>58</v>
      </c>
      <c r="G145" t="s">
        <v>253</v>
      </c>
      <c r="H145" t="s">
        <v>324</v>
      </c>
      <c r="I145" t="s">
        <v>384</v>
      </c>
      <c r="J145" t="s">
        <v>360</v>
      </c>
      <c r="K145" t="str">
        <f>Tabla14[[#This Row],[id]]&amp;Tabla14[[#This Row],[Resposable]]</f>
        <v>23Bezalel Mendoza</v>
      </c>
      <c r="L145" t="str">
        <f>Tabla14[[#This Row],[id]]&amp;Tabla14[[#This Row],[Resposable]]</f>
        <v>23Bezalel Mendoza</v>
      </c>
      <c r="M145" t="s">
        <v>324</v>
      </c>
    </row>
    <row r="146" spans="1:13" x14ac:dyDescent="0.25">
      <c r="A146" t="s">
        <v>37</v>
      </c>
      <c r="B146">
        <v>34</v>
      </c>
      <c r="C146" t="s">
        <v>5</v>
      </c>
      <c r="D146" t="s">
        <v>46</v>
      </c>
      <c r="E146" t="s">
        <v>47</v>
      </c>
      <c r="F146" s="4" t="s">
        <v>48</v>
      </c>
      <c r="G146" t="s">
        <v>253</v>
      </c>
      <c r="H146" t="s">
        <v>324</v>
      </c>
      <c r="I146" t="s">
        <v>384</v>
      </c>
      <c r="J146" t="s">
        <v>360</v>
      </c>
      <c r="K146" t="str">
        <f>Tabla14[[#This Row],[id]]&amp;Tabla14[[#This Row],[Resposable]]</f>
        <v>34Bezalel Mendoza</v>
      </c>
      <c r="L146" t="str">
        <f>Tabla14[[#This Row],[id]]&amp;Tabla14[[#This Row],[Resposable]]</f>
        <v>34Bezalel Mendoza</v>
      </c>
      <c r="M146" t="s">
        <v>324</v>
      </c>
    </row>
    <row r="147" spans="1:13" x14ac:dyDescent="0.25">
      <c r="A147" t="s">
        <v>37</v>
      </c>
      <c r="B147">
        <v>34</v>
      </c>
      <c r="C147" t="s">
        <v>5</v>
      </c>
      <c r="D147" t="s">
        <v>53</v>
      </c>
      <c r="E147" t="s">
        <v>47</v>
      </c>
      <c r="F147" s="4" t="s">
        <v>48</v>
      </c>
      <c r="G147" t="s">
        <v>253</v>
      </c>
      <c r="H147" t="s">
        <v>324</v>
      </c>
      <c r="I147" t="s">
        <v>384</v>
      </c>
      <c r="J147" t="s">
        <v>360</v>
      </c>
      <c r="K147" t="str">
        <f>Tabla14[[#This Row],[id]]&amp;Tabla14[[#This Row],[Resposable]]</f>
        <v>34Bezalel Mendoza</v>
      </c>
      <c r="L147" t="str">
        <f>Tabla14[[#This Row],[id]]&amp;Tabla14[[#This Row],[Resposable]]</f>
        <v>34Bezalel Mendoza</v>
      </c>
      <c r="M147" t="s">
        <v>324</v>
      </c>
    </row>
    <row r="148" spans="1:13" x14ac:dyDescent="0.25">
      <c r="A148" t="s">
        <v>37</v>
      </c>
      <c r="B148">
        <v>34</v>
      </c>
      <c r="C148" t="s">
        <v>5</v>
      </c>
      <c r="D148" t="s">
        <v>217</v>
      </c>
      <c r="E148" t="s">
        <v>47</v>
      </c>
      <c r="F148" s="4" t="s">
        <v>48</v>
      </c>
      <c r="G148" t="s">
        <v>253</v>
      </c>
      <c r="H148" t="s">
        <v>324</v>
      </c>
      <c r="I148" t="s">
        <v>384</v>
      </c>
      <c r="J148" t="s">
        <v>360</v>
      </c>
      <c r="K148" t="str">
        <f>Tabla14[[#This Row],[id]]&amp;Tabla14[[#This Row],[Resposable]]</f>
        <v>34Bezalel Mendoza</v>
      </c>
      <c r="L148" t="str">
        <f>Tabla14[[#This Row],[id]]&amp;Tabla14[[#This Row],[Resposable]]</f>
        <v>34Bezalel Mendoza</v>
      </c>
      <c r="M148" t="s">
        <v>324</v>
      </c>
    </row>
    <row r="149" spans="1:13" x14ac:dyDescent="0.25">
      <c r="A149" t="s">
        <v>37</v>
      </c>
      <c r="B149">
        <v>34</v>
      </c>
      <c r="C149" t="s">
        <v>5</v>
      </c>
      <c r="D149" t="s">
        <v>56</v>
      </c>
      <c r="E149" t="s">
        <v>47</v>
      </c>
      <c r="F149" s="4" t="s">
        <v>48</v>
      </c>
      <c r="G149" t="s">
        <v>253</v>
      </c>
      <c r="H149" t="s">
        <v>324</v>
      </c>
      <c r="I149" t="s">
        <v>384</v>
      </c>
      <c r="J149" t="s">
        <v>360</v>
      </c>
      <c r="K149" t="str">
        <f>Tabla14[[#This Row],[id]]&amp;Tabla14[[#This Row],[Resposable]]</f>
        <v>34Bezalel Mendoza</v>
      </c>
      <c r="L149" t="str">
        <f>Tabla14[[#This Row],[id]]&amp;Tabla14[[#This Row],[Resposable]]</f>
        <v>34Bezalel Mendoza</v>
      </c>
      <c r="M149" t="s">
        <v>324</v>
      </c>
    </row>
    <row r="150" spans="1:13" x14ac:dyDescent="0.25">
      <c r="A150" t="s">
        <v>374</v>
      </c>
      <c r="B150">
        <v>89</v>
      </c>
      <c r="C150" t="s">
        <v>5</v>
      </c>
      <c r="D150" t="s">
        <v>46</v>
      </c>
      <c r="E150" t="s">
        <v>47</v>
      </c>
      <c r="F150" s="4" t="s">
        <v>58</v>
      </c>
      <c r="G150" t="s">
        <v>253</v>
      </c>
      <c r="H150" t="s">
        <v>324</v>
      </c>
      <c r="I150" t="s">
        <v>384</v>
      </c>
      <c r="J150" t="s">
        <v>360</v>
      </c>
      <c r="K150" t="str">
        <f>Tabla14[[#This Row],[id]]&amp;Tabla14[[#This Row],[Resposable]]</f>
        <v>89Bezalel Mendoza</v>
      </c>
      <c r="L150" t="str">
        <f>Tabla14[[#This Row],[id]]&amp;Tabla14[[#This Row],[Resposable]]</f>
        <v>89Bezalel Mendoza</v>
      </c>
      <c r="M150" t="s">
        <v>324</v>
      </c>
    </row>
    <row r="151" spans="1:13" x14ac:dyDescent="0.25">
      <c r="A151" t="s">
        <v>374</v>
      </c>
      <c r="B151">
        <v>89</v>
      </c>
      <c r="C151" t="s">
        <v>5</v>
      </c>
      <c r="D151" t="s">
        <v>52</v>
      </c>
      <c r="E151" t="s">
        <v>47</v>
      </c>
      <c r="F151" s="4" t="s">
        <v>58</v>
      </c>
      <c r="G151" t="s">
        <v>253</v>
      </c>
      <c r="H151" t="s">
        <v>324</v>
      </c>
      <c r="I151" t="s">
        <v>384</v>
      </c>
      <c r="J151" t="s">
        <v>360</v>
      </c>
      <c r="K151" t="str">
        <f>Tabla14[[#This Row],[id]]&amp;Tabla14[[#This Row],[Resposable]]</f>
        <v>89Bezalel Mendoza</v>
      </c>
      <c r="L151" t="str">
        <f>Tabla14[[#This Row],[id]]&amp;Tabla14[[#This Row],[Resposable]]</f>
        <v>89Bezalel Mendoza</v>
      </c>
      <c r="M151" t="s">
        <v>324</v>
      </c>
    </row>
    <row r="152" spans="1:13" x14ac:dyDescent="0.25">
      <c r="A152" t="s">
        <v>374</v>
      </c>
      <c r="B152">
        <v>89</v>
      </c>
      <c r="C152" t="s">
        <v>5</v>
      </c>
      <c r="D152" t="s">
        <v>53</v>
      </c>
      <c r="E152" t="s">
        <v>47</v>
      </c>
      <c r="F152" s="4" t="s">
        <v>58</v>
      </c>
      <c r="G152" t="s">
        <v>253</v>
      </c>
      <c r="H152" t="s">
        <v>324</v>
      </c>
      <c r="I152" t="s">
        <v>384</v>
      </c>
      <c r="J152" t="s">
        <v>360</v>
      </c>
      <c r="K152" t="str">
        <f>Tabla14[[#This Row],[id]]&amp;Tabla14[[#This Row],[Resposable]]</f>
        <v>89Bezalel Mendoza</v>
      </c>
      <c r="L152" t="str">
        <f>Tabla14[[#This Row],[id]]&amp;Tabla14[[#This Row],[Resposable]]</f>
        <v>89Bezalel Mendoza</v>
      </c>
      <c r="M152" t="s">
        <v>324</v>
      </c>
    </row>
    <row r="153" spans="1:13" x14ac:dyDescent="0.25">
      <c r="A153" t="s">
        <v>374</v>
      </c>
      <c r="B153">
        <v>89</v>
      </c>
      <c r="C153" t="s">
        <v>5</v>
      </c>
      <c r="D153" t="s">
        <v>64</v>
      </c>
      <c r="E153" t="s">
        <v>47</v>
      </c>
      <c r="F153" s="4" t="s">
        <v>58</v>
      </c>
      <c r="G153" t="s">
        <v>253</v>
      </c>
      <c r="H153" t="s">
        <v>324</v>
      </c>
      <c r="I153" t="s">
        <v>384</v>
      </c>
      <c r="J153" t="s">
        <v>360</v>
      </c>
      <c r="K153" t="str">
        <f>Tabla14[[#This Row],[id]]&amp;Tabla14[[#This Row],[Resposable]]</f>
        <v>89Bezalel Mendoza</v>
      </c>
      <c r="L153" t="str">
        <f>Tabla14[[#This Row],[id]]&amp;Tabla14[[#This Row],[Resposable]]</f>
        <v>89Bezalel Mendoza</v>
      </c>
      <c r="M153" t="s">
        <v>324</v>
      </c>
    </row>
    <row r="154" spans="1:13" x14ac:dyDescent="0.25">
      <c r="A154" t="s">
        <v>39</v>
      </c>
      <c r="B154">
        <v>95</v>
      </c>
      <c r="C154" t="s">
        <v>5</v>
      </c>
      <c r="D154" t="s">
        <v>46</v>
      </c>
      <c r="E154" t="s">
        <v>47</v>
      </c>
      <c r="F154" s="4" t="s">
        <v>48</v>
      </c>
      <c r="G154" t="s">
        <v>253</v>
      </c>
      <c r="H154" t="s">
        <v>324</v>
      </c>
      <c r="I154" t="s">
        <v>384</v>
      </c>
      <c r="J154" t="s">
        <v>360</v>
      </c>
      <c r="K154" t="str">
        <f>Tabla14[[#This Row],[id]]&amp;Tabla14[[#This Row],[Resposable]]</f>
        <v>95Bezalel Mendoza</v>
      </c>
      <c r="L154" t="str">
        <f>Tabla14[[#This Row],[id]]&amp;Tabla14[[#This Row],[Resposable]]</f>
        <v>95Bezalel Mendoza</v>
      </c>
      <c r="M154" t="s">
        <v>324</v>
      </c>
    </row>
    <row r="155" spans="1:13" x14ac:dyDescent="0.25">
      <c r="A155" t="s">
        <v>39</v>
      </c>
      <c r="B155">
        <v>95</v>
      </c>
      <c r="C155" t="s">
        <v>5</v>
      </c>
      <c r="D155" t="s">
        <v>53</v>
      </c>
      <c r="E155" t="s">
        <v>47</v>
      </c>
      <c r="F155" s="4" t="s">
        <v>48</v>
      </c>
      <c r="G155" t="s">
        <v>253</v>
      </c>
      <c r="H155" t="s">
        <v>324</v>
      </c>
      <c r="I155" t="s">
        <v>384</v>
      </c>
      <c r="J155" t="s">
        <v>360</v>
      </c>
      <c r="K155" t="str">
        <f>Tabla14[[#This Row],[id]]&amp;Tabla14[[#This Row],[Resposable]]</f>
        <v>95Bezalel Mendoza</v>
      </c>
      <c r="L155" t="str">
        <f>Tabla14[[#This Row],[id]]&amp;Tabla14[[#This Row],[Resposable]]</f>
        <v>95Bezalel Mendoza</v>
      </c>
      <c r="M155" t="s">
        <v>324</v>
      </c>
    </row>
    <row r="156" spans="1:13" x14ac:dyDescent="0.25">
      <c r="A156" t="s">
        <v>39</v>
      </c>
      <c r="B156">
        <v>95</v>
      </c>
      <c r="C156" t="s">
        <v>5</v>
      </c>
      <c r="D156" t="s">
        <v>217</v>
      </c>
      <c r="E156" t="s">
        <v>47</v>
      </c>
      <c r="F156" s="4" t="s">
        <v>48</v>
      </c>
      <c r="G156" t="s">
        <v>253</v>
      </c>
      <c r="H156" t="s">
        <v>324</v>
      </c>
      <c r="I156" t="s">
        <v>384</v>
      </c>
      <c r="J156" t="s">
        <v>360</v>
      </c>
      <c r="K156" t="str">
        <f>Tabla14[[#This Row],[id]]&amp;Tabla14[[#This Row],[Resposable]]</f>
        <v>95Bezalel Mendoza</v>
      </c>
      <c r="L156" t="str">
        <f>Tabla14[[#This Row],[id]]&amp;Tabla14[[#This Row],[Resposable]]</f>
        <v>95Bezalel Mendoza</v>
      </c>
      <c r="M156" t="s">
        <v>324</v>
      </c>
    </row>
    <row r="157" spans="1:13" x14ac:dyDescent="0.25">
      <c r="A157" t="s">
        <v>39</v>
      </c>
      <c r="B157">
        <v>95</v>
      </c>
      <c r="C157" t="s">
        <v>5</v>
      </c>
      <c r="D157" t="s">
        <v>56</v>
      </c>
      <c r="E157" t="s">
        <v>47</v>
      </c>
      <c r="F157" s="4" t="s">
        <v>48</v>
      </c>
      <c r="G157" t="s">
        <v>253</v>
      </c>
      <c r="H157" t="s">
        <v>324</v>
      </c>
      <c r="I157" t="s">
        <v>384</v>
      </c>
      <c r="J157" t="s">
        <v>360</v>
      </c>
      <c r="K157" t="str">
        <f>Tabla14[[#This Row],[id]]&amp;Tabla14[[#This Row],[Resposable]]</f>
        <v>95Bezalel Mendoza</v>
      </c>
      <c r="L157" t="str">
        <f>Tabla14[[#This Row],[id]]&amp;Tabla14[[#This Row],[Resposable]]</f>
        <v>95Bezalel Mendoza</v>
      </c>
      <c r="M157" t="s">
        <v>324</v>
      </c>
    </row>
    <row r="158" spans="1:13" x14ac:dyDescent="0.25">
      <c r="A158" s="18" t="s">
        <v>35</v>
      </c>
      <c r="B158" s="18">
        <v>139</v>
      </c>
      <c r="C158" s="18" t="s">
        <v>5</v>
      </c>
      <c r="D158" s="18" t="s">
        <v>46</v>
      </c>
      <c r="E158" s="18" t="s">
        <v>47</v>
      </c>
      <c r="F158" s="19" t="s">
        <v>48</v>
      </c>
      <c r="G158" s="18" t="s">
        <v>253</v>
      </c>
      <c r="H158" t="s">
        <v>324</v>
      </c>
      <c r="I158" t="s">
        <v>384</v>
      </c>
      <c r="J158" t="s">
        <v>360</v>
      </c>
      <c r="K158" t="str">
        <f>Tabla14[[#This Row],[id]]&amp;Tabla14[[#This Row],[Resposable]]</f>
        <v>139Bezalel Mendoza</v>
      </c>
      <c r="L158" t="str">
        <f>Tabla14[[#This Row],[id]]&amp;Tabla14[[#This Row],[Resposable]]</f>
        <v>139Bezalel Mendoza</v>
      </c>
      <c r="M158" t="s">
        <v>324</v>
      </c>
    </row>
    <row r="159" spans="1:13" x14ac:dyDescent="0.25">
      <c r="A159" s="18" t="s">
        <v>35</v>
      </c>
      <c r="B159" s="18">
        <v>139</v>
      </c>
      <c r="C159" s="18" t="s">
        <v>5</v>
      </c>
      <c r="D159" s="18" t="s">
        <v>53</v>
      </c>
      <c r="E159" s="18" t="s">
        <v>47</v>
      </c>
      <c r="F159" s="19" t="s">
        <v>48</v>
      </c>
      <c r="G159" s="18" t="s">
        <v>253</v>
      </c>
      <c r="H159" t="s">
        <v>324</v>
      </c>
      <c r="I159" t="s">
        <v>384</v>
      </c>
      <c r="J159" t="s">
        <v>360</v>
      </c>
      <c r="K159" t="str">
        <f>Tabla14[[#This Row],[id]]&amp;Tabla14[[#This Row],[Resposable]]</f>
        <v>139Bezalel Mendoza</v>
      </c>
      <c r="L159" t="str">
        <f>Tabla14[[#This Row],[id]]&amp;Tabla14[[#This Row],[Resposable]]</f>
        <v>139Bezalel Mendoza</v>
      </c>
      <c r="M159" t="s">
        <v>324</v>
      </c>
    </row>
    <row r="160" spans="1:13" x14ac:dyDescent="0.25">
      <c r="A160" s="18" t="s">
        <v>35</v>
      </c>
      <c r="B160" s="18">
        <v>139</v>
      </c>
      <c r="C160" s="18" t="s">
        <v>5</v>
      </c>
      <c r="D160" s="18" t="s">
        <v>217</v>
      </c>
      <c r="E160" s="18" t="s">
        <v>47</v>
      </c>
      <c r="F160" s="19" t="s">
        <v>48</v>
      </c>
      <c r="G160" s="18" t="s">
        <v>253</v>
      </c>
      <c r="H160" t="s">
        <v>324</v>
      </c>
      <c r="I160" t="s">
        <v>384</v>
      </c>
      <c r="J160" t="s">
        <v>360</v>
      </c>
      <c r="K160" t="str">
        <f>Tabla14[[#This Row],[id]]&amp;Tabla14[[#This Row],[Resposable]]</f>
        <v>139Bezalel Mendoza</v>
      </c>
      <c r="L160" t="str">
        <f>Tabla14[[#This Row],[id]]&amp;Tabla14[[#This Row],[Resposable]]</f>
        <v>139Bezalel Mendoza</v>
      </c>
      <c r="M160" t="s">
        <v>324</v>
      </c>
    </row>
    <row r="161" spans="1:13" x14ac:dyDescent="0.25">
      <c r="A161" s="18" t="s">
        <v>35</v>
      </c>
      <c r="B161" s="18">
        <v>139</v>
      </c>
      <c r="C161" s="18" t="s">
        <v>5</v>
      </c>
      <c r="D161" s="18" t="s">
        <v>56</v>
      </c>
      <c r="E161" s="18" t="s">
        <v>47</v>
      </c>
      <c r="F161" s="19" t="s">
        <v>48</v>
      </c>
      <c r="G161" s="18" t="s">
        <v>253</v>
      </c>
      <c r="H161" t="s">
        <v>324</v>
      </c>
      <c r="I161" t="s">
        <v>384</v>
      </c>
      <c r="J161" t="s">
        <v>360</v>
      </c>
      <c r="K161" t="str">
        <f>Tabla14[[#This Row],[id]]&amp;Tabla14[[#This Row],[Resposable]]</f>
        <v>139Bezalel Mendoza</v>
      </c>
      <c r="L161" t="str">
        <f>Tabla14[[#This Row],[id]]&amp;Tabla14[[#This Row],[Resposable]]</f>
        <v>139Bezalel Mendoza</v>
      </c>
      <c r="M161" t="s">
        <v>324</v>
      </c>
    </row>
    <row r="162" spans="1:13" x14ac:dyDescent="0.25">
      <c r="A162" s="18" t="s">
        <v>40</v>
      </c>
      <c r="B162" s="18">
        <v>156</v>
      </c>
      <c r="C162" s="18" t="s">
        <v>5</v>
      </c>
      <c r="D162" s="18" t="s">
        <v>46</v>
      </c>
      <c r="E162" s="18" t="s">
        <v>47</v>
      </c>
      <c r="F162" s="19" t="s">
        <v>48</v>
      </c>
      <c r="G162" s="18" t="s">
        <v>253</v>
      </c>
      <c r="H162" t="s">
        <v>324</v>
      </c>
      <c r="I162" t="s">
        <v>384</v>
      </c>
      <c r="J162" t="s">
        <v>360</v>
      </c>
      <c r="K162" t="str">
        <f>Tabla14[[#This Row],[id]]&amp;Tabla14[[#This Row],[Resposable]]</f>
        <v>156Bezalel Mendoza</v>
      </c>
      <c r="L162" t="str">
        <f>Tabla14[[#This Row],[id]]&amp;Tabla14[[#This Row],[Resposable]]</f>
        <v>156Bezalel Mendoza</v>
      </c>
      <c r="M162" t="s">
        <v>324</v>
      </c>
    </row>
    <row r="163" spans="1:13" x14ac:dyDescent="0.25">
      <c r="A163" s="18" t="s">
        <v>40</v>
      </c>
      <c r="B163" s="18">
        <v>156</v>
      </c>
      <c r="C163" s="18" t="s">
        <v>5</v>
      </c>
      <c r="D163" s="18" t="s">
        <v>53</v>
      </c>
      <c r="E163" s="18" t="s">
        <v>47</v>
      </c>
      <c r="F163" s="19" t="s">
        <v>48</v>
      </c>
      <c r="G163" s="18" t="s">
        <v>253</v>
      </c>
      <c r="H163" t="s">
        <v>324</v>
      </c>
      <c r="I163" t="s">
        <v>384</v>
      </c>
      <c r="J163" t="s">
        <v>360</v>
      </c>
      <c r="K163" t="str">
        <f>Tabla14[[#This Row],[id]]&amp;Tabla14[[#This Row],[Resposable]]</f>
        <v>156Bezalel Mendoza</v>
      </c>
      <c r="L163" t="str">
        <f>Tabla14[[#This Row],[id]]&amp;Tabla14[[#This Row],[Resposable]]</f>
        <v>156Bezalel Mendoza</v>
      </c>
      <c r="M163" t="s">
        <v>324</v>
      </c>
    </row>
    <row r="164" spans="1:13" x14ac:dyDescent="0.25">
      <c r="A164" s="18" t="s">
        <v>40</v>
      </c>
      <c r="B164" s="18">
        <v>156</v>
      </c>
      <c r="C164" s="18" t="s">
        <v>5</v>
      </c>
      <c r="D164" s="18" t="s">
        <v>217</v>
      </c>
      <c r="E164" s="18" t="s">
        <v>47</v>
      </c>
      <c r="F164" s="19" t="s">
        <v>48</v>
      </c>
      <c r="G164" s="18" t="s">
        <v>253</v>
      </c>
      <c r="H164" t="s">
        <v>324</v>
      </c>
      <c r="I164" t="s">
        <v>384</v>
      </c>
      <c r="J164" t="s">
        <v>360</v>
      </c>
      <c r="K164" t="str">
        <f>Tabla14[[#This Row],[id]]&amp;Tabla14[[#This Row],[Resposable]]</f>
        <v>156Bezalel Mendoza</v>
      </c>
      <c r="L164" t="str">
        <f>Tabla14[[#This Row],[id]]&amp;Tabla14[[#This Row],[Resposable]]</f>
        <v>156Bezalel Mendoza</v>
      </c>
      <c r="M164" t="s">
        <v>324</v>
      </c>
    </row>
    <row r="165" spans="1:13" x14ac:dyDescent="0.25">
      <c r="A165" s="18" t="s">
        <v>40</v>
      </c>
      <c r="B165" s="18">
        <v>156</v>
      </c>
      <c r="C165" s="18" t="s">
        <v>5</v>
      </c>
      <c r="D165" s="18" t="s">
        <v>56</v>
      </c>
      <c r="E165" s="18" t="s">
        <v>47</v>
      </c>
      <c r="F165" s="19" t="s">
        <v>48</v>
      </c>
      <c r="G165" s="18" t="s">
        <v>253</v>
      </c>
      <c r="H165" t="s">
        <v>324</v>
      </c>
      <c r="I165" t="s">
        <v>384</v>
      </c>
      <c r="J165" t="s">
        <v>360</v>
      </c>
      <c r="K165" t="str">
        <f>Tabla14[[#This Row],[id]]&amp;Tabla14[[#This Row],[Resposable]]</f>
        <v>156Bezalel Mendoza</v>
      </c>
      <c r="L165" t="str">
        <f>Tabla14[[#This Row],[id]]&amp;Tabla14[[#This Row],[Resposable]]</f>
        <v>156Bezalel Mendoza</v>
      </c>
      <c r="M165" t="s">
        <v>324</v>
      </c>
    </row>
    <row r="166" spans="1:13" x14ac:dyDescent="0.25">
      <c r="A166" t="s">
        <v>34</v>
      </c>
      <c r="B166">
        <v>25</v>
      </c>
      <c r="C166" t="s">
        <v>5</v>
      </c>
      <c r="D166" t="s">
        <v>46</v>
      </c>
      <c r="E166" t="s">
        <v>47</v>
      </c>
      <c r="F166" s="4" t="s">
        <v>58</v>
      </c>
      <c r="G166" t="s">
        <v>253</v>
      </c>
      <c r="H166" t="s">
        <v>256</v>
      </c>
      <c r="I166" t="s">
        <v>384</v>
      </c>
      <c r="J166" t="s">
        <v>360</v>
      </c>
      <c r="K166" t="str">
        <f>Tabla14[[#This Row],[id]]&amp;Tabla14[[#This Row],[Resposable]]</f>
        <v>25Bezalel Mendoza</v>
      </c>
      <c r="L166" t="str">
        <f>Tabla14[[#This Row],[id]]&amp;Tabla14[[#This Row],[Resposable]]</f>
        <v>25Bezalel Mendoza</v>
      </c>
      <c r="M166" t="s">
        <v>256</v>
      </c>
    </row>
    <row r="167" spans="1:13" x14ac:dyDescent="0.25">
      <c r="A167" t="s">
        <v>34</v>
      </c>
      <c r="B167">
        <v>25</v>
      </c>
      <c r="C167" t="s">
        <v>5</v>
      </c>
      <c r="D167" t="s">
        <v>52</v>
      </c>
      <c r="E167" t="s">
        <v>47</v>
      </c>
      <c r="F167" s="4" t="s">
        <v>58</v>
      </c>
      <c r="G167" t="s">
        <v>253</v>
      </c>
      <c r="H167" t="s">
        <v>256</v>
      </c>
      <c r="I167" t="s">
        <v>384</v>
      </c>
      <c r="J167" t="s">
        <v>360</v>
      </c>
      <c r="K167" t="str">
        <f>Tabla14[[#This Row],[id]]&amp;Tabla14[[#This Row],[Resposable]]</f>
        <v>25Bezalel Mendoza</v>
      </c>
      <c r="L167" t="str">
        <f>Tabla14[[#This Row],[id]]&amp;Tabla14[[#This Row],[Resposable]]</f>
        <v>25Bezalel Mendoza</v>
      </c>
      <c r="M167" t="s">
        <v>256</v>
      </c>
    </row>
    <row r="168" spans="1:13" x14ac:dyDescent="0.25">
      <c r="A168" t="s">
        <v>34</v>
      </c>
      <c r="B168">
        <v>25</v>
      </c>
      <c r="C168" t="s">
        <v>5</v>
      </c>
      <c r="D168" t="s">
        <v>53</v>
      </c>
      <c r="E168" t="s">
        <v>47</v>
      </c>
      <c r="F168" s="4" t="s">
        <v>58</v>
      </c>
      <c r="G168" t="s">
        <v>253</v>
      </c>
      <c r="H168" t="s">
        <v>256</v>
      </c>
      <c r="I168" t="s">
        <v>384</v>
      </c>
      <c r="J168" t="s">
        <v>360</v>
      </c>
      <c r="K168" t="str">
        <f>Tabla14[[#This Row],[id]]&amp;Tabla14[[#This Row],[Resposable]]</f>
        <v>25Bezalel Mendoza</v>
      </c>
      <c r="L168" t="str">
        <f>Tabla14[[#This Row],[id]]&amp;Tabla14[[#This Row],[Resposable]]</f>
        <v>25Bezalel Mendoza</v>
      </c>
      <c r="M168" t="s">
        <v>256</v>
      </c>
    </row>
    <row r="169" spans="1:13" x14ac:dyDescent="0.25">
      <c r="A169" t="s">
        <v>34</v>
      </c>
      <c r="B169">
        <v>25</v>
      </c>
      <c r="C169" t="s">
        <v>5</v>
      </c>
      <c r="D169" t="s">
        <v>209</v>
      </c>
      <c r="E169" t="s">
        <v>47</v>
      </c>
      <c r="F169" s="4" t="s">
        <v>210</v>
      </c>
      <c r="G169" t="s">
        <v>253</v>
      </c>
      <c r="H169" t="s">
        <v>256</v>
      </c>
      <c r="I169" t="s">
        <v>384</v>
      </c>
      <c r="J169" t="s">
        <v>360</v>
      </c>
      <c r="K169" t="str">
        <f>Tabla14[[#This Row],[id]]&amp;Tabla14[[#This Row],[Resposable]]</f>
        <v>25Bezalel Mendoza</v>
      </c>
      <c r="L169" t="str">
        <f>Tabla14[[#This Row],[id]]&amp;Tabla14[[#This Row],[Resposable]]</f>
        <v>25Bezalel Mendoza</v>
      </c>
      <c r="M169" t="s">
        <v>256</v>
      </c>
    </row>
    <row r="170" spans="1:13" x14ac:dyDescent="0.25">
      <c r="A170" t="s">
        <v>34</v>
      </c>
      <c r="B170">
        <v>25</v>
      </c>
      <c r="C170" t="s">
        <v>5</v>
      </c>
      <c r="D170" t="s">
        <v>64</v>
      </c>
      <c r="E170" t="s">
        <v>47</v>
      </c>
      <c r="F170" s="4" t="s">
        <v>210</v>
      </c>
      <c r="G170" t="s">
        <v>253</v>
      </c>
      <c r="H170" t="s">
        <v>256</v>
      </c>
      <c r="I170" t="s">
        <v>384</v>
      </c>
      <c r="J170" t="s">
        <v>360</v>
      </c>
      <c r="K170" t="str">
        <f>Tabla14[[#This Row],[id]]&amp;Tabla14[[#This Row],[Resposable]]</f>
        <v>25Bezalel Mendoza</v>
      </c>
      <c r="L170" t="str">
        <f>Tabla14[[#This Row],[id]]&amp;Tabla14[[#This Row],[Resposable]]</f>
        <v>25Bezalel Mendoza</v>
      </c>
      <c r="M170" t="s">
        <v>256</v>
      </c>
    </row>
    <row r="171" spans="1:13" x14ac:dyDescent="0.25">
      <c r="A171" t="s">
        <v>36</v>
      </c>
      <c r="B171">
        <v>25</v>
      </c>
      <c r="C171" t="s">
        <v>5</v>
      </c>
      <c r="D171" t="s">
        <v>46</v>
      </c>
      <c r="E171" t="s">
        <v>47</v>
      </c>
      <c r="F171" s="4" t="s">
        <v>58</v>
      </c>
      <c r="G171" t="s">
        <v>253</v>
      </c>
      <c r="H171" t="s">
        <v>256</v>
      </c>
      <c r="I171" t="s">
        <v>384</v>
      </c>
      <c r="J171" t="s">
        <v>360</v>
      </c>
      <c r="K171" t="str">
        <f>Tabla14[[#This Row],[id]]&amp;Tabla14[[#This Row],[Resposable]]</f>
        <v>25Bezalel Mendoza</v>
      </c>
      <c r="L171" t="str">
        <f>Tabla14[[#This Row],[id]]&amp;Tabla14[[#This Row],[Resposable]]</f>
        <v>25Bezalel Mendoza</v>
      </c>
      <c r="M171" t="s">
        <v>256</v>
      </c>
    </row>
    <row r="172" spans="1:13" x14ac:dyDescent="0.25">
      <c r="A172" t="s">
        <v>36</v>
      </c>
      <c r="B172">
        <v>25</v>
      </c>
      <c r="C172" t="s">
        <v>5</v>
      </c>
      <c r="D172" t="s">
        <v>52</v>
      </c>
      <c r="E172" t="s">
        <v>47</v>
      </c>
      <c r="F172" s="4" t="s">
        <v>58</v>
      </c>
      <c r="G172" t="s">
        <v>253</v>
      </c>
      <c r="H172" t="s">
        <v>256</v>
      </c>
      <c r="I172" t="s">
        <v>384</v>
      </c>
      <c r="J172" t="s">
        <v>360</v>
      </c>
      <c r="K172" t="str">
        <f>Tabla14[[#This Row],[id]]&amp;Tabla14[[#This Row],[Resposable]]</f>
        <v>25Bezalel Mendoza</v>
      </c>
      <c r="L172" t="str">
        <f>Tabla14[[#This Row],[id]]&amp;Tabla14[[#This Row],[Resposable]]</f>
        <v>25Bezalel Mendoza</v>
      </c>
      <c r="M172" t="s">
        <v>256</v>
      </c>
    </row>
    <row r="173" spans="1:13" x14ac:dyDescent="0.25">
      <c r="A173" t="s">
        <v>36</v>
      </c>
      <c r="B173">
        <v>25</v>
      </c>
      <c r="C173" t="s">
        <v>5</v>
      </c>
      <c r="D173" t="s">
        <v>53</v>
      </c>
      <c r="E173" t="s">
        <v>47</v>
      </c>
      <c r="F173" s="4" t="s">
        <v>58</v>
      </c>
      <c r="G173" t="s">
        <v>253</v>
      </c>
      <c r="H173" t="s">
        <v>256</v>
      </c>
      <c r="I173" t="s">
        <v>384</v>
      </c>
      <c r="J173" t="s">
        <v>360</v>
      </c>
      <c r="K173" t="str">
        <f>Tabla14[[#This Row],[id]]&amp;Tabla14[[#This Row],[Resposable]]</f>
        <v>25Bezalel Mendoza</v>
      </c>
      <c r="L173" t="str">
        <f>Tabla14[[#This Row],[id]]&amp;Tabla14[[#This Row],[Resposable]]</f>
        <v>25Bezalel Mendoza</v>
      </c>
      <c r="M173" t="s">
        <v>256</v>
      </c>
    </row>
    <row r="174" spans="1:13" x14ac:dyDescent="0.25">
      <c r="A174" t="s">
        <v>36</v>
      </c>
      <c r="B174">
        <v>25</v>
      </c>
      <c r="C174" t="s">
        <v>5</v>
      </c>
      <c r="D174" t="s">
        <v>209</v>
      </c>
      <c r="E174" t="s">
        <v>47</v>
      </c>
      <c r="F174" s="4" t="s">
        <v>210</v>
      </c>
      <c r="G174" t="s">
        <v>253</v>
      </c>
      <c r="H174" t="s">
        <v>256</v>
      </c>
      <c r="I174" t="s">
        <v>384</v>
      </c>
      <c r="J174" t="s">
        <v>360</v>
      </c>
      <c r="K174" t="str">
        <f>Tabla14[[#This Row],[id]]&amp;Tabla14[[#This Row],[Resposable]]</f>
        <v>25Bezalel Mendoza</v>
      </c>
      <c r="L174" t="str">
        <f>Tabla14[[#This Row],[id]]&amp;Tabla14[[#This Row],[Resposable]]</f>
        <v>25Bezalel Mendoza</v>
      </c>
      <c r="M174" t="s">
        <v>256</v>
      </c>
    </row>
    <row r="175" spans="1:13" x14ac:dyDescent="0.25">
      <c r="A175" t="s">
        <v>36</v>
      </c>
      <c r="B175">
        <v>25</v>
      </c>
      <c r="C175" t="s">
        <v>5</v>
      </c>
      <c r="D175" t="s">
        <v>64</v>
      </c>
      <c r="E175" t="s">
        <v>47</v>
      </c>
      <c r="F175" s="4" t="s">
        <v>210</v>
      </c>
      <c r="G175" t="s">
        <v>253</v>
      </c>
      <c r="H175" t="s">
        <v>256</v>
      </c>
      <c r="I175" t="s">
        <v>384</v>
      </c>
      <c r="J175" t="s">
        <v>360</v>
      </c>
      <c r="K175" t="str">
        <f>Tabla14[[#This Row],[id]]&amp;Tabla14[[#This Row],[Resposable]]</f>
        <v>25Bezalel Mendoza</v>
      </c>
      <c r="L175" t="str">
        <f>Tabla14[[#This Row],[id]]&amp;Tabla14[[#This Row],[Resposable]]</f>
        <v>25Bezalel Mendoza</v>
      </c>
      <c r="M175" t="s">
        <v>256</v>
      </c>
    </row>
    <row r="176" spans="1:13" x14ac:dyDescent="0.25">
      <c r="A176" t="s">
        <v>38</v>
      </c>
      <c r="B176">
        <v>25</v>
      </c>
      <c r="C176" t="s">
        <v>5</v>
      </c>
      <c r="D176" t="s">
        <v>46</v>
      </c>
      <c r="E176" t="s">
        <v>47</v>
      </c>
      <c r="F176" s="4" t="s">
        <v>58</v>
      </c>
      <c r="G176" t="s">
        <v>253</v>
      </c>
      <c r="H176" t="s">
        <v>256</v>
      </c>
      <c r="I176" t="s">
        <v>384</v>
      </c>
      <c r="J176" t="s">
        <v>360</v>
      </c>
      <c r="K176" t="str">
        <f>Tabla14[[#This Row],[id]]&amp;Tabla14[[#This Row],[Resposable]]</f>
        <v>25Bezalel Mendoza</v>
      </c>
      <c r="L176" t="str">
        <f>Tabla14[[#This Row],[id]]&amp;Tabla14[[#This Row],[Resposable]]</f>
        <v>25Bezalel Mendoza</v>
      </c>
      <c r="M176" t="s">
        <v>256</v>
      </c>
    </row>
    <row r="177" spans="1:13" x14ac:dyDescent="0.25">
      <c r="A177" t="s">
        <v>38</v>
      </c>
      <c r="B177">
        <v>25</v>
      </c>
      <c r="C177" t="s">
        <v>5</v>
      </c>
      <c r="D177" t="s">
        <v>52</v>
      </c>
      <c r="E177" t="s">
        <v>47</v>
      </c>
      <c r="F177" s="4" t="s">
        <v>58</v>
      </c>
      <c r="G177" t="s">
        <v>253</v>
      </c>
      <c r="H177" t="s">
        <v>256</v>
      </c>
      <c r="I177" t="s">
        <v>384</v>
      </c>
      <c r="J177" t="s">
        <v>360</v>
      </c>
      <c r="K177" t="str">
        <f>Tabla14[[#This Row],[id]]&amp;Tabla14[[#This Row],[Resposable]]</f>
        <v>25Bezalel Mendoza</v>
      </c>
      <c r="L177" t="str">
        <f>Tabla14[[#This Row],[id]]&amp;Tabla14[[#This Row],[Resposable]]</f>
        <v>25Bezalel Mendoza</v>
      </c>
      <c r="M177" t="s">
        <v>256</v>
      </c>
    </row>
    <row r="178" spans="1:13" x14ac:dyDescent="0.25">
      <c r="A178" t="s">
        <v>38</v>
      </c>
      <c r="B178">
        <v>25</v>
      </c>
      <c r="C178" t="s">
        <v>5</v>
      </c>
      <c r="D178" t="s">
        <v>53</v>
      </c>
      <c r="E178" t="s">
        <v>47</v>
      </c>
      <c r="F178" s="4" t="s">
        <v>58</v>
      </c>
      <c r="G178" t="s">
        <v>253</v>
      </c>
      <c r="H178" t="s">
        <v>256</v>
      </c>
      <c r="I178" t="s">
        <v>384</v>
      </c>
      <c r="J178" t="s">
        <v>360</v>
      </c>
      <c r="K178" t="str">
        <f>Tabla14[[#This Row],[id]]&amp;Tabla14[[#This Row],[Resposable]]</f>
        <v>25Bezalel Mendoza</v>
      </c>
      <c r="L178" t="str">
        <f>Tabla14[[#This Row],[id]]&amp;Tabla14[[#This Row],[Resposable]]</f>
        <v>25Bezalel Mendoza</v>
      </c>
      <c r="M178" t="s">
        <v>256</v>
      </c>
    </row>
    <row r="179" spans="1:13" x14ac:dyDescent="0.25">
      <c r="A179" t="s">
        <v>38</v>
      </c>
      <c r="B179">
        <v>25</v>
      </c>
      <c r="C179" t="s">
        <v>5</v>
      </c>
      <c r="D179" t="s">
        <v>64</v>
      </c>
      <c r="E179" t="s">
        <v>47</v>
      </c>
      <c r="F179" s="4" t="s">
        <v>58</v>
      </c>
      <c r="G179" t="s">
        <v>253</v>
      </c>
      <c r="H179" t="s">
        <v>256</v>
      </c>
      <c r="I179" t="s">
        <v>384</v>
      </c>
      <c r="J179" t="s">
        <v>360</v>
      </c>
      <c r="K179" t="str">
        <f>Tabla14[[#This Row],[id]]&amp;Tabla14[[#This Row],[Resposable]]</f>
        <v>25Bezalel Mendoza</v>
      </c>
      <c r="L179" t="str">
        <f>Tabla14[[#This Row],[id]]&amp;Tabla14[[#This Row],[Resposable]]</f>
        <v>25Bezalel Mendoza</v>
      </c>
      <c r="M179" t="s">
        <v>256</v>
      </c>
    </row>
    <row r="180" spans="1:13" x14ac:dyDescent="0.25">
      <c r="A180" t="s">
        <v>37</v>
      </c>
      <c r="B180">
        <v>36</v>
      </c>
      <c r="C180" t="s">
        <v>5</v>
      </c>
      <c r="D180" t="s">
        <v>46</v>
      </c>
      <c r="E180" t="s">
        <v>47</v>
      </c>
      <c r="F180" s="4" t="s">
        <v>48</v>
      </c>
      <c r="G180" t="s">
        <v>253</v>
      </c>
      <c r="H180" t="s">
        <v>256</v>
      </c>
      <c r="I180" t="s">
        <v>384</v>
      </c>
      <c r="J180" t="s">
        <v>360</v>
      </c>
      <c r="K180" t="str">
        <f>Tabla14[[#This Row],[id]]&amp;Tabla14[[#This Row],[Resposable]]</f>
        <v>36Bezalel Mendoza</v>
      </c>
      <c r="L180" t="str">
        <f>Tabla14[[#This Row],[id]]&amp;Tabla14[[#This Row],[Resposable]]</f>
        <v>36Bezalel Mendoza</v>
      </c>
      <c r="M180" t="s">
        <v>256</v>
      </c>
    </row>
    <row r="181" spans="1:13" x14ac:dyDescent="0.25">
      <c r="A181" t="s">
        <v>37</v>
      </c>
      <c r="B181">
        <v>36</v>
      </c>
      <c r="C181" t="s">
        <v>5</v>
      </c>
      <c r="D181" t="s">
        <v>53</v>
      </c>
      <c r="E181" t="s">
        <v>47</v>
      </c>
      <c r="F181" s="4" t="s">
        <v>48</v>
      </c>
      <c r="G181" t="s">
        <v>253</v>
      </c>
      <c r="H181" t="s">
        <v>256</v>
      </c>
      <c r="I181" t="s">
        <v>384</v>
      </c>
      <c r="J181" t="s">
        <v>360</v>
      </c>
      <c r="K181" t="str">
        <f>Tabla14[[#This Row],[id]]&amp;Tabla14[[#This Row],[Resposable]]</f>
        <v>36Bezalel Mendoza</v>
      </c>
      <c r="L181" t="str">
        <f>Tabla14[[#This Row],[id]]&amp;Tabla14[[#This Row],[Resposable]]</f>
        <v>36Bezalel Mendoza</v>
      </c>
      <c r="M181" t="s">
        <v>256</v>
      </c>
    </row>
    <row r="182" spans="1:13" x14ac:dyDescent="0.25">
      <c r="A182" t="s">
        <v>37</v>
      </c>
      <c r="B182">
        <v>36</v>
      </c>
      <c r="C182" t="s">
        <v>5</v>
      </c>
      <c r="D182" t="s">
        <v>217</v>
      </c>
      <c r="E182" t="s">
        <v>47</v>
      </c>
      <c r="F182" s="4" t="s">
        <v>48</v>
      </c>
      <c r="G182" t="s">
        <v>253</v>
      </c>
      <c r="H182" t="s">
        <v>256</v>
      </c>
      <c r="I182" t="s">
        <v>384</v>
      </c>
      <c r="J182" t="s">
        <v>360</v>
      </c>
      <c r="K182" t="str">
        <f>Tabla14[[#This Row],[id]]&amp;Tabla14[[#This Row],[Resposable]]</f>
        <v>36Bezalel Mendoza</v>
      </c>
      <c r="L182" t="str">
        <f>Tabla14[[#This Row],[id]]&amp;Tabla14[[#This Row],[Resposable]]</f>
        <v>36Bezalel Mendoza</v>
      </c>
      <c r="M182" t="s">
        <v>256</v>
      </c>
    </row>
    <row r="183" spans="1:13" x14ac:dyDescent="0.25">
      <c r="A183" t="s">
        <v>37</v>
      </c>
      <c r="B183">
        <v>36</v>
      </c>
      <c r="C183" t="s">
        <v>5</v>
      </c>
      <c r="D183" t="s">
        <v>56</v>
      </c>
      <c r="E183" t="s">
        <v>47</v>
      </c>
      <c r="F183" s="4" t="s">
        <v>48</v>
      </c>
      <c r="G183" t="s">
        <v>253</v>
      </c>
      <c r="H183" t="s">
        <v>256</v>
      </c>
      <c r="I183" t="s">
        <v>384</v>
      </c>
      <c r="J183" t="s">
        <v>360</v>
      </c>
      <c r="K183" t="str">
        <f>Tabla14[[#This Row],[id]]&amp;Tabla14[[#This Row],[Resposable]]</f>
        <v>36Bezalel Mendoza</v>
      </c>
      <c r="L183" t="str">
        <f>Tabla14[[#This Row],[id]]&amp;Tabla14[[#This Row],[Resposable]]</f>
        <v>36Bezalel Mendoza</v>
      </c>
      <c r="M183" t="s">
        <v>256</v>
      </c>
    </row>
    <row r="184" spans="1:13" x14ac:dyDescent="0.25">
      <c r="A184" t="s">
        <v>17</v>
      </c>
      <c r="B184">
        <v>55</v>
      </c>
      <c r="C184" t="s">
        <v>5</v>
      </c>
      <c r="D184" t="s">
        <v>46</v>
      </c>
      <c r="E184" t="s">
        <v>47</v>
      </c>
      <c r="F184" s="4" t="s">
        <v>48</v>
      </c>
      <c r="G184" t="s">
        <v>253</v>
      </c>
      <c r="H184" t="s">
        <v>256</v>
      </c>
      <c r="I184" t="s">
        <v>384</v>
      </c>
      <c r="J184" t="s">
        <v>360</v>
      </c>
      <c r="K184" t="str">
        <f>Tabla14[[#This Row],[id]]&amp;Tabla14[[#This Row],[Resposable]]</f>
        <v>55Bezalel Mendoza</v>
      </c>
      <c r="L184" t="str">
        <f>Tabla14[[#This Row],[id]]&amp;Tabla14[[#This Row],[Resposable]]</f>
        <v>55Bezalel Mendoza</v>
      </c>
      <c r="M184" t="s">
        <v>256</v>
      </c>
    </row>
    <row r="185" spans="1:13" x14ac:dyDescent="0.25">
      <c r="A185" t="s">
        <v>17</v>
      </c>
      <c r="B185">
        <v>55</v>
      </c>
      <c r="C185" t="s">
        <v>5</v>
      </c>
      <c r="D185" t="s">
        <v>222</v>
      </c>
      <c r="E185" t="s">
        <v>47</v>
      </c>
      <c r="F185" s="4" t="s">
        <v>48</v>
      </c>
      <c r="G185" t="s">
        <v>253</v>
      </c>
      <c r="H185" t="s">
        <v>256</v>
      </c>
      <c r="I185" t="s">
        <v>384</v>
      </c>
      <c r="J185" t="s">
        <v>360</v>
      </c>
      <c r="K185" t="str">
        <f>Tabla14[[#This Row],[id]]&amp;Tabla14[[#This Row],[Resposable]]</f>
        <v>55Bezalel Mendoza</v>
      </c>
      <c r="L185" t="str">
        <f>Tabla14[[#This Row],[id]]&amp;Tabla14[[#This Row],[Resposable]]</f>
        <v>55Bezalel Mendoza</v>
      </c>
      <c r="M185" t="s">
        <v>256</v>
      </c>
    </row>
    <row r="186" spans="1:13" x14ac:dyDescent="0.25">
      <c r="A186" t="s">
        <v>17</v>
      </c>
      <c r="B186">
        <v>55</v>
      </c>
      <c r="C186" t="s">
        <v>5</v>
      </c>
      <c r="D186" t="s">
        <v>53</v>
      </c>
      <c r="E186" t="s">
        <v>47</v>
      </c>
      <c r="F186" s="4" t="s">
        <v>48</v>
      </c>
      <c r="G186" t="s">
        <v>253</v>
      </c>
      <c r="H186" t="s">
        <v>256</v>
      </c>
      <c r="I186" t="s">
        <v>384</v>
      </c>
      <c r="J186" t="s">
        <v>360</v>
      </c>
      <c r="K186" t="str">
        <f>Tabla14[[#This Row],[id]]&amp;Tabla14[[#This Row],[Resposable]]</f>
        <v>55Bezalel Mendoza</v>
      </c>
      <c r="L186" t="str">
        <f>Tabla14[[#This Row],[id]]&amp;Tabla14[[#This Row],[Resposable]]</f>
        <v>55Bezalel Mendoza</v>
      </c>
      <c r="M186" t="s">
        <v>256</v>
      </c>
    </row>
    <row r="187" spans="1:13" x14ac:dyDescent="0.25">
      <c r="A187" t="s">
        <v>17</v>
      </c>
      <c r="B187">
        <v>55</v>
      </c>
      <c r="C187" t="s">
        <v>5</v>
      </c>
      <c r="D187" t="s">
        <v>217</v>
      </c>
      <c r="E187" t="s">
        <v>47</v>
      </c>
      <c r="F187" s="4" t="s">
        <v>48</v>
      </c>
      <c r="G187" t="s">
        <v>253</v>
      </c>
      <c r="H187" t="s">
        <v>256</v>
      </c>
      <c r="I187" t="s">
        <v>384</v>
      </c>
      <c r="J187" t="s">
        <v>360</v>
      </c>
      <c r="K187" t="str">
        <f>Tabla14[[#This Row],[id]]&amp;Tabla14[[#This Row],[Resposable]]</f>
        <v>55Bezalel Mendoza</v>
      </c>
      <c r="L187" t="str">
        <f>Tabla14[[#This Row],[id]]&amp;Tabla14[[#This Row],[Resposable]]</f>
        <v>55Bezalel Mendoza</v>
      </c>
      <c r="M187" t="s">
        <v>256</v>
      </c>
    </row>
    <row r="188" spans="1:13" x14ac:dyDescent="0.25">
      <c r="A188" t="s">
        <v>17</v>
      </c>
      <c r="B188">
        <v>55</v>
      </c>
      <c r="C188" t="s">
        <v>5</v>
      </c>
      <c r="D188" t="s">
        <v>56</v>
      </c>
      <c r="E188" t="s">
        <v>47</v>
      </c>
      <c r="F188" s="4" t="s">
        <v>48</v>
      </c>
      <c r="G188" t="s">
        <v>253</v>
      </c>
      <c r="H188" t="s">
        <v>256</v>
      </c>
      <c r="I188" t="s">
        <v>384</v>
      </c>
      <c r="J188" t="s">
        <v>360</v>
      </c>
      <c r="K188" t="str">
        <f>Tabla14[[#This Row],[id]]&amp;Tabla14[[#This Row],[Resposable]]</f>
        <v>55Bezalel Mendoza</v>
      </c>
      <c r="L188" t="str">
        <f>Tabla14[[#This Row],[id]]&amp;Tabla14[[#This Row],[Resposable]]</f>
        <v>55Bezalel Mendoza</v>
      </c>
      <c r="M188" t="s">
        <v>256</v>
      </c>
    </row>
    <row r="189" spans="1:13" x14ac:dyDescent="0.25">
      <c r="A189" t="s">
        <v>39</v>
      </c>
      <c r="B189">
        <v>98</v>
      </c>
      <c r="C189" t="s">
        <v>5</v>
      </c>
      <c r="D189" t="s">
        <v>46</v>
      </c>
      <c r="E189" t="s">
        <v>47</v>
      </c>
      <c r="F189" s="4" t="s">
        <v>48</v>
      </c>
      <c r="G189" t="s">
        <v>253</v>
      </c>
      <c r="H189" t="s">
        <v>256</v>
      </c>
      <c r="I189" t="s">
        <v>384</v>
      </c>
      <c r="J189" t="s">
        <v>360</v>
      </c>
      <c r="K189" t="str">
        <f>Tabla14[[#This Row],[id]]&amp;Tabla14[[#This Row],[Resposable]]</f>
        <v>98Bezalel Mendoza</v>
      </c>
      <c r="L189" t="str">
        <f>Tabla14[[#This Row],[id]]&amp;Tabla14[[#This Row],[Resposable]]</f>
        <v>98Bezalel Mendoza</v>
      </c>
      <c r="M189" t="s">
        <v>256</v>
      </c>
    </row>
    <row r="190" spans="1:13" x14ac:dyDescent="0.25">
      <c r="A190" t="s">
        <v>39</v>
      </c>
      <c r="B190">
        <v>98</v>
      </c>
      <c r="C190" t="s">
        <v>5</v>
      </c>
      <c r="D190" t="s">
        <v>53</v>
      </c>
      <c r="E190" t="s">
        <v>47</v>
      </c>
      <c r="F190" s="4" t="s">
        <v>48</v>
      </c>
      <c r="G190" t="s">
        <v>253</v>
      </c>
      <c r="H190" t="s">
        <v>256</v>
      </c>
      <c r="I190" t="s">
        <v>384</v>
      </c>
      <c r="J190" t="s">
        <v>360</v>
      </c>
      <c r="K190" t="str">
        <f>Tabla14[[#This Row],[id]]&amp;Tabla14[[#This Row],[Resposable]]</f>
        <v>98Bezalel Mendoza</v>
      </c>
      <c r="L190" t="str">
        <f>Tabla14[[#This Row],[id]]&amp;Tabla14[[#This Row],[Resposable]]</f>
        <v>98Bezalel Mendoza</v>
      </c>
      <c r="M190" t="s">
        <v>256</v>
      </c>
    </row>
    <row r="191" spans="1:13" x14ac:dyDescent="0.25">
      <c r="A191" t="s">
        <v>39</v>
      </c>
      <c r="B191">
        <v>98</v>
      </c>
      <c r="C191" t="s">
        <v>5</v>
      </c>
      <c r="D191" t="s">
        <v>217</v>
      </c>
      <c r="E191" t="s">
        <v>47</v>
      </c>
      <c r="F191" s="4" t="s">
        <v>48</v>
      </c>
      <c r="G191" t="s">
        <v>253</v>
      </c>
      <c r="H191" t="s">
        <v>256</v>
      </c>
      <c r="I191" t="s">
        <v>384</v>
      </c>
      <c r="J191" t="s">
        <v>360</v>
      </c>
      <c r="K191" t="str">
        <f>Tabla14[[#This Row],[id]]&amp;Tabla14[[#This Row],[Resposable]]</f>
        <v>98Bezalel Mendoza</v>
      </c>
      <c r="L191" t="str">
        <f>Tabla14[[#This Row],[id]]&amp;Tabla14[[#This Row],[Resposable]]</f>
        <v>98Bezalel Mendoza</v>
      </c>
      <c r="M191" t="s">
        <v>256</v>
      </c>
    </row>
    <row r="192" spans="1:13" x14ac:dyDescent="0.25">
      <c r="A192" t="s">
        <v>39</v>
      </c>
      <c r="B192">
        <v>98</v>
      </c>
      <c r="C192" t="s">
        <v>5</v>
      </c>
      <c r="D192" t="s">
        <v>56</v>
      </c>
      <c r="E192" t="s">
        <v>47</v>
      </c>
      <c r="F192" s="4" t="s">
        <v>48</v>
      </c>
      <c r="G192" t="s">
        <v>253</v>
      </c>
      <c r="H192" t="s">
        <v>256</v>
      </c>
      <c r="I192" t="s">
        <v>384</v>
      </c>
      <c r="J192" t="s">
        <v>360</v>
      </c>
      <c r="K192" t="str">
        <f>Tabla14[[#This Row],[id]]&amp;Tabla14[[#This Row],[Resposable]]</f>
        <v>98Bezalel Mendoza</v>
      </c>
      <c r="L192" t="str">
        <f>Tabla14[[#This Row],[id]]&amp;Tabla14[[#This Row],[Resposable]]</f>
        <v>98Bezalel Mendoza</v>
      </c>
      <c r="M192" t="s">
        <v>256</v>
      </c>
    </row>
    <row r="193" spans="1:13" x14ac:dyDescent="0.25">
      <c r="A193" s="18" t="s">
        <v>35</v>
      </c>
      <c r="B193" s="18">
        <v>145</v>
      </c>
      <c r="C193" s="18" t="s">
        <v>5</v>
      </c>
      <c r="D193" s="18" t="s">
        <v>46</v>
      </c>
      <c r="E193" s="18" t="s">
        <v>47</v>
      </c>
      <c r="F193" s="19" t="s">
        <v>48</v>
      </c>
      <c r="G193" s="18" t="s">
        <v>253</v>
      </c>
      <c r="H193" t="s">
        <v>256</v>
      </c>
      <c r="I193" t="s">
        <v>384</v>
      </c>
      <c r="J193" t="s">
        <v>360</v>
      </c>
      <c r="K193" t="str">
        <f>Tabla14[[#This Row],[id]]&amp;Tabla14[[#This Row],[Resposable]]</f>
        <v>145Bezalel Mendoza</v>
      </c>
      <c r="L193" t="str">
        <f>Tabla14[[#This Row],[id]]&amp;Tabla14[[#This Row],[Resposable]]</f>
        <v>145Bezalel Mendoza</v>
      </c>
      <c r="M193" t="s">
        <v>256</v>
      </c>
    </row>
    <row r="194" spans="1:13" x14ac:dyDescent="0.25">
      <c r="A194" s="18" t="s">
        <v>35</v>
      </c>
      <c r="B194" s="18">
        <v>145</v>
      </c>
      <c r="C194" s="18" t="s">
        <v>5</v>
      </c>
      <c r="D194" s="18" t="s">
        <v>53</v>
      </c>
      <c r="E194" s="18" t="s">
        <v>47</v>
      </c>
      <c r="F194" s="19" t="s">
        <v>48</v>
      </c>
      <c r="G194" s="18" t="s">
        <v>253</v>
      </c>
      <c r="H194" t="s">
        <v>256</v>
      </c>
      <c r="I194" t="s">
        <v>384</v>
      </c>
      <c r="J194" t="s">
        <v>360</v>
      </c>
      <c r="K194" t="str">
        <f>Tabla14[[#This Row],[id]]&amp;Tabla14[[#This Row],[Resposable]]</f>
        <v>145Bezalel Mendoza</v>
      </c>
      <c r="L194" t="str">
        <f>Tabla14[[#This Row],[id]]&amp;Tabla14[[#This Row],[Resposable]]</f>
        <v>145Bezalel Mendoza</v>
      </c>
      <c r="M194" t="s">
        <v>256</v>
      </c>
    </row>
    <row r="195" spans="1:13" x14ac:dyDescent="0.25">
      <c r="A195" s="18" t="s">
        <v>35</v>
      </c>
      <c r="B195" s="18">
        <v>145</v>
      </c>
      <c r="C195" s="18" t="s">
        <v>5</v>
      </c>
      <c r="D195" s="18" t="s">
        <v>217</v>
      </c>
      <c r="E195" s="18" t="s">
        <v>47</v>
      </c>
      <c r="F195" s="19" t="s">
        <v>48</v>
      </c>
      <c r="G195" s="18" t="s">
        <v>253</v>
      </c>
      <c r="H195" t="s">
        <v>256</v>
      </c>
      <c r="I195" t="s">
        <v>384</v>
      </c>
      <c r="J195" t="s">
        <v>360</v>
      </c>
      <c r="K195" t="str">
        <f>Tabla14[[#This Row],[id]]&amp;Tabla14[[#This Row],[Resposable]]</f>
        <v>145Bezalel Mendoza</v>
      </c>
      <c r="L195" t="str">
        <f>Tabla14[[#This Row],[id]]&amp;Tabla14[[#This Row],[Resposable]]</f>
        <v>145Bezalel Mendoza</v>
      </c>
      <c r="M195" t="s">
        <v>256</v>
      </c>
    </row>
    <row r="196" spans="1:13" x14ac:dyDescent="0.25">
      <c r="A196" s="18" t="s">
        <v>35</v>
      </c>
      <c r="B196" s="18">
        <v>145</v>
      </c>
      <c r="C196" s="18" t="s">
        <v>5</v>
      </c>
      <c r="D196" s="18" t="s">
        <v>56</v>
      </c>
      <c r="E196" s="18" t="s">
        <v>47</v>
      </c>
      <c r="F196" s="19" t="s">
        <v>48</v>
      </c>
      <c r="G196" s="18" t="s">
        <v>253</v>
      </c>
      <c r="H196" t="s">
        <v>256</v>
      </c>
      <c r="I196" t="s">
        <v>384</v>
      </c>
      <c r="J196" t="s">
        <v>360</v>
      </c>
      <c r="K196" t="str">
        <f>Tabla14[[#This Row],[id]]&amp;Tabla14[[#This Row],[Resposable]]</f>
        <v>145Bezalel Mendoza</v>
      </c>
      <c r="L196" t="str">
        <f>Tabla14[[#This Row],[id]]&amp;Tabla14[[#This Row],[Resposable]]</f>
        <v>145Bezalel Mendoza</v>
      </c>
      <c r="M196" t="s">
        <v>256</v>
      </c>
    </row>
    <row r="197" spans="1:13" x14ac:dyDescent="0.25">
      <c r="A197" t="s">
        <v>326</v>
      </c>
      <c r="B197">
        <v>20</v>
      </c>
      <c r="C197" t="s">
        <v>260</v>
      </c>
      <c r="D197" t="s">
        <v>279</v>
      </c>
      <c r="E197" t="s">
        <v>290</v>
      </c>
      <c r="F197" s="4" t="s">
        <v>77</v>
      </c>
      <c r="G197" t="s">
        <v>257</v>
      </c>
      <c r="H197" t="s">
        <v>325</v>
      </c>
      <c r="I197" t="s">
        <v>384</v>
      </c>
      <c r="J197" t="s">
        <v>373</v>
      </c>
      <c r="K197" t="str">
        <f>Tabla14[[#This Row],[id]]&amp;Tabla14[[#This Row],[Resposable]]</f>
        <v>20Bezalel Mendoza</v>
      </c>
      <c r="L197" t="str">
        <f>Tabla14[[#This Row],[id]]&amp;Tabla14[[#This Row],[Resposable]]</f>
        <v>20Bezalel Mendoza</v>
      </c>
      <c r="M197" t="s">
        <v>325</v>
      </c>
    </row>
    <row r="198" spans="1:13" x14ac:dyDescent="0.25">
      <c r="A198" t="s">
        <v>326</v>
      </c>
      <c r="B198">
        <v>20</v>
      </c>
      <c r="C198" t="s">
        <v>260</v>
      </c>
      <c r="D198" t="s">
        <v>56</v>
      </c>
      <c r="E198" t="s">
        <v>47</v>
      </c>
      <c r="F198" s="4" t="s">
        <v>77</v>
      </c>
      <c r="G198" t="s">
        <v>257</v>
      </c>
      <c r="H198" t="s">
        <v>325</v>
      </c>
      <c r="I198" t="s">
        <v>384</v>
      </c>
      <c r="J198" t="s">
        <v>373</v>
      </c>
      <c r="K198" t="str">
        <f>Tabla14[[#This Row],[id]]&amp;Tabla14[[#This Row],[Resposable]]</f>
        <v>20Bezalel Mendoza</v>
      </c>
      <c r="L198" t="str">
        <f>Tabla14[[#This Row],[id]]&amp;Tabla14[[#This Row],[Resposable]]</f>
        <v>20Bezalel Mendoza</v>
      </c>
      <c r="M198" t="s">
        <v>325</v>
      </c>
    </row>
    <row r="199" spans="1:13" x14ac:dyDescent="0.25">
      <c r="A199" t="s">
        <v>327</v>
      </c>
      <c r="B199">
        <v>21</v>
      </c>
      <c r="C199" t="s">
        <v>260</v>
      </c>
      <c r="D199" t="s">
        <v>279</v>
      </c>
      <c r="E199" t="s">
        <v>290</v>
      </c>
      <c r="F199" s="4" t="s">
        <v>77</v>
      </c>
      <c r="G199" t="s">
        <v>257</v>
      </c>
      <c r="H199" t="s">
        <v>325</v>
      </c>
      <c r="I199" t="s">
        <v>384</v>
      </c>
      <c r="J199" t="s">
        <v>373</v>
      </c>
      <c r="K199" t="str">
        <f>Tabla14[[#This Row],[id]]&amp;Tabla14[[#This Row],[Resposable]]</f>
        <v>21Bezalel Mendoza</v>
      </c>
      <c r="L199" t="str">
        <f>Tabla14[[#This Row],[id]]&amp;Tabla14[[#This Row],[Resposable]]</f>
        <v>21Bezalel Mendoza</v>
      </c>
      <c r="M199" t="s">
        <v>325</v>
      </c>
    </row>
    <row r="200" spans="1:13" x14ac:dyDescent="0.25">
      <c r="A200" t="s">
        <v>327</v>
      </c>
      <c r="B200">
        <v>21</v>
      </c>
      <c r="C200" t="s">
        <v>260</v>
      </c>
      <c r="D200" t="s">
        <v>56</v>
      </c>
      <c r="E200" t="s">
        <v>47</v>
      </c>
      <c r="F200" s="4" t="s">
        <v>77</v>
      </c>
      <c r="G200" t="s">
        <v>257</v>
      </c>
      <c r="H200" t="s">
        <v>325</v>
      </c>
      <c r="I200" t="s">
        <v>384</v>
      </c>
      <c r="J200" t="s">
        <v>373</v>
      </c>
      <c r="K200" t="str">
        <f>Tabla14[[#This Row],[id]]&amp;Tabla14[[#This Row],[Resposable]]</f>
        <v>21Bezalel Mendoza</v>
      </c>
      <c r="L200" t="str">
        <f>Tabla14[[#This Row],[id]]&amp;Tabla14[[#This Row],[Resposable]]</f>
        <v>21Bezalel Mendoza</v>
      </c>
      <c r="M200" t="s">
        <v>325</v>
      </c>
    </row>
    <row r="201" spans="1:13" x14ac:dyDescent="0.25">
      <c r="A201" t="s">
        <v>22</v>
      </c>
      <c r="B201">
        <v>204</v>
      </c>
      <c r="C201" t="s">
        <v>5</v>
      </c>
      <c r="D201" t="s">
        <v>46</v>
      </c>
      <c r="E201" t="s">
        <v>47</v>
      </c>
      <c r="F201" t="s">
        <v>48</v>
      </c>
      <c r="G201" t="s">
        <v>239</v>
      </c>
      <c r="H201" t="s">
        <v>378</v>
      </c>
      <c r="I201" t="s">
        <v>384</v>
      </c>
      <c r="J201" t="s">
        <v>360</v>
      </c>
      <c r="K201" t="str">
        <f>Tabla14[[#This Row],[id]]&amp;Tabla14[[#This Row],[Resposable]]</f>
        <v>204Bezalel Mendoza</v>
      </c>
      <c r="L201" t="str">
        <f>Tabla14[[#This Row],[id]]&amp;Tabla14[[#This Row],[Resposable]]</f>
        <v>204Bezalel Mendoza</v>
      </c>
      <c r="M201" t="s">
        <v>378</v>
      </c>
    </row>
    <row r="202" spans="1:13" x14ac:dyDescent="0.25">
      <c r="A202" t="s">
        <v>22</v>
      </c>
      <c r="B202">
        <v>204</v>
      </c>
      <c r="C202" t="s">
        <v>7</v>
      </c>
      <c r="D202" t="s">
        <v>98</v>
      </c>
      <c r="E202" t="s">
        <v>47</v>
      </c>
      <c r="F202" t="s">
        <v>48</v>
      </c>
      <c r="G202" t="s">
        <v>239</v>
      </c>
      <c r="H202" t="s">
        <v>378</v>
      </c>
      <c r="I202" t="s">
        <v>384</v>
      </c>
      <c r="J202" t="s">
        <v>360</v>
      </c>
      <c r="K202" t="str">
        <f>Tabla14[[#This Row],[id]]&amp;Tabla14[[#This Row],[Resposable]]</f>
        <v>204Bezalel Mendoza</v>
      </c>
      <c r="L202" t="str">
        <f>Tabla14[[#This Row],[id]]&amp;Tabla14[[#This Row],[Resposable]]</f>
        <v>204Bezalel Mendoza</v>
      </c>
      <c r="M202" t="s">
        <v>378</v>
      </c>
    </row>
    <row r="203" spans="1:13" x14ac:dyDescent="0.25">
      <c r="A203" t="s">
        <v>22</v>
      </c>
      <c r="B203">
        <v>204</v>
      </c>
      <c r="C203" t="s">
        <v>5</v>
      </c>
      <c r="D203" t="s">
        <v>52</v>
      </c>
      <c r="E203" t="s">
        <v>47</v>
      </c>
      <c r="F203" t="s">
        <v>48</v>
      </c>
      <c r="G203" t="s">
        <v>239</v>
      </c>
      <c r="H203" t="s">
        <v>378</v>
      </c>
      <c r="I203" t="s">
        <v>384</v>
      </c>
      <c r="J203" t="s">
        <v>360</v>
      </c>
      <c r="K203" t="str">
        <f>Tabla14[[#This Row],[id]]&amp;Tabla14[[#This Row],[Resposable]]</f>
        <v>204Bezalel Mendoza</v>
      </c>
      <c r="L203" t="str">
        <f>Tabla14[[#This Row],[id]]&amp;Tabla14[[#This Row],[Resposable]]</f>
        <v>204Bezalel Mendoza</v>
      </c>
      <c r="M203" t="s">
        <v>378</v>
      </c>
    </row>
    <row r="204" spans="1:13" x14ac:dyDescent="0.25">
      <c r="A204" t="s">
        <v>22</v>
      </c>
      <c r="B204">
        <v>204</v>
      </c>
      <c r="C204" t="s">
        <v>5</v>
      </c>
      <c r="D204" t="s">
        <v>53</v>
      </c>
      <c r="E204" t="s">
        <v>54</v>
      </c>
      <c r="F204" t="s">
        <v>48</v>
      </c>
      <c r="G204" t="s">
        <v>239</v>
      </c>
      <c r="H204" t="s">
        <v>378</v>
      </c>
      <c r="I204" t="s">
        <v>384</v>
      </c>
      <c r="J204" t="s">
        <v>360</v>
      </c>
      <c r="K204" t="str">
        <f>Tabla14[[#This Row],[id]]&amp;Tabla14[[#This Row],[Resposable]]</f>
        <v>204Bezalel Mendoza</v>
      </c>
      <c r="L204" t="str">
        <f>Tabla14[[#This Row],[id]]&amp;Tabla14[[#This Row],[Resposable]]</f>
        <v>204Bezalel Mendoza</v>
      </c>
      <c r="M204" t="s">
        <v>378</v>
      </c>
    </row>
    <row r="205" spans="1:13" x14ac:dyDescent="0.25">
      <c r="A205" t="s">
        <v>22</v>
      </c>
      <c r="B205">
        <v>204</v>
      </c>
      <c r="C205" t="s">
        <v>5</v>
      </c>
      <c r="D205" t="s">
        <v>56</v>
      </c>
      <c r="E205" t="s">
        <v>47</v>
      </c>
      <c r="F205" t="s">
        <v>48</v>
      </c>
      <c r="G205" t="s">
        <v>239</v>
      </c>
      <c r="H205" t="s">
        <v>378</v>
      </c>
      <c r="I205" t="s">
        <v>384</v>
      </c>
      <c r="J205" t="s">
        <v>360</v>
      </c>
      <c r="K205" t="str">
        <f>Tabla14[[#This Row],[id]]&amp;Tabla14[[#This Row],[Resposable]]</f>
        <v>204Bezalel Mendoza</v>
      </c>
      <c r="L205" t="str">
        <f>Tabla14[[#This Row],[id]]&amp;Tabla14[[#This Row],[Resposable]]</f>
        <v>204Bezalel Mendoza</v>
      </c>
      <c r="M205" t="s">
        <v>378</v>
      </c>
    </row>
    <row r="206" spans="1:13" x14ac:dyDescent="0.25">
      <c r="A206" t="s">
        <v>11</v>
      </c>
      <c r="B206">
        <v>203</v>
      </c>
      <c r="C206" t="s">
        <v>5</v>
      </c>
      <c r="D206" t="s">
        <v>46</v>
      </c>
      <c r="E206" t="s">
        <v>47</v>
      </c>
      <c r="F206" s="4" t="s">
        <v>48</v>
      </c>
      <c r="G206" t="s">
        <v>239</v>
      </c>
      <c r="H206" t="s">
        <v>378</v>
      </c>
      <c r="I206" t="s">
        <v>384</v>
      </c>
      <c r="J206" t="s">
        <v>360</v>
      </c>
      <c r="K206" t="str">
        <f>Tabla14[[#This Row],[id]]&amp;Tabla14[[#This Row],[Resposable]]</f>
        <v>203Bezalel Mendoza</v>
      </c>
      <c r="L206" t="str">
        <f>Tabla14[[#This Row],[id]]&amp;Tabla14[[#This Row],[Resposable]]</f>
        <v>203Bezalel Mendoza</v>
      </c>
      <c r="M206" t="s">
        <v>378</v>
      </c>
    </row>
    <row r="207" spans="1:13" x14ac:dyDescent="0.25">
      <c r="A207" t="s">
        <v>11</v>
      </c>
      <c r="B207">
        <v>203</v>
      </c>
      <c r="C207" t="s">
        <v>5</v>
      </c>
      <c r="D207" t="s">
        <v>52</v>
      </c>
      <c r="E207" t="s">
        <v>47</v>
      </c>
      <c r="F207" s="4" t="s">
        <v>48</v>
      </c>
      <c r="G207" t="s">
        <v>239</v>
      </c>
      <c r="H207" t="s">
        <v>378</v>
      </c>
      <c r="I207" t="s">
        <v>384</v>
      </c>
      <c r="J207" t="s">
        <v>360</v>
      </c>
      <c r="K207" t="str">
        <f>Tabla14[[#This Row],[id]]&amp;Tabla14[[#This Row],[Resposable]]</f>
        <v>203Bezalel Mendoza</v>
      </c>
      <c r="L207" t="str">
        <f>Tabla14[[#This Row],[id]]&amp;Tabla14[[#This Row],[Resposable]]</f>
        <v>203Bezalel Mendoza</v>
      </c>
      <c r="M207" t="s">
        <v>378</v>
      </c>
    </row>
    <row r="208" spans="1:13" x14ac:dyDescent="0.25">
      <c r="A208" t="s">
        <v>11</v>
      </c>
      <c r="B208">
        <v>203</v>
      </c>
      <c r="C208" t="s">
        <v>5</v>
      </c>
      <c r="D208" t="s">
        <v>53</v>
      </c>
      <c r="E208" t="s">
        <v>54</v>
      </c>
      <c r="F208" s="4" t="s">
        <v>48</v>
      </c>
      <c r="G208" t="s">
        <v>239</v>
      </c>
      <c r="H208" t="s">
        <v>378</v>
      </c>
      <c r="I208" t="s">
        <v>384</v>
      </c>
      <c r="J208" t="s">
        <v>360</v>
      </c>
      <c r="K208" t="str">
        <f>Tabla14[[#This Row],[id]]&amp;Tabla14[[#This Row],[Resposable]]</f>
        <v>203Bezalel Mendoza</v>
      </c>
      <c r="L208" t="str">
        <f>Tabla14[[#This Row],[id]]&amp;Tabla14[[#This Row],[Resposable]]</f>
        <v>203Bezalel Mendoza</v>
      </c>
      <c r="M208" t="s">
        <v>378</v>
      </c>
    </row>
    <row r="209" spans="1:13" x14ac:dyDescent="0.25">
      <c r="A209" t="s">
        <v>11</v>
      </c>
      <c r="B209">
        <v>203</v>
      </c>
      <c r="C209" t="s">
        <v>5</v>
      </c>
      <c r="D209" t="s">
        <v>64</v>
      </c>
      <c r="E209" t="s">
        <v>47</v>
      </c>
      <c r="F209" s="4" t="s">
        <v>48</v>
      </c>
      <c r="G209" t="s">
        <v>239</v>
      </c>
      <c r="H209" t="s">
        <v>378</v>
      </c>
      <c r="I209" t="s">
        <v>384</v>
      </c>
      <c r="J209" t="s">
        <v>360</v>
      </c>
      <c r="K209" t="str">
        <f>Tabla14[[#This Row],[id]]&amp;Tabla14[[#This Row],[Resposable]]</f>
        <v>203Bezalel Mendoza</v>
      </c>
      <c r="L209" t="str">
        <f>Tabla14[[#This Row],[id]]&amp;Tabla14[[#This Row],[Resposable]]</f>
        <v>203Bezalel Mendoza</v>
      </c>
      <c r="M209" t="s">
        <v>378</v>
      </c>
    </row>
    <row r="210" spans="1:13" x14ac:dyDescent="0.25">
      <c r="A210" t="s">
        <v>12</v>
      </c>
      <c r="B210">
        <v>207</v>
      </c>
      <c r="C210" t="s">
        <v>5</v>
      </c>
      <c r="D210" t="s">
        <v>46</v>
      </c>
      <c r="E210" t="s">
        <v>47</v>
      </c>
      <c r="F210" s="4" t="s">
        <v>48</v>
      </c>
      <c r="G210" t="s">
        <v>239</v>
      </c>
      <c r="H210" t="s">
        <v>297</v>
      </c>
      <c r="I210" t="s">
        <v>384</v>
      </c>
      <c r="J210" t="s">
        <v>360</v>
      </c>
      <c r="K210" t="str">
        <f>Tabla14[[#This Row],[id]]&amp;Tabla14[[#This Row],[Resposable]]</f>
        <v>207Bezalel Mendoza</v>
      </c>
      <c r="L210" t="str">
        <f>Tabla14[[#This Row],[id]]&amp;Tabla14[[#This Row],[Resposable]]</f>
        <v>207Bezalel Mendoza</v>
      </c>
      <c r="M210" t="s">
        <v>297</v>
      </c>
    </row>
    <row r="211" spans="1:13" x14ac:dyDescent="0.25">
      <c r="A211" t="s">
        <v>12</v>
      </c>
      <c r="B211">
        <v>207</v>
      </c>
      <c r="C211" t="s">
        <v>7</v>
      </c>
      <c r="D211" t="s">
        <v>52</v>
      </c>
      <c r="E211" t="s">
        <v>47</v>
      </c>
      <c r="F211" s="4" t="s">
        <v>48</v>
      </c>
      <c r="G211" t="s">
        <v>239</v>
      </c>
      <c r="H211" t="s">
        <v>297</v>
      </c>
      <c r="I211" t="s">
        <v>384</v>
      </c>
      <c r="J211" t="s">
        <v>360</v>
      </c>
      <c r="K211" t="str">
        <f>Tabla14[[#This Row],[id]]&amp;Tabla14[[#This Row],[Resposable]]</f>
        <v>207Bezalel Mendoza</v>
      </c>
      <c r="L211" t="str">
        <f>Tabla14[[#This Row],[id]]&amp;Tabla14[[#This Row],[Resposable]]</f>
        <v>207Bezalel Mendoza</v>
      </c>
      <c r="M211" t="s">
        <v>297</v>
      </c>
    </row>
    <row r="212" spans="1:13" x14ac:dyDescent="0.25">
      <c r="A212" t="s">
        <v>12</v>
      </c>
      <c r="B212">
        <v>207</v>
      </c>
      <c r="C212" t="s">
        <v>7</v>
      </c>
      <c r="D212" t="s">
        <v>53</v>
      </c>
      <c r="E212" t="s">
        <v>54</v>
      </c>
      <c r="F212" s="4" t="s">
        <v>48</v>
      </c>
      <c r="G212" t="s">
        <v>239</v>
      </c>
      <c r="H212" t="s">
        <v>297</v>
      </c>
      <c r="I212" t="s">
        <v>384</v>
      </c>
      <c r="J212" t="s">
        <v>360</v>
      </c>
      <c r="K212" t="str">
        <f>Tabla14[[#This Row],[id]]&amp;Tabla14[[#This Row],[Resposable]]</f>
        <v>207Bezalel Mendoza</v>
      </c>
      <c r="L212" t="str">
        <f>Tabla14[[#This Row],[id]]&amp;Tabla14[[#This Row],[Resposable]]</f>
        <v>207Bezalel Mendoza</v>
      </c>
      <c r="M212" t="s">
        <v>297</v>
      </c>
    </row>
    <row r="213" spans="1:13" x14ac:dyDescent="0.25">
      <c r="A213" t="s">
        <v>12</v>
      </c>
      <c r="B213">
        <v>207</v>
      </c>
      <c r="C213" t="s">
        <v>9</v>
      </c>
      <c r="D213" t="s">
        <v>64</v>
      </c>
      <c r="E213" t="s">
        <v>47</v>
      </c>
      <c r="F213" s="4" t="s">
        <v>48</v>
      </c>
      <c r="G213" t="s">
        <v>239</v>
      </c>
      <c r="H213" t="s">
        <v>297</v>
      </c>
      <c r="I213" t="s">
        <v>384</v>
      </c>
      <c r="J213" t="s">
        <v>360</v>
      </c>
      <c r="K213" t="str">
        <f>Tabla14[[#This Row],[id]]&amp;Tabla14[[#This Row],[Resposable]]</f>
        <v>207Bezalel Mendoza</v>
      </c>
      <c r="L213" t="str">
        <f>Tabla14[[#This Row],[id]]&amp;Tabla14[[#This Row],[Resposable]]</f>
        <v>207Bezalel Mendoza</v>
      </c>
      <c r="M213" t="s">
        <v>297</v>
      </c>
    </row>
    <row r="214" spans="1:13" x14ac:dyDescent="0.25">
      <c r="A214" t="s">
        <v>23</v>
      </c>
      <c r="B214">
        <v>205</v>
      </c>
      <c r="C214" t="s">
        <v>7</v>
      </c>
      <c r="D214" t="s">
        <v>46</v>
      </c>
      <c r="E214" t="s">
        <v>47</v>
      </c>
      <c r="F214" t="s">
        <v>48</v>
      </c>
      <c r="G214" t="s">
        <v>239</v>
      </c>
      <c r="H214" t="s">
        <v>297</v>
      </c>
      <c r="I214" t="s">
        <v>384</v>
      </c>
      <c r="J214" t="s">
        <v>360</v>
      </c>
      <c r="K214" t="str">
        <f>Tabla14[[#This Row],[id]]&amp;Tabla14[[#This Row],[Resposable]]</f>
        <v>205Bezalel Mendoza</v>
      </c>
      <c r="L214" t="str">
        <f>Tabla14[[#This Row],[id]]&amp;Tabla14[[#This Row],[Resposable]]</f>
        <v>205Bezalel Mendoza</v>
      </c>
      <c r="M214" t="s">
        <v>297</v>
      </c>
    </row>
    <row r="215" spans="1:13" x14ac:dyDescent="0.25">
      <c r="A215" t="s">
        <v>23</v>
      </c>
      <c r="B215">
        <v>205</v>
      </c>
      <c r="C215" t="s">
        <v>7</v>
      </c>
      <c r="D215" t="s">
        <v>105</v>
      </c>
      <c r="E215" t="s">
        <v>47</v>
      </c>
      <c r="F215" t="s">
        <v>58</v>
      </c>
      <c r="G215" t="s">
        <v>239</v>
      </c>
      <c r="H215" t="s">
        <v>297</v>
      </c>
      <c r="I215" t="s">
        <v>384</v>
      </c>
      <c r="J215" t="s">
        <v>360</v>
      </c>
      <c r="K215" t="str">
        <f>Tabla14[[#This Row],[id]]&amp;Tabla14[[#This Row],[Resposable]]</f>
        <v>205Bezalel Mendoza</v>
      </c>
      <c r="L215" t="str">
        <f>Tabla14[[#This Row],[id]]&amp;Tabla14[[#This Row],[Resposable]]</f>
        <v>205Bezalel Mendoza</v>
      </c>
      <c r="M215" t="s">
        <v>297</v>
      </c>
    </row>
    <row r="216" spans="1:13" x14ac:dyDescent="0.25">
      <c r="A216" t="s">
        <v>23</v>
      </c>
      <c r="B216">
        <v>205</v>
      </c>
      <c r="C216" t="s">
        <v>7</v>
      </c>
      <c r="D216" t="s">
        <v>52</v>
      </c>
      <c r="E216" t="s">
        <v>47</v>
      </c>
      <c r="F216" t="s">
        <v>48</v>
      </c>
      <c r="G216" t="s">
        <v>239</v>
      </c>
      <c r="H216" t="s">
        <v>297</v>
      </c>
      <c r="I216" t="s">
        <v>384</v>
      </c>
      <c r="J216" t="s">
        <v>360</v>
      </c>
      <c r="K216" t="str">
        <f>Tabla14[[#This Row],[id]]&amp;Tabla14[[#This Row],[Resposable]]</f>
        <v>205Bezalel Mendoza</v>
      </c>
      <c r="L216" t="str">
        <f>Tabla14[[#This Row],[id]]&amp;Tabla14[[#This Row],[Resposable]]</f>
        <v>205Bezalel Mendoza</v>
      </c>
      <c r="M216" t="s">
        <v>297</v>
      </c>
    </row>
    <row r="217" spans="1:13" x14ac:dyDescent="0.25">
      <c r="A217" t="s">
        <v>23</v>
      </c>
      <c r="B217">
        <v>205</v>
      </c>
      <c r="C217" t="s">
        <v>7</v>
      </c>
      <c r="D217" t="s">
        <v>53</v>
      </c>
      <c r="E217" t="s">
        <v>54</v>
      </c>
      <c r="F217" t="s">
        <v>48</v>
      </c>
      <c r="G217" t="s">
        <v>239</v>
      </c>
      <c r="H217" t="s">
        <v>297</v>
      </c>
      <c r="I217" t="s">
        <v>384</v>
      </c>
      <c r="J217" t="s">
        <v>360</v>
      </c>
      <c r="K217" t="str">
        <f>Tabla14[[#This Row],[id]]&amp;Tabla14[[#This Row],[Resposable]]</f>
        <v>205Bezalel Mendoza</v>
      </c>
      <c r="L217" t="str">
        <f>Tabla14[[#This Row],[id]]&amp;Tabla14[[#This Row],[Resposable]]</f>
        <v>205Bezalel Mendoza</v>
      </c>
      <c r="M217" t="s">
        <v>297</v>
      </c>
    </row>
    <row r="218" spans="1:13" x14ac:dyDescent="0.25">
      <c r="A218" t="s">
        <v>23</v>
      </c>
      <c r="B218">
        <v>205</v>
      </c>
      <c r="C218" t="s">
        <v>9</v>
      </c>
      <c r="D218" t="s">
        <v>64</v>
      </c>
      <c r="E218" t="s">
        <v>47</v>
      </c>
      <c r="F218" t="s">
        <v>48</v>
      </c>
      <c r="G218" t="s">
        <v>239</v>
      </c>
      <c r="H218" t="s">
        <v>297</v>
      </c>
      <c r="I218" t="s">
        <v>384</v>
      </c>
      <c r="J218" t="s">
        <v>360</v>
      </c>
      <c r="K218" t="str">
        <f>Tabla14[[#This Row],[id]]&amp;Tabla14[[#This Row],[Resposable]]</f>
        <v>205Bezalel Mendoza</v>
      </c>
      <c r="L218" t="str">
        <f>Tabla14[[#This Row],[id]]&amp;Tabla14[[#This Row],[Resposable]]</f>
        <v>205Bezalel Mendoza</v>
      </c>
      <c r="M218" t="s">
        <v>297</v>
      </c>
    </row>
    <row r="219" spans="1:13" x14ac:dyDescent="0.25">
      <c r="A219" t="s">
        <v>245</v>
      </c>
      <c r="B219">
        <v>5</v>
      </c>
      <c r="C219" t="s">
        <v>5</v>
      </c>
      <c r="D219" t="s">
        <v>46</v>
      </c>
      <c r="E219" t="s">
        <v>47</v>
      </c>
      <c r="F219" s="4" t="s">
        <v>48</v>
      </c>
      <c r="G219" t="s">
        <v>239</v>
      </c>
      <c r="H219" t="s">
        <v>299</v>
      </c>
      <c r="I219" t="s">
        <v>384</v>
      </c>
      <c r="J219" t="s">
        <v>360</v>
      </c>
      <c r="K219" t="str">
        <f>Tabla14[[#This Row],[id]]&amp;Tabla14[[#This Row],[Resposable]]</f>
        <v>5Bezalel Mendoza</v>
      </c>
      <c r="L219" t="str">
        <f>Tabla14[[#This Row],[id]]&amp;Tabla14[[#This Row],[Resposable]]</f>
        <v>5Bezalel Mendoza</v>
      </c>
      <c r="M219" t="s">
        <v>299</v>
      </c>
    </row>
    <row r="220" spans="1:13" x14ac:dyDescent="0.25">
      <c r="A220" t="s">
        <v>245</v>
      </c>
      <c r="B220">
        <v>5</v>
      </c>
      <c r="C220" t="s">
        <v>5</v>
      </c>
      <c r="D220" t="s">
        <v>52</v>
      </c>
      <c r="E220" t="s">
        <v>47</v>
      </c>
      <c r="F220" s="4" t="s">
        <v>48</v>
      </c>
      <c r="G220" t="s">
        <v>239</v>
      </c>
      <c r="H220" t="s">
        <v>299</v>
      </c>
      <c r="I220" t="s">
        <v>384</v>
      </c>
      <c r="J220" t="s">
        <v>365</v>
      </c>
      <c r="K220" t="str">
        <f>Tabla14[[#This Row],[id]]&amp;Tabla14[[#This Row],[Resposable]]</f>
        <v>5Bezalel Mendoza</v>
      </c>
      <c r="L220" t="str">
        <f>Tabla14[[#This Row],[id]]&amp;Tabla14[[#This Row],[Resposable]]</f>
        <v>5Bezalel Mendoza</v>
      </c>
      <c r="M220" t="s">
        <v>299</v>
      </c>
    </row>
    <row r="221" spans="1:13" x14ac:dyDescent="0.25">
      <c r="A221" t="s">
        <v>245</v>
      </c>
      <c r="B221">
        <v>5</v>
      </c>
      <c r="C221" t="s">
        <v>5</v>
      </c>
      <c r="D221" t="s">
        <v>53</v>
      </c>
      <c r="E221" t="s">
        <v>54</v>
      </c>
      <c r="F221" s="4" t="s">
        <v>48</v>
      </c>
      <c r="G221" t="s">
        <v>239</v>
      </c>
      <c r="H221" t="s">
        <v>299</v>
      </c>
      <c r="I221" t="s">
        <v>384</v>
      </c>
      <c r="J221" t="s">
        <v>365</v>
      </c>
      <c r="K221" t="str">
        <f>Tabla14[[#This Row],[id]]&amp;Tabla14[[#This Row],[Resposable]]</f>
        <v>5Bezalel Mendoza</v>
      </c>
      <c r="L221" t="str">
        <f>Tabla14[[#This Row],[id]]&amp;Tabla14[[#This Row],[Resposable]]</f>
        <v>5Bezalel Mendoza</v>
      </c>
      <c r="M221" t="s">
        <v>299</v>
      </c>
    </row>
    <row r="222" spans="1:13" x14ac:dyDescent="0.25">
      <c r="A222" t="s">
        <v>245</v>
      </c>
      <c r="B222">
        <v>5</v>
      </c>
      <c r="C222" t="s">
        <v>5</v>
      </c>
      <c r="D222" t="s">
        <v>56</v>
      </c>
      <c r="E222" t="s">
        <v>47</v>
      </c>
      <c r="F222" s="4" t="s">
        <v>48</v>
      </c>
      <c r="G222" t="s">
        <v>239</v>
      </c>
      <c r="H222" t="s">
        <v>299</v>
      </c>
      <c r="I222" t="s">
        <v>384</v>
      </c>
      <c r="J222" t="s">
        <v>360</v>
      </c>
      <c r="K222" t="str">
        <f>Tabla14[[#This Row],[id]]&amp;Tabla14[[#This Row],[Resposable]]</f>
        <v>5Bezalel Mendoza</v>
      </c>
      <c r="L222" t="str">
        <f>Tabla14[[#This Row],[id]]&amp;Tabla14[[#This Row],[Resposable]]</f>
        <v>5Bezalel Mendoza</v>
      </c>
      <c r="M222" t="s">
        <v>299</v>
      </c>
    </row>
    <row r="223" spans="1:13" x14ac:dyDescent="0.25">
      <c r="A223" t="s">
        <v>246</v>
      </c>
      <c r="B223">
        <v>10</v>
      </c>
      <c r="C223" t="s">
        <v>5</v>
      </c>
      <c r="D223" t="s">
        <v>46</v>
      </c>
      <c r="E223" t="s">
        <v>47</v>
      </c>
      <c r="F223" s="4" t="s">
        <v>58</v>
      </c>
      <c r="G223" t="s">
        <v>239</v>
      </c>
      <c r="H223" t="s">
        <v>299</v>
      </c>
      <c r="I223" t="s">
        <v>384</v>
      </c>
      <c r="J223" t="s">
        <v>360</v>
      </c>
      <c r="K223" t="str">
        <f>Tabla14[[#This Row],[id]]&amp;Tabla14[[#This Row],[Resposable]]</f>
        <v>10Bezalel Mendoza</v>
      </c>
      <c r="L223" t="str">
        <f>Tabla14[[#This Row],[id]]&amp;Tabla14[[#This Row],[Resposable]]</f>
        <v>10Bezalel Mendoza</v>
      </c>
      <c r="M223" t="s">
        <v>299</v>
      </c>
    </row>
    <row r="224" spans="1:13" x14ac:dyDescent="0.25">
      <c r="A224" t="s">
        <v>246</v>
      </c>
      <c r="B224">
        <v>10</v>
      </c>
      <c r="C224" t="s">
        <v>5</v>
      </c>
      <c r="D224" t="s">
        <v>52</v>
      </c>
      <c r="E224" t="s">
        <v>47</v>
      </c>
      <c r="F224" s="4" t="s">
        <v>58</v>
      </c>
      <c r="G224" t="s">
        <v>239</v>
      </c>
      <c r="H224" t="s">
        <v>299</v>
      </c>
      <c r="I224" t="s">
        <v>384</v>
      </c>
      <c r="J224" t="s">
        <v>365</v>
      </c>
      <c r="K224" t="str">
        <f>Tabla14[[#This Row],[id]]&amp;Tabla14[[#This Row],[Resposable]]</f>
        <v>10Bezalel Mendoza</v>
      </c>
      <c r="L224" t="str">
        <f>Tabla14[[#This Row],[id]]&amp;Tabla14[[#This Row],[Resposable]]</f>
        <v>10Bezalel Mendoza</v>
      </c>
      <c r="M224" t="s">
        <v>299</v>
      </c>
    </row>
    <row r="225" spans="1:13" x14ac:dyDescent="0.25">
      <c r="A225" t="s">
        <v>246</v>
      </c>
      <c r="B225">
        <v>10</v>
      </c>
      <c r="C225" t="s">
        <v>5</v>
      </c>
      <c r="D225" t="s">
        <v>53</v>
      </c>
      <c r="E225" t="s">
        <v>54</v>
      </c>
      <c r="F225" s="4" t="s">
        <v>58</v>
      </c>
      <c r="G225" t="s">
        <v>239</v>
      </c>
      <c r="H225" t="s">
        <v>299</v>
      </c>
      <c r="I225" t="s">
        <v>384</v>
      </c>
      <c r="J225" t="s">
        <v>360</v>
      </c>
      <c r="K225" t="str">
        <f>Tabla14[[#This Row],[id]]&amp;Tabla14[[#This Row],[Resposable]]</f>
        <v>10Bezalel Mendoza</v>
      </c>
      <c r="L225" t="str">
        <f>Tabla14[[#This Row],[id]]&amp;Tabla14[[#This Row],[Resposable]]</f>
        <v>10Bezalel Mendoza</v>
      </c>
      <c r="M225" t="s">
        <v>299</v>
      </c>
    </row>
    <row r="226" spans="1:13" x14ac:dyDescent="0.25">
      <c r="A226" t="s">
        <v>246</v>
      </c>
      <c r="B226">
        <v>10</v>
      </c>
      <c r="C226" t="s">
        <v>5</v>
      </c>
      <c r="D226" t="s">
        <v>64</v>
      </c>
      <c r="E226" t="s">
        <v>47</v>
      </c>
      <c r="F226" s="4" t="s">
        <v>65</v>
      </c>
      <c r="G226" t="s">
        <v>239</v>
      </c>
      <c r="H226" t="s">
        <v>299</v>
      </c>
      <c r="I226" t="s">
        <v>384</v>
      </c>
      <c r="J226" t="s">
        <v>360</v>
      </c>
      <c r="K226" t="str">
        <f>Tabla14[[#This Row],[id]]&amp;Tabla14[[#This Row],[Resposable]]</f>
        <v>10Bezalel Mendoza</v>
      </c>
      <c r="L226" t="str">
        <f>Tabla14[[#This Row],[id]]&amp;Tabla14[[#This Row],[Resposable]]</f>
        <v>10Bezalel Mendoza</v>
      </c>
      <c r="M226" t="s">
        <v>299</v>
      </c>
    </row>
    <row r="227" spans="1:13" x14ac:dyDescent="0.25">
      <c r="A227" t="s">
        <v>15</v>
      </c>
      <c r="B227">
        <v>46</v>
      </c>
      <c r="C227" t="s">
        <v>5</v>
      </c>
      <c r="D227" t="s">
        <v>52</v>
      </c>
      <c r="E227" t="s">
        <v>47</v>
      </c>
      <c r="F227" s="4" t="s">
        <v>48</v>
      </c>
      <c r="G227" t="s">
        <v>239</v>
      </c>
      <c r="H227" t="s">
        <v>299</v>
      </c>
      <c r="I227" t="s">
        <v>384</v>
      </c>
      <c r="J227" t="s">
        <v>360</v>
      </c>
      <c r="K227" t="str">
        <f>Tabla14[[#This Row],[id]]&amp;Tabla14[[#This Row],[Resposable]]</f>
        <v>46Bezalel Mendoza</v>
      </c>
      <c r="L227" t="str">
        <f>Tabla14[[#This Row],[id]]&amp;Tabla14[[#This Row],[Resposable]]</f>
        <v>46Bezalel Mendoza</v>
      </c>
      <c r="M227" t="s">
        <v>299</v>
      </c>
    </row>
    <row r="228" spans="1:13" x14ac:dyDescent="0.25">
      <c r="A228" t="s">
        <v>15</v>
      </c>
      <c r="B228">
        <v>46</v>
      </c>
      <c r="C228" t="s">
        <v>5</v>
      </c>
      <c r="D228" t="s">
        <v>53</v>
      </c>
      <c r="E228" t="s">
        <v>54</v>
      </c>
      <c r="F228" s="4" t="s">
        <v>48</v>
      </c>
      <c r="G228" t="s">
        <v>239</v>
      </c>
      <c r="H228" t="s">
        <v>299</v>
      </c>
      <c r="I228" t="s">
        <v>384</v>
      </c>
      <c r="J228" t="s">
        <v>360</v>
      </c>
      <c r="K228" t="str">
        <f>Tabla14[[#This Row],[id]]&amp;Tabla14[[#This Row],[Resposable]]</f>
        <v>46Bezalel Mendoza</v>
      </c>
      <c r="L228" t="str">
        <f>Tabla14[[#This Row],[id]]&amp;Tabla14[[#This Row],[Resposable]]</f>
        <v>46Bezalel Mendoza</v>
      </c>
      <c r="M228" t="s">
        <v>299</v>
      </c>
    </row>
    <row r="229" spans="1:13" x14ac:dyDescent="0.25">
      <c r="A229" t="s">
        <v>15</v>
      </c>
      <c r="B229">
        <v>46</v>
      </c>
      <c r="C229" t="s">
        <v>5</v>
      </c>
      <c r="D229" t="s">
        <v>64</v>
      </c>
      <c r="E229" t="s">
        <v>47</v>
      </c>
      <c r="F229" s="4" t="s">
        <v>48</v>
      </c>
      <c r="G229" t="s">
        <v>239</v>
      </c>
      <c r="H229" t="s">
        <v>299</v>
      </c>
      <c r="I229" t="s">
        <v>384</v>
      </c>
      <c r="J229" t="s">
        <v>360</v>
      </c>
      <c r="K229" t="str">
        <f>Tabla14[[#This Row],[id]]&amp;Tabla14[[#This Row],[Resposable]]</f>
        <v>46Bezalel Mendoza</v>
      </c>
      <c r="L229" t="str">
        <f>Tabla14[[#This Row],[id]]&amp;Tabla14[[#This Row],[Resposable]]</f>
        <v>46Bezalel Mendoza</v>
      </c>
      <c r="M229" t="s">
        <v>299</v>
      </c>
    </row>
    <row r="230" spans="1:13" x14ac:dyDescent="0.25">
      <c r="A230" t="s">
        <v>15</v>
      </c>
      <c r="B230">
        <v>46</v>
      </c>
      <c r="C230" t="s">
        <v>5</v>
      </c>
      <c r="D230" t="s">
        <v>46</v>
      </c>
      <c r="E230" t="s">
        <v>47</v>
      </c>
      <c r="F230" s="4" t="s">
        <v>48</v>
      </c>
      <c r="G230" t="s">
        <v>239</v>
      </c>
      <c r="H230" t="s">
        <v>299</v>
      </c>
      <c r="I230" t="s">
        <v>384</v>
      </c>
      <c r="J230" t="s">
        <v>360</v>
      </c>
      <c r="K230" t="str">
        <f>Tabla14[[#This Row],[id]]&amp;Tabla14[[#This Row],[Resposable]]</f>
        <v>46Bezalel Mendoza</v>
      </c>
      <c r="L230" t="str">
        <f>Tabla14[[#This Row],[id]]&amp;Tabla14[[#This Row],[Resposable]]</f>
        <v>46Bezalel Mendoza</v>
      </c>
      <c r="M230" t="s">
        <v>299</v>
      </c>
    </row>
    <row r="231" spans="1:13" x14ac:dyDescent="0.25">
      <c r="A231" t="s">
        <v>17</v>
      </c>
      <c r="B231">
        <v>53</v>
      </c>
      <c r="C231" t="s">
        <v>5</v>
      </c>
      <c r="D231" t="s">
        <v>52</v>
      </c>
      <c r="E231" t="s">
        <v>47</v>
      </c>
      <c r="F231" s="4" t="s">
        <v>48</v>
      </c>
      <c r="G231" t="s">
        <v>239</v>
      </c>
      <c r="H231" t="s">
        <v>299</v>
      </c>
      <c r="I231" t="s">
        <v>384</v>
      </c>
      <c r="J231" t="s">
        <v>360</v>
      </c>
      <c r="K231" t="str">
        <f>Tabla14[[#This Row],[id]]&amp;Tabla14[[#This Row],[Resposable]]</f>
        <v>53Bezalel Mendoza</v>
      </c>
      <c r="L231" t="str">
        <f>Tabla14[[#This Row],[id]]&amp;Tabla14[[#This Row],[Resposable]]</f>
        <v>53Bezalel Mendoza</v>
      </c>
      <c r="M231" t="s">
        <v>299</v>
      </c>
    </row>
    <row r="232" spans="1:13" x14ac:dyDescent="0.25">
      <c r="A232" t="s">
        <v>17</v>
      </c>
      <c r="B232">
        <v>53</v>
      </c>
      <c r="C232" t="s">
        <v>5</v>
      </c>
      <c r="D232" t="s">
        <v>53</v>
      </c>
      <c r="E232" t="s">
        <v>54</v>
      </c>
      <c r="F232" s="4" t="s">
        <v>48</v>
      </c>
      <c r="G232" t="s">
        <v>239</v>
      </c>
      <c r="H232" t="s">
        <v>299</v>
      </c>
      <c r="I232" t="s">
        <v>384</v>
      </c>
      <c r="J232" t="s">
        <v>360</v>
      </c>
      <c r="K232" t="str">
        <f>Tabla14[[#This Row],[id]]&amp;Tabla14[[#This Row],[Resposable]]</f>
        <v>53Bezalel Mendoza</v>
      </c>
      <c r="L232" t="str">
        <f>Tabla14[[#This Row],[id]]&amp;Tabla14[[#This Row],[Resposable]]</f>
        <v>53Bezalel Mendoza</v>
      </c>
      <c r="M232" t="s">
        <v>299</v>
      </c>
    </row>
    <row r="233" spans="1:13" x14ac:dyDescent="0.25">
      <c r="A233" t="s">
        <v>17</v>
      </c>
      <c r="B233">
        <v>53</v>
      </c>
      <c r="C233" t="s">
        <v>5</v>
      </c>
      <c r="D233" t="s">
        <v>64</v>
      </c>
      <c r="E233" t="s">
        <v>47</v>
      </c>
      <c r="F233" s="4" t="s">
        <v>48</v>
      </c>
      <c r="G233" t="s">
        <v>239</v>
      </c>
      <c r="H233" t="s">
        <v>299</v>
      </c>
      <c r="I233" t="s">
        <v>384</v>
      </c>
      <c r="J233" t="s">
        <v>360</v>
      </c>
      <c r="K233" t="str">
        <f>Tabla14[[#This Row],[id]]&amp;Tabla14[[#This Row],[Resposable]]</f>
        <v>53Bezalel Mendoza</v>
      </c>
      <c r="L233" t="str">
        <f>Tabla14[[#This Row],[id]]&amp;Tabla14[[#This Row],[Resposable]]</f>
        <v>53Bezalel Mendoza</v>
      </c>
      <c r="M233" t="s">
        <v>299</v>
      </c>
    </row>
    <row r="234" spans="1:13" x14ac:dyDescent="0.25">
      <c r="A234" t="s">
        <v>371</v>
      </c>
      <c r="B234">
        <v>65</v>
      </c>
      <c r="C234" t="s">
        <v>5</v>
      </c>
      <c r="D234" t="s">
        <v>46</v>
      </c>
      <c r="E234" t="s">
        <v>47</v>
      </c>
      <c r="F234" s="4" t="s">
        <v>48</v>
      </c>
      <c r="G234" t="s">
        <v>239</v>
      </c>
      <c r="H234" t="s">
        <v>299</v>
      </c>
      <c r="I234" t="s">
        <v>384</v>
      </c>
      <c r="J234" t="s">
        <v>360</v>
      </c>
      <c r="K234" t="str">
        <f>Tabla14[[#This Row],[id]]&amp;Tabla14[[#This Row],[Resposable]]</f>
        <v>65Bezalel Mendoza</v>
      </c>
      <c r="L234" t="str">
        <f>Tabla14[[#This Row],[id]]&amp;Tabla14[[#This Row],[Resposable]]</f>
        <v>65Bezalel Mendoza</v>
      </c>
      <c r="M234" t="s">
        <v>299</v>
      </c>
    </row>
    <row r="235" spans="1:13" x14ac:dyDescent="0.25">
      <c r="A235" t="s">
        <v>371</v>
      </c>
      <c r="B235">
        <v>65</v>
      </c>
      <c r="C235" t="s">
        <v>7</v>
      </c>
      <c r="D235" t="s">
        <v>98</v>
      </c>
      <c r="E235" t="s">
        <v>47</v>
      </c>
      <c r="F235" s="4" t="s">
        <v>48</v>
      </c>
      <c r="G235" t="s">
        <v>239</v>
      </c>
      <c r="H235" t="s">
        <v>299</v>
      </c>
      <c r="I235" t="s">
        <v>384</v>
      </c>
      <c r="J235" t="s">
        <v>360</v>
      </c>
      <c r="K235" t="str">
        <f>Tabla14[[#This Row],[id]]&amp;Tabla14[[#This Row],[Resposable]]</f>
        <v>65Bezalel Mendoza</v>
      </c>
      <c r="L235" t="str">
        <f>Tabla14[[#This Row],[id]]&amp;Tabla14[[#This Row],[Resposable]]</f>
        <v>65Bezalel Mendoza</v>
      </c>
      <c r="M235" t="s">
        <v>299</v>
      </c>
    </row>
    <row r="236" spans="1:13" x14ac:dyDescent="0.25">
      <c r="A236" t="s">
        <v>371</v>
      </c>
      <c r="B236">
        <v>65</v>
      </c>
      <c r="C236" t="s">
        <v>5</v>
      </c>
      <c r="D236" t="s">
        <v>52</v>
      </c>
      <c r="E236" t="s">
        <v>47</v>
      </c>
      <c r="F236" s="4" t="s">
        <v>48</v>
      </c>
      <c r="G236" t="s">
        <v>239</v>
      </c>
      <c r="H236" t="s">
        <v>299</v>
      </c>
      <c r="I236" t="s">
        <v>384</v>
      </c>
      <c r="J236" t="s">
        <v>360</v>
      </c>
      <c r="K236" t="str">
        <f>Tabla14[[#This Row],[id]]&amp;Tabla14[[#This Row],[Resposable]]</f>
        <v>65Bezalel Mendoza</v>
      </c>
      <c r="L236" t="str">
        <f>Tabla14[[#This Row],[id]]&amp;Tabla14[[#This Row],[Resposable]]</f>
        <v>65Bezalel Mendoza</v>
      </c>
      <c r="M236" t="s">
        <v>299</v>
      </c>
    </row>
    <row r="237" spans="1:13" x14ac:dyDescent="0.25">
      <c r="A237" t="s">
        <v>371</v>
      </c>
      <c r="B237">
        <v>65</v>
      </c>
      <c r="C237" t="s">
        <v>5</v>
      </c>
      <c r="D237" t="s">
        <v>53</v>
      </c>
      <c r="E237" t="s">
        <v>54</v>
      </c>
      <c r="F237" s="4" t="s">
        <v>48</v>
      </c>
      <c r="G237" t="s">
        <v>239</v>
      </c>
      <c r="H237" t="s">
        <v>299</v>
      </c>
      <c r="I237" t="s">
        <v>384</v>
      </c>
      <c r="J237" t="s">
        <v>360</v>
      </c>
      <c r="K237" t="str">
        <f>Tabla14[[#This Row],[id]]&amp;Tabla14[[#This Row],[Resposable]]</f>
        <v>65Bezalel Mendoza</v>
      </c>
      <c r="L237" t="str">
        <f>Tabla14[[#This Row],[id]]&amp;Tabla14[[#This Row],[Resposable]]</f>
        <v>65Bezalel Mendoza</v>
      </c>
      <c r="M237" t="s">
        <v>299</v>
      </c>
    </row>
    <row r="238" spans="1:13" x14ac:dyDescent="0.25">
      <c r="A238" t="s">
        <v>371</v>
      </c>
      <c r="B238">
        <v>65</v>
      </c>
      <c r="C238" t="s">
        <v>5</v>
      </c>
      <c r="D238" t="s">
        <v>56</v>
      </c>
      <c r="E238" t="s">
        <v>47</v>
      </c>
      <c r="F238" s="4" t="s">
        <v>48</v>
      </c>
      <c r="G238" t="s">
        <v>239</v>
      </c>
      <c r="H238" t="s">
        <v>299</v>
      </c>
      <c r="I238" t="s">
        <v>384</v>
      </c>
      <c r="J238" t="s">
        <v>360</v>
      </c>
      <c r="K238" t="str">
        <f>Tabla14[[#This Row],[id]]&amp;Tabla14[[#This Row],[Resposable]]</f>
        <v>65Bezalel Mendoza</v>
      </c>
      <c r="L238" t="str">
        <f>Tabla14[[#This Row],[id]]&amp;Tabla14[[#This Row],[Resposable]]</f>
        <v>65Bezalel Mendoza</v>
      </c>
      <c r="M238" t="s">
        <v>299</v>
      </c>
    </row>
    <row r="239" spans="1:13" x14ac:dyDescent="0.25">
      <c r="A239" t="s">
        <v>371</v>
      </c>
      <c r="B239">
        <v>65</v>
      </c>
      <c r="C239" t="s">
        <v>7</v>
      </c>
      <c r="D239" t="s">
        <v>104</v>
      </c>
      <c r="E239" t="s">
        <v>47</v>
      </c>
      <c r="F239" s="4" t="s">
        <v>48</v>
      </c>
      <c r="G239" t="s">
        <v>239</v>
      </c>
      <c r="H239" t="s">
        <v>299</v>
      </c>
      <c r="I239" t="s">
        <v>384</v>
      </c>
      <c r="J239" t="s">
        <v>363</v>
      </c>
      <c r="K239" t="str">
        <f>Tabla14[[#This Row],[id]]&amp;Tabla14[[#This Row],[Resposable]]</f>
        <v>65Bezalel Mendoza</v>
      </c>
      <c r="L239" t="str">
        <f>Tabla14[[#This Row],[id]]&amp;Tabla14[[#This Row],[Resposable]]</f>
        <v>65Bezalel Mendoza</v>
      </c>
      <c r="M239" t="s">
        <v>299</v>
      </c>
    </row>
    <row r="240" spans="1:13" x14ac:dyDescent="0.25">
      <c r="A240" t="s">
        <v>24</v>
      </c>
      <c r="B240">
        <v>107</v>
      </c>
      <c r="C240" t="s">
        <v>5</v>
      </c>
      <c r="D240" t="s">
        <v>116</v>
      </c>
      <c r="E240" t="s">
        <v>47</v>
      </c>
      <c r="F240" s="4" t="s">
        <v>58</v>
      </c>
      <c r="G240" t="s">
        <v>239</v>
      </c>
      <c r="H240" t="s">
        <v>299</v>
      </c>
      <c r="I240" t="s">
        <v>384</v>
      </c>
      <c r="J240" t="s">
        <v>360</v>
      </c>
      <c r="K240" t="str">
        <f>Tabla14[[#This Row],[id]]&amp;Tabla14[[#This Row],[Resposable]]</f>
        <v>107Bezalel Mendoza</v>
      </c>
      <c r="L240" t="str">
        <f>Tabla14[[#This Row],[id]]&amp;Tabla14[[#This Row],[Resposable]]</f>
        <v>107Bezalel Mendoza</v>
      </c>
      <c r="M240" t="s">
        <v>299</v>
      </c>
    </row>
    <row r="241" spans="1:13" x14ac:dyDescent="0.25">
      <c r="A241" t="s">
        <v>24</v>
      </c>
      <c r="B241">
        <v>107</v>
      </c>
      <c r="C241" t="s">
        <v>5</v>
      </c>
      <c r="D241" t="s">
        <v>46</v>
      </c>
      <c r="E241" t="s">
        <v>47</v>
      </c>
      <c r="F241" s="4" t="s">
        <v>96</v>
      </c>
      <c r="G241" t="s">
        <v>239</v>
      </c>
      <c r="H241" t="s">
        <v>299</v>
      </c>
      <c r="I241" t="s">
        <v>384</v>
      </c>
      <c r="J241" t="s">
        <v>360</v>
      </c>
      <c r="K241" t="str">
        <f>Tabla14[[#This Row],[id]]&amp;Tabla14[[#This Row],[Resposable]]</f>
        <v>107Bezalel Mendoza</v>
      </c>
      <c r="L241" t="str">
        <f>Tabla14[[#This Row],[id]]&amp;Tabla14[[#This Row],[Resposable]]</f>
        <v>107Bezalel Mendoza</v>
      </c>
      <c r="M241" t="s">
        <v>299</v>
      </c>
    </row>
    <row r="242" spans="1:13" x14ac:dyDescent="0.25">
      <c r="A242" t="s">
        <v>25</v>
      </c>
      <c r="B242">
        <v>107</v>
      </c>
      <c r="C242" t="s">
        <v>5</v>
      </c>
      <c r="D242" t="s">
        <v>53</v>
      </c>
      <c r="E242" t="s">
        <v>47</v>
      </c>
      <c r="F242" s="4" t="s">
        <v>96</v>
      </c>
      <c r="G242" t="s">
        <v>239</v>
      </c>
      <c r="H242" t="s">
        <v>299</v>
      </c>
      <c r="I242" t="s">
        <v>384</v>
      </c>
      <c r="J242" t="s">
        <v>360</v>
      </c>
      <c r="K242" t="str">
        <f>Tabla14[[#This Row],[id]]&amp;Tabla14[[#This Row],[Resposable]]</f>
        <v>107Bezalel Mendoza</v>
      </c>
      <c r="L242" t="str">
        <f>Tabla14[[#This Row],[id]]&amp;Tabla14[[#This Row],[Resposable]]</f>
        <v>107Bezalel Mendoza</v>
      </c>
      <c r="M242" t="s">
        <v>299</v>
      </c>
    </row>
    <row r="243" spans="1:13" x14ac:dyDescent="0.25">
      <c r="A243" t="s">
        <v>25</v>
      </c>
      <c r="B243">
        <v>107</v>
      </c>
      <c r="C243" t="s">
        <v>5</v>
      </c>
      <c r="D243" t="s">
        <v>147</v>
      </c>
      <c r="E243" t="s">
        <v>47</v>
      </c>
      <c r="F243" s="4" t="s">
        <v>96</v>
      </c>
      <c r="G243" t="s">
        <v>239</v>
      </c>
      <c r="H243" t="s">
        <v>299</v>
      </c>
      <c r="I243" t="s">
        <v>384</v>
      </c>
      <c r="J243" t="s">
        <v>360</v>
      </c>
      <c r="K243" t="str">
        <f>Tabla14[[#This Row],[id]]&amp;Tabla14[[#This Row],[Resposable]]</f>
        <v>107Bezalel Mendoza</v>
      </c>
      <c r="L243" t="str">
        <f>Tabla14[[#This Row],[id]]&amp;Tabla14[[#This Row],[Resposable]]</f>
        <v>107Bezalel Mendoza</v>
      </c>
      <c r="M243" t="s">
        <v>299</v>
      </c>
    </row>
    <row r="244" spans="1:13" x14ac:dyDescent="0.25">
      <c r="A244" t="s">
        <v>25</v>
      </c>
      <c r="B244">
        <v>107</v>
      </c>
      <c r="C244" t="s">
        <v>5</v>
      </c>
      <c r="D244" t="s">
        <v>64</v>
      </c>
      <c r="E244" t="s">
        <v>47</v>
      </c>
      <c r="F244" s="4" t="s">
        <v>96</v>
      </c>
      <c r="G244" t="s">
        <v>239</v>
      </c>
      <c r="H244" t="s">
        <v>299</v>
      </c>
      <c r="I244" t="s">
        <v>384</v>
      </c>
      <c r="J244" t="s">
        <v>360</v>
      </c>
      <c r="K244" t="str">
        <f>Tabla14[[#This Row],[id]]&amp;Tabla14[[#This Row],[Resposable]]</f>
        <v>107Bezalel Mendoza</v>
      </c>
      <c r="L244" t="str">
        <f>Tabla14[[#This Row],[id]]&amp;Tabla14[[#This Row],[Resposable]]</f>
        <v>107Bezalel Mendoza</v>
      </c>
      <c r="M244" t="s">
        <v>299</v>
      </c>
    </row>
    <row r="245" spans="1:13" x14ac:dyDescent="0.25">
      <c r="A245" t="s">
        <v>28</v>
      </c>
      <c r="B245">
        <v>107</v>
      </c>
      <c r="C245" t="s">
        <v>5</v>
      </c>
      <c r="D245" t="s">
        <v>46</v>
      </c>
      <c r="E245" t="s">
        <v>47</v>
      </c>
      <c r="F245" s="4" t="s">
        <v>48</v>
      </c>
      <c r="G245" t="s">
        <v>239</v>
      </c>
      <c r="H245" t="s">
        <v>299</v>
      </c>
      <c r="I245" t="s">
        <v>384</v>
      </c>
      <c r="J245" t="s">
        <v>360</v>
      </c>
      <c r="K245" t="str">
        <f>Tabla14[[#This Row],[id]]&amp;Tabla14[[#This Row],[Resposable]]</f>
        <v>107Bezalel Mendoza</v>
      </c>
      <c r="L245" t="str">
        <f>Tabla14[[#This Row],[id]]&amp;Tabla14[[#This Row],[Resposable]]</f>
        <v>107Bezalel Mendoza</v>
      </c>
      <c r="M245" t="s">
        <v>299</v>
      </c>
    </row>
    <row r="246" spans="1:13" x14ac:dyDescent="0.25">
      <c r="A246" t="s">
        <v>28</v>
      </c>
      <c r="B246">
        <v>107</v>
      </c>
      <c r="C246" t="s">
        <v>5</v>
      </c>
      <c r="D246" t="s">
        <v>52</v>
      </c>
      <c r="E246" t="s">
        <v>47</v>
      </c>
      <c r="F246" s="4" t="s">
        <v>48</v>
      </c>
      <c r="G246" t="s">
        <v>239</v>
      </c>
      <c r="H246" t="s">
        <v>299</v>
      </c>
      <c r="I246" t="s">
        <v>384</v>
      </c>
      <c r="J246" t="s">
        <v>360</v>
      </c>
      <c r="K246" t="str">
        <f>Tabla14[[#This Row],[id]]&amp;Tabla14[[#This Row],[Resposable]]</f>
        <v>107Bezalel Mendoza</v>
      </c>
      <c r="L246" t="str">
        <f>Tabla14[[#This Row],[id]]&amp;Tabla14[[#This Row],[Resposable]]</f>
        <v>107Bezalel Mendoza</v>
      </c>
      <c r="M246" t="s">
        <v>299</v>
      </c>
    </row>
    <row r="247" spans="1:13" x14ac:dyDescent="0.25">
      <c r="A247" t="s">
        <v>28</v>
      </c>
      <c r="B247">
        <v>107</v>
      </c>
      <c r="C247" t="s">
        <v>5</v>
      </c>
      <c r="D247" t="s">
        <v>53</v>
      </c>
      <c r="E247" t="s">
        <v>54</v>
      </c>
      <c r="F247" s="4" t="s">
        <v>48</v>
      </c>
      <c r="G247" t="s">
        <v>239</v>
      </c>
      <c r="H247" t="s">
        <v>299</v>
      </c>
      <c r="I247" t="s">
        <v>384</v>
      </c>
      <c r="J247" t="s">
        <v>360</v>
      </c>
      <c r="K247" t="str">
        <f>Tabla14[[#This Row],[id]]&amp;Tabla14[[#This Row],[Resposable]]</f>
        <v>107Bezalel Mendoza</v>
      </c>
      <c r="L247" t="str">
        <f>Tabla14[[#This Row],[id]]&amp;Tabla14[[#This Row],[Resposable]]</f>
        <v>107Bezalel Mendoza</v>
      </c>
      <c r="M247" t="s">
        <v>299</v>
      </c>
    </row>
    <row r="248" spans="1:13" x14ac:dyDescent="0.25">
      <c r="A248" t="s">
        <v>28</v>
      </c>
      <c r="B248">
        <v>107</v>
      </c>
      <c r="C248" t="s">
        <v>5</v>
      </c>
      <c r="D248" t="s">
        <v>64</v>
      </c>
      <c r="E248" t="s">
        <v>47</v>
      </c>
      <c r="F248" s="4" t="s">
        <v>48</v>
      </c>
      <c r="G248" t="s">
        <v>239</v>
      </c>
      <c r="H248" t="s">
        <v>299</v>
      </c>
      <c r="I248" t="s">
        <v>384</v>
      </c>
      <c r="J248" t="s">
        <v>360</v>
      </c>
      <c r="K248" t="str">
        <f>Tabla14[[#This Row],[id]]&amp;Tabla14[[#This Row],[Resposable]]</f>
        <v>107Bezalel Mendoza</v>
      </c>
      <c r="L248" t="str">
        <f>Tabla14[[#This Row],[id]]&amp;Tabla14[[#This Row],[Resposable]]</f>
        <v>107Bezalel Mendoza</v>
      </c>
      <c r="M248" t="s">
        <v>299</v>
      </c>
    </row>
    <row r="249" spans="1:13" x14ac:dyDescent="0.25">
      <c r="A249" t="s">
        <v>31</v>
      </c>
      <c r="B249">
        <v>135</v>
      </c>
      <c r="C249" t="s">
        <v>5</v>
      </c>
      <c r="D249" t="s">
        <v>46</v>
      </c>
      <c r="E249" t="s">
        <v>47</v>
      </c>
      <c r="F249" s="4" t="s">
        <v>48</v>
      </c>
      <c r="G249" t="s">
        <v>239</v>
      </c>
      <c r="H249" t="s">
        <v>299</v>
      </c>
      <c r="I249" t="s">
        <v>384</v>
      </c>
      <c r="J249" t="s">
        <v>360</v>
      </c>
      <c r="K249" t="str">
        <f>Tabla14[[#This Row],[id]]&amp;Tabla14[[#This Row],[Resposable]]</f>
        <v>135Bezalel Mendoza</v>
      </c>
      <c r="L249" t="str">
        <f>Tabla14[[#This Row],[id]]&amp;Tabla14[[#This Row],[Resposable]]</f>
        <v>135Bezalel Mendoza</v>
      </c>
      <c r="M249" t="s">
        <v>299</v>
      </c>
    </row>
    <row r="250" spans="1:13" x14ac:dyDescent="0.25">
      <c r="A250" t="s">
        <v>31</v>
      </c>
      <c r="B250">
        <v>135</v>
      </c>
      <c r="C250" t="s">
        <v>5</v>
      </c>
      <c r="D250" t="s">
        <v>52</v>
      </c>
      <c r="E250" t="s">
        <v>47</v>
      </c>
      <c r="F250" s="4" t="s">
        <v>48</v>
      </c>
      <c r="G250" t="s">
        <v>239</v>
      </c>
      <c r="H250" t="s">
        <v>299</v>
      </c>
      <c r="I250" t="s">
        <v>384</v>
      </c>
      <c r="J250" t="s">
        <v>360</v>
      </c>
      <c r="K250" t="str">
        <f>Tabla14[[#This Row],[id]]&amp;Tabla14[[#This Row],[Resposable]]</f>
        <v>135Bezalel Mendoza</v>
      </c>
      <c r="L250" t="str">
        <f>Tabla14[[#This Row],[id]]&amp;Tabla14[[#This Row],[Resposable]]</f>
        <v>135Bezalel Mendoza</v>
      </c>
      <c r="M250" t="s">
        <v>299</v>
      </c>
    </row>
    <row r="251" spans="1:13" x14ac:dyDescent="0.25">
      <c r="A251" t="s">
        <v>31</v>
      </c>
      <c r="B251">
        <v>135</v>
      </c>
      <c r="C251" t="s">
        <v>5</v>
      </c>
      <c r="D251" t="s">
        <v>53</v>
      </c>
      <c r="E251" t="s">
        <v>54</v>
      </c>
      <c r="F251" s="4" t="s">
        <v>48</v>
      </c>
      <c r="G251" t="s">
        <v>239</v>
      </c>
      <c r="H251" t="s">
        <v>299</v>
      </c>
      <c r="I251" t="s">
        <v>384</v>
      </c>
      <c r="J251" t="s">
        <v>360</v>
      </c>
      <c r="K251" t="str">
        <f>Tabla14[[#This Row],[id]]&amp;Tabla14[[#This Row],[Resposable]]</f>
        <v>135Bezalel Mendoza</v>
      </c>
      <c r="L251" t="str">
        <f>Tabla14[[#This Row],[id]]&amp;Tabla14[[#This Row],[Resposable]]</f>
        <v>135Bezalel Mendoza</v>
      </c>
      <c r="M251" t="s">
        <v>299</v>
      </c>
    </row>
    <row r="252" spans="1:13" x14ac:dyDescent="0.25">
      <c r="A252" s="18" t="s">
        <v>31</v>
      </c>
      <c r="B252" s="18">
        <v>135</v>
      </c>
      <c r="C252" s="18" t="s">
        <v>5</v>
      </c>
      <c r="D252" s="18" t="s">
        <v>64</v>
      </c>
      <c r="E252" s="18" t="s">
        <v>47</v>
      </c>
      <c r="F252" s="19" t="s">
        <v>48</v>
      </c>
      <c r="G252" s="18" t="s">
        <v>239</v>
      </c>
      <c r="H252" t="s">
        <v>299</v>
      </c>
      <c r="I252" t="s">
        <v>384</v>
      </c>
      <c r="J252" t="s">
        <v>360</v>
      </c>
      <c r="K252" t="str">
        <f>Tabla14[[#This Row],[id]]&amp;Tabla14[[#This Row],[Resposable]]</f>
        <v>135Bezalel Mendoza</v>
      </c>
      <c r="L252" t="str">
        <f>Tabla14[[#This Row],[id]]&amp;Tabla14[[#This Row],[Resposable]]</f>
        <v>135Bezalel Mendoza</v>
      </c>
      <c r="M252" t="s">
        <v>299</v>
      </c>
    </row>
    <row r="253" spans="1:13" x14ac:dyDescent="0.25">
      <c r="A253" t="s">
        <v>370</v>
      </c>
      <c r="B253">
        <v>180</v>
      </c>
      <c r="C253" t="s">
        <v>5</v>
      </c>
      <c r="D253" t="s">
        <v>46</v>
      </c>
      <c r="E253" s="18" t="s">
        <v>47</v>
      </c>
      <c r="F253" s="4" t="s">
        <v>48</v>
      </c>
      <c r="G253" s="18" t="s">
        <v>239</v>
      </c>
      <c r="H253" t="s">
        <v>299</v>
      </c>
      <c r="I253" t="s">
        <v>384</v>
      </c>
      <c r="J253" t="s">
        <v>360</v>
      </c>
      <c r="K253" t="str">
        <f>Tabla14[[#This Row],[id]]&amp;Tabla14[[#This Row],[Resposable]]</f>
        <v>180Bezalel Mendoza</v>
      </c>
      <c r="L253" t="str">
        <f>Tabla14[[#This Row],[id]]&amp;Tabla14[[#This Row],[Resposable]]</f>
        <v>180Bezalel Mendoza</v>
      </c>
      <c r="M253" t="s">
        <v>299</v>
      </c>
    </row>
    <row r="254" spans="1:13" x14ac:dyDescent="0.25">
      <c r="A254" t="s">
        <v>370</v>
      </c>
      <c r="B254">
        <v>180</v>
      </c>
      <c r="C254" t="s">
        <v>5</v>
      </c>
      <c r="D254" t="s">
        <v>52</v>
      </c>
      <c r="E254" s="18" t="s">
        <v>47</v>
      </c>
      <c r="F254" s="4" t="s">
        <v>48</v>
      </c>
      <c r="G254" s="18" t="s">
        <v>239</v>
      </c>
      <c r="H254" t="s">
        <v>299</v>
      </c>
      <c r="I254" t="s">
        <v>384</v>
      </c>
      <c r="J254" t="s">
        <v>360</v>
      </c>
      <c r="K254" t="str">
        <f>Tabla14[[#This Row],[id]]&amp;Tabla14[[#This Row],[Resposable]]</f>
        <v>180Bezalel Mendoza</v>
      </c>
      <c r="L254" t="str">
        <f>Tabla14[[#This Row],[id]]&amp;Tabla14[[#This Row],[Resposable]]</f>
        <v>180Bezalel Mendoza</v>
      </c>
      <c r="M254" t="s">
        <v>299</v>
      </c>
    </row>
    <row r="255" spans="1:13" x14ac:dyDescent="0.25">
      <c r="A255" t="s">
        <v>370</v>
      </c>
      <c r="B255">
        <v>180</v>
      </c>
      <c r="C255" t="s">
        <v>5</v>
      </c>
      <c r="D255" t="s">
        <v>53</v>
      </c>
      <c r="E255" s="18" t="s">
        <v>54</v>
      </c>
      <c r="F255" s="4" t="s">
        <v>48</v>
      </c>
      <c r="G255" s="18" t="s">
        <v>239</v>
      </c>
      <c r="H255" t="s">
        <v>299</v>
      </c>
      <c r="I255" t="s">
        <v>384</v>
      </c>
      <c r="J255" t="s">
        <v>360</v>
      </c>
      <c r="K255" t="str">
        <f>Tabla14[[#This Row],[id]]&amp;Tabla14[[#This Row],[Resposable]]</f>
        <v>180Bezalel Mendoza</v>
      </c>
      <c r="L255" t="str">
        <f>Tabla14[[#This Row],[id]]&amp;Tabla14[[#This Row],[Resposable]]</f>
        <v>180Bezalel Mendoza</v>
      </c>
      <c r="M255" t="s">
        <v>299</v>
      </c>
    </row>
    <row r="256" spans="1:13" x14ac:dyDescent="0.25">
      <c r="A256" t="s">
        <v>370</v>
      </c>
      <c r="B256">
        <v>180</v>
      </c>
      <c r="C256" t="s">
        <v>5</v>
      </c>
      <c r="D256" t="s">
        <v>64</v>
      </c>
      <c r="E256" s="18" t="s">
        <v>47</v>
      </c>
      <c r="F256" s="4" t="s">
        <v>48</v>
      </c>
      <c r="G256" s="18" t="s">
        <v>239</v>
      </c>
      <c r="H256" t="s">
        <v>299</v>
      </c>
      <c r="I256" t="s">
        <v>384</v>
      </c>
      <c r="J256" t="s">
        <v>360</v>
      </c>
      <c r="K256" t="str">
        <f>Tabla14[[#This Row],[id]]&amp;Tabla14[[#This Row],[Resposable]]</f>
        <v>180Bezalel Mendoza</v>
      </c>
      <c r="L256" t="str">
        <f>Tabla14[[#This Row],[id]]&amp;Tabla14[[#This Row],[Resposable]]</f>
        <v>180Bezalel Mendoza</v>
      </c>
      <c r="M256" t="s">
        <v>299</v>
      </c>
    </row>
    <row r="257" spans="1:13" x14ac:dyDescent="0.25">
      <c r="A257" t="s">
        <v>245</v>
      </c>
      <c r="B257">
        <v>4</v>
      </c>
      <c r="C257" t="s">
        <v>5</v>
      </c>
      <c r="D257" t="s">
        <v>46</v>
      </c>
      <c r="E257" t="s">
        <v>47</v>
      </c>
      <c r="F257" s="4" t="s">
        <v>48</v>
      </c>
      <c r="G257" t="s">
        <v>239</v>
      </c>
      <c r="H257" t="s">
        <v>252</v>
      </c>
      <c r="I257" t="s">
        <v>384</v>
      </c>
      <c r="J257" t="s">
        <v>360</v>
      </c>
      <c r="K257" t="str">
        <f>Tabla14[[#This Row],[id]]&amp;Tabla14[[#This Row],[Resposable]]</f>
        <v>4Bezalel Mendoza</v>
      </c>
      <c r="L257" t="str">
        <f>Tabla14[[#This Row],[id]]&amp;Tabla14[[#This Row],[Resposable]]</f>
        <v>4Bezalel Mendoza</v>
      </c>
      <c r="M257" t="s">
        <v>252</v>
      </c>
    </row>
    <row r="258" spans="1:13" x14ac:dyDescent="0.25">
      <c r="A258" t="s">
        <v>245</v>
      </c>
      <c r="B258">
        <v>4</v>
      </c>
      <c r="C258" t="s">
        <v>5</v>
      </c>
      <c r="D258" t="s">
        <v>52</v>
      </c>
      <c r="E258" t="s">
        <v>47</v>
      </c>
      <c r="F258" s="4" t="s">
        <v>48</v>
      </c>
      <c r="G258" t="s">
        <v>239</v>
      </c>
      <c r="H258" t="s">
        <v>252</v>
      </c>
      <c r="I258" t="s">
        <v>384</v>
      </c>
      <c r="J258" t="s">
        <v>365</v>
      </c>
      <c r="K258" t="str">
        <f>Tabla14[[#This Row],[id]]&amp;Tabla14[[#This Row],[Resposable]]</f>
        <v>4Bezalel Mendoza</v>
      </c>
      <c r="L258" t="str">
        <f>Tabla14[[#This Row],[id]]&amp;Tabla14[[#This Row],[Resposable]]</f>
        <v>4Bezalel Mendoza</v>
      </c>
      <c r="M258" t="s">
        <v>252</v>
      </c>
    </row>
    <row r="259" spans="1:13" x14ac:dyDescent="0.25">
      <c r="A259" t="s">
        <v>245</v>
      </c>
      <c r="B259">
        <v>4</v>
      </c>
      <c r="C259" t="s">
        <v>5</v>
      </c>
      <c r="D259" t="s">
        <v>53</v>
      </c>
      <c r="E259" t="s">
        <v>54</v>
      </c>
      <c r="F259" s="4" t="s">
        <v>48</v>
      </c>
      <c r="G259" t="s">
        <v>239</v>
      </c>
      <c r="H259" t="s">
        <v>252</v>
      </c>
      <c r="I259" t="s">
        <v>384</v>
      </c>
      <c r="J259" t="s">
        <v>365</v>
      </c>
      <c r="K259" t="str">
        <f>Tabla14[[#This Row],[id]]&amp;Tabla14[[#This Row],[Resposable]]</f>
        <v>4Bezalel Mendoza</v>
      </c>
      <c r="L259" t="str">
        <f>Tabla14[[#This Row],[id]]&amp;Tabla14[[#This Row],[Resposable]]</f>
        <v>4Bezalel Mendoza</v>
      </c>
      <c r="M259" t="s">
        <v>252</v>
      </c>
    </row>
    <row r="260" spans="1:13" x14ac:dyDescent="0.25">
      <c r="A260" t="s">
        <v>245</v>
      </c>
      <c r="B260">
        <v>4</v>
      </c>
      <c r="C260" t="s">
        <v>5</v>
      </c>
      <c r="D260" t="s">
        <v>56</v>
      </c>
      <c r="E260" t="s">
        <v>47</v>
      </c>
      <c r="F260" s="4" t="s">
        <v>48</v>
      </c>
      <c r="G260" t="s">
        <v>239</v>
      </c>
      <c r="H260" t="s">
        <v>252</v>
      </c>
      <c r="I260" t="s">
        <v>384</v>
      </c>
      <c r="J260" t="s">
        <v>360</v>
      </c>
      <c r="K260" t="str">
        <f>Tabla14[[#This Row],[id]]&amp;Tabla14[[#This Row],[Resposable]]</f>
        <v>4Bezalel Mendoza</v>
      </c>
      <c r="L260" t="str">
        <f>Tabla14[[#This Row],[id]]&amp;Tabla14[[#This Row],[Resposable]]</f>
        <v>4Bezalel Mendoza</v>
      </c>
      <c r="M260" t="s">
        <v>252</v>
      </c>
    </row>
    <row r="261" spans="1:13" x14ac:dyDescent="0.25">
      <c r="A261" t="s">
        <v>10</v>
      </c>
      <c r="B261">
        <v>19</v>
      </c>
      <c r="C261" t="s">
        <v>5</v>
      </c>
      <c r="D261" t="s">
        <v>46</v>
      </c>
      <c r="E261" t="s">
        <v>47</v>
      </c>
      <c r="F261" s="4" t="s">
        <v>48</v>
      </c>
      <c r="G261" t="s">
        <v>239</v>
      </c>
      <c r="H261" t="s">
        <v>252</v>
      </c>
      <c r="I261" t="s">
        <v>384</v>
      </c>
      <c r="J261" t="s">
        <v>360</v>
      </c>
      <c r="K261" t="str">
        <f>Tabla14[[#This Row],[id]]&amp;Tabla14[[#This Row],[Resposable]]</f>
        <v>19Bezalel Mendoza</v>
      </c>
      <c r="L261" t="str">
        <f>Tabla14[[#This Row],[id]]&amp;Tabla14[[#This Row],[Resposable]]</f>
        <v>19Bezalel Mendoza</v>
      </c>
      <c r="M261" t="s">
        <v>252</v>
      </c>
    </row>
    <row r="262" spans="1:13" x14ac:dyDescent="0.25">
      <c r="A262" t="s">
        <v>10</v>
      </c>
      <c r="B262">
        <v>19</v>
      </c>
      <c r="C262" t="s">
        <v>5</v>
      </c>
      <c r="D262" t="s">
        <v>52</v>
      </c>
      <c r="E262" t="s">
        <v>47</v>
      </c>
      <c r="F262" s="4" t="s">
        <v>48</v>
      </c>
      <c r="G262" t="s">
        <v>239</v>
      </c>
      <c r="H262" t="s">
        <v>252</v>
      </c>
      <c r="I262" t="s">
        <v>384</v>
      </c>
      <c r="J262" t="s">
        <v>365</v>
      </c>
      <c r="K262" t="str">
        <f>Tabla14[[#This Row],[id]]&amp;Tabla14[[#This Row],[Resposable]]</f>
        <v>19Bezalel Mendoza</v>
      </c>
      <c r="L262" t="str">
        <f>Tabla14[[#This Row],[id]]&amp;Tabla14[[#This Row],[Resposable]]</f>
        <v>19Bezalel Mendoza</v>
      </c>
      <c r="M262" t="s">
        <v>252</v>
      </c>
    </row>
    <row r="263" spans="1:13" x14ac:dyDescent="0.25">
      <c r="A263" t="s">
        <v>10</v>
      </c>
      <c r="B263">
        <v>19</v>
      </c>
      <c r="C263" t="s">
        <v>5</v>
      </c>
      <c r="D263" t="s">
        <v>53</v>
      </c>
      <c r="E263" t="s">
        <v>54</v>
      </c>
      <c r="F263" s="4" t="s">
        <v>48</v>
      </c>
      <c r="G263" t="s">
        <v>239</v>
      </c>
      <c r="H263" t="s">
        <v>252</v>
      </c>
      <c r="I263" t="s">
        <v>384</v>
      </c>
      <c r="J263" t="s">
        <v>365</v>
      </c>
      <c r="K263" t="str">
        <f>Tabla14[[#This Row],[id]]&amp;Tabla14[[#This Row],[Resposable]]</f>
        <v>19Bezalel Mendoza</v>
      </c>
      <c r="L263" t="str">
        <f>Tabla14[[#This Row],[id]]&amp;Tabla14[[#This Row],[Resposable]]</f>
        <v>19Bezalel Mendoza</v>
      </c>
      <c r="M263" t="s">
        <v>252</v>
      </c>
    </row>
    <row r="264" spans="1:13" x14ac:dyDescent="0.25">
      <c r="A264" t="s">
        <v>10</v>
      </c>
      <c r="B264">
        <v>19</v>
      </c>
      <c r="C264" t="s">
        <v>5</v>
      </c>
      <c r="D264" t="s">
        <v>64</v>
      </c>
      <c r="E264" t="s">
        <v>47</v>
      </c>
      <c r="F264" s="4" t="s">
        <v>48</v>
      </c>
      <c r="G264" t="s">
        <v>239</v>
      </c>
      <c r="H264" t="s">
        <v>252</v>
      </c>
      <c r="I264" t="s">
        <v>384</v>
      </c>
      <c r="J264" t="s">
        <v>360</v>
      </c>
      <c r="K264" t="str">
        <f>Tabla14[[#This Row],[id]]&amp;Tabla14[[#This Row],[Resposable]]</f>
        <v>19Bezalel Mendoza</v>
      </c>
      <c r="L264" t="str">
        <f>Tabla14[[#This Row],[id]]&amp;Tabla14[[#This Row],[Resposable]]</f>
        <v>19Bezalel Mendoza</v>
      </c>
      <c r="M264" t="s">
        <v>252</v>
      </c>
    </row>
    <row r="265" spans="1:13" x14ac:dyDescent="0.25">
      <c r="A265" t="s">
        <v>16</v>
      </c>
      <c r="B265">
        <v>47</v>
      </c>
      <c r="C265" t="s">
        <v>7</v>
      </c>
      <c r="D265" t="s">
        <v>46</v>
      </c>
      <c r="E265" t="s">
        <v>47</v>
      </c>
      <c r="F265" s="4" t="s">
        <v>82</v>
      </c>
      <c r="G265" t="s">
        <v>239</v>
      </c>
      <c r="H265" t="s">
        <v>252</v>
      </c>
      <c r="I265" t="s">
        <v>384</v>
      </c>
      <c r="J265" t="s">
        <v>360</v>
      </c>
      <c r="K265" t="str">
        <f>Tabla14[[#This Row],[id]]&amp;Tabla14[[#This Row],[Resposable]]</f>
        <v>47Bezalel Mendoza</v>
      </c>
      <c r="L265" t="str">
        <f>Tabla14[[#This Row],[id]]&amp;Tabla14[[#This Row],[Resposable]]</f>
        <v>47Bezalel Mendoza</v>
      </c>
      <c r="M265" t="s">
        <v>252</v>
      </c>
    </row>
    <row r="266" spans="1:13" x14ac:dyDescent="0.25">
      <c r="A266" t="s">
        <v>16</v>
      </c>
      <c r="B266">
        <v>47</v>
      </c>
      <c r="C266" t="s">
        <v>7</v>
      </c>
      <c r="D266" t="s">
        <v>87</v>
      </c>
      <c r="E266" t="s">
        <v>54</v>
      </c>
      <c r="F266" s="4" t="s">
        <v>82</v>
      </c>
      <c r="G266" t="s">
        <v>239</v>
      </c>
      <c r="H266" t="s">
        <v>252</v>
      </c>
      <c r="I266" t="s">
        <v>384</v>
      </c>
      <c r="J266" t="s">
        <v>360</v>
      </c>
      <c r="K266" t="str">
        <f>Tabla14[[#This Row],[id]]&amp;Tabla14[[#This Row],[Resposable]]</f>
        <v>47Bezalel Mendoza</v>
      </c>
      <c r="L266" t="str">
        <f>Tabla14[[#This Row],[id]]&amp;Tabla14[[#This Row],[Resposable]]</f>
        <v>47Bezalel Mendoza</v>
      </c>
      <c r="M266" t="s">
        <v>252</v>
      </c>
    </row>
    <row r="267" spans="1:13" x14ac:dyDescent="0.25">
      <c r="A267" t="s">
        <v>16</v>
      </c>
      <c r="B267">
        <v>47</v>
      </c>
      <c r="C267" t="s">
        <v>7</v>
      </c>
      <c r="D267" t="s">
        <v>90</v>
      </c>
      <c r="E267" t="s">
        <v>54</v>
      </c>
      <c r="F267" s="4" t="s">
        <v>89</v>
      </c>
      <c r="G267" t="s">
        <v>239</v>
      </c>
      <c r="H267" t="s">
        <v>252</v>
      </c>
      <c r="I267" t="s">
        <v>384</v>
      </c>
      <c r="J267" t="s">
        <v>360</v>
      </c>
      <c r="K267" t="str">
        <f>Tabla14[[#This Row],[id]]&amp;Tabla14[[#This Row],[Resposable]]</f>
        <v>47Bezalel Mendoza</v>
      </c>
      <c r="L267" t="str">
        <f>Tabla14[[#This Row],[id]]&amp;Tabla14[[#This Row],[Resposable]]</f>
        <v>47Bezalel Mendoza</v>
      </c>
      <c r="M267" t="s">
        <v>252</v>
      </c>
    </row>
    <row r="268" spans="1:13" x14ac:dyDescent="0.25">
      <c r="A268" t="s">
        <v>17</v>
      </c>
      <c r="B268">
        <v>52</v>
      </c>
      <c r="C268" t="s">
        <v>5</v>
      </c>
      <c r="D268" t="s">
        <v>46</v>
      </c>
      <c r="E268" t="s">
        <v>47</v>
      </c>
      <c r="F268" s="4" t="s">
        <v>48</v>
      </c>
      <c r="G268" t="s">
        <v>239</v>
      </c>
      <c r="H268" t="s">
        <v>252</v>
      </c>
      <c r="I268" t="s">
        <v>384</v>
      </c>
      <c r="J268" t="s">
        <v>360</v>
      </c>
      <c r="K268" t="str">
        <f>Tabla14[[#This Row],[id]]&amp;Tabla14[[#This Row],[Resposable]]</f>
        <v>52Bezalel Mendoza</v>
      </c>
      <c r="L268" t="str">
        <f>Tabla14[[#This Row],[id]]&amp;Tabla14[[#This Row],[Resposable]]</f>
        <v>52Bezalel Mendoza</v>
      </c>
      <c r="M268" t="s">
        <v>252</v>
      </c>
    </row>
    <row r="269" spans="1:13" x14ac:dyDescent="0.25">
      <c r="A269" t="s">
        <v>17</v>
      </c>
      <c r="B269">
        <v>52</v>
      </c>
      <c r="C269" t="s">
        <v>5</v>
      </c>
      <c r="D269" t="s">
        <v>52</v>
      </c>
      <c r="E269" t="s">
        <v>47</v>
      </c>
      <c r="F269" s="4" t="s">
        <v>48</v>
      </c>
      <c r="G269" t="s">
        <v>239</v>
      </c>
      <c r="H269" t="s">
        <v>252</v>
      </c>
      <c r="I269" t="s">
        <v>384</v>
      </c>
      <c r="J269" t="s">
        <v>360</v>
      </c>
      <c r="K269" t="str">
        <f>Tabla14[[#This Row],[id]]&amp;Tabla14[[#This Row],[Resposable]]</f>
        <v>52Bezalel Mendoza</v>
      </c>
      <c r="L269" t="str">
        <f>Tabla14[[#This Row],[id]]&amp;Tabla14[[#This Row],[Resposable]]</f>
        <v>52Bezalel Mendoza</v>
      </c>
      <c r="M269" t="s">
        <v>252</v>
      </c>
    </row>
    <row r="270" spans="1:13" x14ac:dyDescent="0.25">
      <c r="A270" t="s">
        <v>17</v>
      </c>
      <c r="B270">
        <v>52</v>
      </c>
      <c r="C270" t="s">
        <v>5</v>
      </c>
      <c r="D270" t="s">
        <v>53</v>
      </c>
      <c r="E270" t="s">
        <v>54</v>
      </c>
      <c r="F270" s="4" t="s">
        <v>48</v>
      </c>
      <c r="G270" t="s">
        <v>239</v>
      </c>
      <c r="H270" t="s">
        <v>252</v>
      </c>
      <c r="I270" t="s">
        <v>384</v>
      </c>
      <c r="J270" t="s">
        <v>360</v>
      </c>
      <c r="K270" t="str">
        <f>Tabla14[[#This Row],[id]]&amp;Tabla14[[#This Row],[Resposable]]</f>
        <v>52Bezalel Mendoza</v>
      </c>
      <c r="L270" t="str">
        <f>Tabla14[[#This Row],[id]]&amp;Tabla14[[#This Row],[Resposable]]</f>
        <v>52Bezalel Mendoza</v>
      </c>
      <c r="M270" t="s">
        <v>252</v>
      </c>
    </row>
    <row r="271" spans="1:13" x14ac:dyDescent="0.25">
      <c r="A271" t="s">
        <v>17</v>
      </c>
      <c r="B271">
        <v>52</v>
      </c>
      <c r="C271" t="s">
        <v>5</v>
      </c>
      <c r="D271" t="s">
        <v>64</v>
      </c>
      <c r="E271" t="s">
        <v>47</v>
      </c>
      <c r="F271" s="4" t="s">
        <v>48</v>
      </c>
      <c r="G271" t="s">
        <v>239</v>
      </c>
      <c r="H271" t="s">
        <v>252</v>
      </c>
      <c r="I271" t="s">
        <v>384</v>
      </c>
      <c r="J271" t="s">
        <v>360</v>
      </c>
      <c r="K271" t="str">
        <f>Tabla14[[#This Row],[id]]&amp;Tabla14[[#This Row],[Resposable]]</f>
        <v>52Bezalel Mendoza</v>
      </c>
      <c r="L271" t="str">
        <f>Tabla14[[#This Row],[id]]&amp;Tabla14[[#This Row],[Resposable]]</f>
        <v>52Bezalel Mendoza</v>
      </c>
      <c r="M271" t="s">
        <v>252</v>
      </c>
    </row>
    <row r="272" spans="1:13" x14ac:dyDescent="0.25">
      <c r="A272" t="s">
        <v>310</v>
      </c>
      <c r="B272">
        <v>79</v>
      </c>
      <c r="C272" t="s">
        <v>5</v>
      </c>
      <c r="D272" t="s">
        <v>46</v>
      </c>
      <c r="E272" t="s">
        <v>47</v>
      </c>
      <c r="F272" s="4" t="s">
        <v>48</v>
      </c>
      <c r="G272" t="s">
        <v>239</v>
      </c>
      <c r="H272" t="s">
        <v>252</v>
      </c>
      <c r="I272" t="s">
        <v>384</v>
      </c>
      <c r="J272" t="s">
        <v>360</v>
      </c>
      <c r="K272" t="str">
        <f>Tabla14[[#This Row],[id]]&amp;Tabla14[[#This Row],[Resposable]]</f>
        <v>79Bezalel Mendoza</v>
      </c>
      <c r="L272" t="str">
        <f>Tabla14[[#This Row],[id]]&amp;Tabla14[[#This Row],[Resposable]]</f>
        <v>79Bezalel Mendoza</v>
      </c>
      <c r="M272" t="s">
        <v>252</v>
      </c>
    </row>
    <row r="273" spans="1:13" x14ac:dyDescent="0.25">
      <c r="A273" t="s">
        <v>310</v>
      </c>
      <c r="B273">
        <v>79</v>
      </c>
      <c r="C273" t="s">
        <v>5</v>
      </c>
      <c r="D273" t="s">
        <v>52</v>
      </c>
      <c r="E273" t="s">
        <v>47</v>
      </c>
      <c r="F273" s="4" t="s">
        <v>48</v>
      </c>
      <c r="G273" t="s">
        <v>239</v>
      </c>
      <c r="H273" t="s">
        <v>252</v>
      </c>
      <c r="I273" t="s">
        <v>384</v>
      </c>
      <c r="J273" t="s">
        <v>360</v>
      </c>
      <c r="K273" t="str">
        <f>Tabla14[[#This Row],[id]]&amp;Tabla14[[#This Row],[Resposable]]</f>
        <v>79Bezalel Mendoza</v>
      </c>
      <c r="L273" t="str">
        <f>Tabla14[[#This Row],[id]]&amp;Tabla14[[#This Row],[Resposable]]</f>
        <v>79Bezalel Mendoza</v>
      </c>
      <c r="M273" t="s">
        <v>252</v>
      </c>
    </row>
    <row r="274" spans="1:13" x14ac:dyDescent="0.25">
      <c r="A274" t="s">
        <v>310</v>
      </c>
      <c r="B274">
        <v>79</v>
      </c>
      <c r="C274" t="s">
        <v>5</v>
      </c>
      <c r="D274" t="s">
        <v>53</v>
      </c>
      <c r="E274" t="s">
        <v>54</v>
      </c>
      <c r="F274" s="4" t="s">
        <v>48</v>
      </c>
      <c r="G274" t="s">
        <v>239</v>
      </c>
      <c r="H274" t="s">
        <v>252</v>
      </c>
      <c r="I274" t="s">
        <v>384</v>
      </c>
      <c r="J274" t="s">
        <v>360</v>
      </c>
      <c r="K274" t="str">
        <f>Tabla14[[#This Row],[id]]&amp;Tabla14[[#This Row],[Resposable]]</f>
        <v>79Bezalel Mendoza</v>
      </c>
      <c r="L274" t="str">
        <f>Tabla14[[#This Row],[id]]&amp;Tabla14[[#This Row],[Resposable]]</f>
        <v>79Bezalel Mendoza</v>
      </c>
      <c r="M274" t="s">
        <v>252</v>
      </c>
    </row>
    <row r="275" spans="1:13" x14ac:dyDescent="0.25">
      <c r="A275" t="s">
        <v>310</v>
      </c>
      <c r="B275">
        <v>79</v>
      </c>
      <c r="C275" t="s">
        <v>5</v>
      </c>
      <c r="D275" t="s">
        <v>64</v>
      </c>
      <c r="E275" t="s">
        <v>47</v>
      </c>
      <c r="F275" s="4" t="s">
        <v>48</v>
      </c>
      <c r="G275" t="s">
        <v>239</v>
      </c>
      <c r="H275" t="s">
        <v>252</v>
      </c>
      <c r="I275" t="s">
        <v>384</v>
      </c>
      <c r="J275" t="s">
        <v>360</v>
      </c>
      <c r="K275" t="str">
        <f>Tabla14[[#This Row],[id]]&amp;Tabla14[[#This Row],[Resposable]]</f>
        <v>79Bezalel Mendoza</v>
      </c>
      <c r="L275" t="str">
        <f>Tabla14[[#This Row],[id]]&amp;Tabla14[[#This Row],[Resposable]]</f>
        <v>79Bezalel Mendoza</v>
      </c>
      <c r="M275" t="s">
        <v>252</v>
      </c>
    </row>
    <row r="276" spans="1:13" x14ac:dyDescent="0.25">
      <c r="A276" t="s">
        <v>24</v>
      </c>
      <c r="B276">
        <v>106</v>
      </c>
      <c r="C276" t="s">
        <v>5</v>
      </c>
      <c r="D276" t="s">
        <v>116</v>
      </c>
      <c r="E276" t="s">
        <v>47</v>
      </c>
      <c r="F276" s="4" t="s">
        <v>58</v>
      </c>
      <c r="G276" t="s">
        <v>239</v>
      </c>
      <c r="H276" t="s">
        <v>252</v>
      </c>
      <c r="I276" t="s">
        <v>384</v>
      </c>
      <c r="J276" t="s">
        <v>360</v>
      </c>
      <c r="K276" t="str">
        <f>Tabla14[[#This Row],[id]]&amp;Tabla14[[#This Row],[Resposable]]</f>
        <v>106Bezalel Mendoza</v>
      </c>
      <c r="L276" t="str">
        <f>Tabla14[[#This Row],[id]]&amp;Tabla14[[#This Row],[Resposable]]</f>
        <v>106Bezalel Mendoza</v>
      </c>
      <c r="M276" t="s">
        <v>252</v>
      </c>
    </row>
    <row r="277" spans="1:13" x14ac:dyDescent="0.25">
      <c r="A277" t="s">
        <v>24</v>
      </c>
      <c r="B277">
        <v>106</v>
      </c>
      <c r="C277" t="s">
        <v>5</v>
      </c>
      <c r="D277" t="s">
        <v>46</v>
      </c>
      <c r="E277" t="s">
        <v>47</v>
      </c>
      <c r="F277" s="4" t="s">
        <v>96</v>
      </c>
      <c r="G277" t="s">
        <v>239</v>
      </c>
      <c r="H277" t="s">
        <v>252</v>
      </c>
      <c r="I277" t="s">
        <v>384</v>
      </c>
      <c r="J277" t="s">
        <v>360</v>
      </c>
      <c r="K277" t="str">
        <f>Tabla14[[#This Row],[id]]&amp;Tabla14[[#This Row],[Resposable]]</f>
        <v>106Bezalel Mendoza</v>
      </c>
      <c r="L277" t="str">
        <f>Tabla14[[#This Row],[id]]&amp;Tabla14[[#This Row],[Resposable]]</f>
        <v>106Bezalel Mendoza</v>
      </c>
      <c r="M277" t="s">
        <v>252</v>
      </c>
    </row>
    <row r="278" spans="1:13" x14ac:dyDescent="0.25">
      <c r="A278" t="s">
        <v>25</v>
      </c>
      <c r="B278">
        <v>106</v>
      </c>
      <c r="C278" t="s">
        <v>5</v>
      </c>
      <c r="D278" t="s">
        <v>53</v>
      </c>
      <c r="E278" t="s">
        <v>47</v>
      </c>
      <c r="F278" s="4" t="s">
        <v>96</v>
      </c>
      <c r="G278" t="s">
        <v>239</v>
      </c>
      <c r="H278" t="s">
        <v>252</v>
      </c>
      <c r="I278" t="s">
        <v>384</v>
      </c>
      <c r="J278" t="s">
        <v>360</v>
      </c>
      <c r="K278" t="str">
        <f>Tabla14[[#This Row],[id]]&amp;Tabla14[[#This Row],[Resposable]]</f>
        <v>106Bezalel Mendoza</v>
      </c>
      <c r="L278" t="str">
        <f>Tabla14[[#This Row],[id]]&amp;Tabla14[[#This Row],[Resposable]]</f>
        <v>106Bezalel Mendoza</v>
      </c>
      <c r="M278" t="s">
        <v>252</v>
      </c>
    </row>
    <row r="279" spans="1:13" x14ac:dyDescent="0.25">
      <c r="A279" t="s">
        <v>25</v>
      </c>
      <c r="B279">
        <v>106</v>
      </c>
      <c r="C279" t="s">
        <v>5</v>
      </c>
      <c r="D279" t="s">
        <v>147</v>
      </c>
      <c r="E279" t="s">
        <v>47</v>
      </c>
      <c r="F279" s="4" t="s">
        <v>96</v>
      </c>
      <c r="G279" t="s">
        <v>239</v>
      </c>
      <c r="H279" t="s">
        <v>252</v>
      </c>
      <c r="I279" t="s">
        <v>384</v>
      </c>
      <c r="J279" t="s">
        <v>360</v>
      </c>
      <c r="K279" t="str">
        <f>Tabla14[[#This Row],[id]]&amp;Tabla14[[#This Row],[Resposable]]</f>
        <v>106Bezalel Mendoza</v>
      </c>
      <c r="L279" t="str">
        <f>Tabla14[[#This Row],[id]]&amp;Tabla14[[#This Row],[Resposable]]</f>
        <v>106Bezalel Mendoza</v>
      </c>
      <c r="M279" t="s">
        <v>252</v>
      </c>
    </row>
    <row r="280" spans="1:13" x14ac:dyDescent="0.25">
      <c r="A280" t="s">
        <v>25</v>
      </c>
      <c r="B280">
        <v>106</v>
      </c>
      <c r="C280" t="s">
        <v>5</v>
      </c>
      <c r="D280" t="s">
        <v>64</v>
      </c>
      <c r="E280" t="s">
        <v>47</v>
      </c>
      <c r="F280" s="4" t="s">
        <v>96</v>
      </c>
      <c r="G280" t="s">
        <v>239</v>
      </c>
      <c r="H280" t="s">
        <v>252</v>
      </c>
      <c r="I280" t="s">
        <v>384</v>
      </c>
      <c r="J280" t="s">
        <v>360</v>
      </c>
      <c r="K280" t="str">
        <f>Tabla14[[#This Row],[id]]&amp;Tabla14[[#This Row],[Resposable]]</f>
        <v>106Bezalel Mendoza</v>
      </c>
      <c r="L280" t="str">
        <f>Tabla14[[#This Row],[id]]&amp;Tabla14[[#This Row],[Resposable]]</f>
        <v>106Bezalel Mendoza</v>
      </c>
      <c r="M280" t="s">
        <v>252</v>
      </c>
    </row>
    <row r="281" spans="1:13" x14ac:dyDescent="0.25">
      <c r="A281" t="s">
        <v>27</v>
      </c>
      <c r="B281">
        <v>110</v>
      </c>
      <c r="C281" t="s">
        <v>5</v>
      </c>
      <c r="D281" t="s">
        <v>46</v>
      </c>
      <c r="E281" t="s">
        <v>47</v>
      </c>
      <c r="F281" s="4" t="s">
        <v>48</v>
      </c>
      <c r="G281" t="s">
        <v>239</v>
      </c>
      <c r="H281" t="s">
        <v>252</v>
      </c>
      <c r="I281" t="s">
        <v>384</v>
      </c>
      <c r="J281" t="s">
        <v>360</v>
      </c>
      <c r="K281" t="str">
        <f>Tabla14[[#This Row],[id]]&amp;Tabla14[[#This Row],[Resposable]]</f>
        <v>110Bezalel Mendoza</v>
      </c>
      <c r="L281" t="str">
        <f>Tabla14[[#This Row],[id]]&amp;Tabla14[[#This Row],[Resposable]]</f>
        <v>110Bezalel Mendoza</v>
      </c>
      <c r="M281" t="s">
        <v>252</v>
      </c>
    </row>
    <row r="282" spans="1:13" x14ac:dyDescent="0.25">
      <c r="A282" t="s">
        <v>27</v>
      </c>
      <c r="B282">
        <v>110</v>
      </c>
      <c r="C282" t="s">
        <v>7</v>
      </c>
      <c r="D282" t="s">
        <v>98</v>
      </c>
      <c r="E282" t="s">
        <v>47</v>
      </c>
      <c r="F282" s="4" t="s">
        <v>82</v>
      </c>
      <c r="G282" t="s">
        <v>239</v>
      </c>
      <c r="H282" t="s">
        <v>252</v>
      </c>
      <c r="I282" t="s">
        <v>384</v>
      </c>
      <c r="J282" t="s">
        <v>360</v>
      </c>
      <c r="K282" t="str">
        <f>Tabla14[[#This Row],[id]]&amp;Tabla14[[#This Row],[Resposable]]</f>
        <v>110Bezalel Mendoza</v>
      </c>
      <c r="L282" t="str">
        <f>Tabla14[[#This Row],[id]]&amp;Tabla14[[#This Row],[Resposable]]</f>
        <v>110Bezalel Mendoza</v>
      </c>
      <c r="M282" t="s">
        <v>252</v>
      </c>
    </row>
    <row r="283" spans="1:13" x14ac:dyDescent="0.25">
      <c r="A283" t="s">
        <v>27</v>
      </c>
      <c r="B283">
        <v>110</v>
      </c>
      <c r="C283" t="s">
        <v>5</v>
      </c>
      <c r="D283" t="s">
        <v>52</v>
      </c>
      <c r="E283" t="s">
        <v>47</v>
      </c>
      <c r="F283" s="4" t="s">
        <v>48</v>
      </c>
      <c r="G283" t="s">
        <v>239</v>
      </c>
      <c r="H283" t="s">
        <v>252</v>
      </c>
      <c r="I283" t="s">
        <v>384</v>
      </c>
      <c r="J283" t="s">
        <v>360</v>
      </c>
      <c r="K283" t="str">
        <f>Tabla14[[#This Row],[id]]&amp;Tabla14[[#This Row],[Resposable]]</f>
        <v>110Bezalel Mendoza</v>
      </c>
      <c r="L283" t="str">
        <f>Tabla14[[#This Row],[id]]&amp;Tabla14[[#This Row],[Resposable]]</f>
        <v>110Bezalel Mendoza</v>
      </c>
      <c r="M283" t="s">
        <v>252</v>
      </c>
    </row>
    <row r="284" spans="1:13" x14ac:dyDescent="0.25">
      <c r="A284" t="s">
        <v>27</v>
      </c>
      <c r="B284">
        <v>110</v>
      </c>
      <c r="C284" t="s">
        <v>5</v>
      </c>
      <c r="D284" t="s">
        <v>53</v>
      </c>
      <c r="E284" t="s">
        <v>54</v>
      </c>
      <c r="F284" s="4" t="s">
        <v>48</v>
      </c>
      <c r="G284" t="s">
        <v>239</v>
      </c>
      <c r="H284" t="s">
        <v>252</v>
      </c>
      <c r="I284" t="s">
        <v>384</v>
      </c>
      <c r="J284" t="s">
        <v>360</v>
      </c>
      <c r="K284" t="str">
        <f>Tabla14[[#This Row],[id]]&amp;Tabla14[[#This Row],[Resposable]]</f>
        <v>110Bezalel Mendoza</v>
      </c>
      <c r="L284" t="str">
        <f>Tabla14[[#This Row],[id]]&amp;Tabla14[[#This Row],[Resposable]]</f>
        <v>110Bezalel Mendoza</v>
      </c>
      <c r="M284" t="s">
        <v>252</v>
      </c>
    </row>
    <row r="285" spans="1:13" x14ac:dyDescent="0.25">
      <c r="A285" t="s">
        <v>27</v>
      </c>
      <c r="B285">
        <v>110</v>
      </c>
      <c r="C285" t="s">
        <v>5</v>
      </c>
      <c r="D285" t="s">
        <v>64</v>
      </c>
      <c r="E285" t="s">
        <v>47</v>
      </c>
      <c r="F285" s="4" t="s">
        <v>48</v>
      </c>
      <c r="G285" t="s">
        <v>239</v>
      </c>
      <c r="H285" t="s">
        <v>252</v>
      </c>
      <c r="I285" t="s">
        <v>384</v>
      </c>
      <c r="J285" t="s">
        <v>360</v>
      </c>
      <c r="K285" t="str">
        <f>Tabla14[[#This Row],[id]]&amp;Tabla14[[#This Row],[Resposable]]</f>
        <v>110Bezalel Mendoza</v>
      </c>
      <c r="L285" t="str">
        <f>Tabla14[[#This Row],[id]]&amp;Tabla14[[#This Row],[Resposable]]</f>
        <v>110Bezalel Mendoza</v>
      </c>
      <c r="M285" t="s">
        <v>252</v>
      </c>
    </row>
    <row r="286" spans="1:13" x14ac:dyDescent="0.25">
      <c r="A286" s="18" t="s">
        <v>31</v>
      </c>
      <c r="B286" s="18">
        <v>137</v>
      </c>
      <c r="C286" s="18" t="s">
        <v>5</v>
      </c>
      <c r="D286" s="18" t="s">
        <v>46</v>
      </c>
      <c r="E286" s="18" t="s">
        <v>47</v>
      </c>
      <c r="F286" s="19" t="s">
        <v>48</v>
      </c>
      <c r="G286" s="18" t="s">
        <v>239</v>
      </c>
      <c r="H286" t="s">
        <v>252</v>
      </c>
      <c r="I286" t="s">
        <v>384</v>
      </c>
      <c r="J286" t="s">
        <v>360</v>
      </c>
      <c r="K286" t="str">
        <f>Tabla14[[#This Row],[id]]&amp;Tabla14[[#This Row],[Resposable]]</f>
        <v>137Bezalel Mendoza</v>
      </c>
      <c r="L286" t="str">
        <f>Tabla14[[#This Row],[id]]&amp;Tabla14[[#This Row],[Resposable]]</f>
        <v>137Bezalel Mendoza</v>
      </c>
      <c r="M286" t="s">
        <v>252</v>
      </c>
    </row>
    <row r="287" spans="1:13" x14ac:dyDescent="0.25">
      <c r="A287" s="18" t="s">
        <v>31</v>
      </c>
      <c r="B287" s="18">
        <v>137</v>
      </c>
      <c r="C287" s="18" t="s">
        <v>5</v>
      </c>
      <c r="D287" s="18" t="s">
        <v>52</v>
      </c>
      <c r="E287" s="18" t="s">
        <v>47</v>
      </c>
      <c r="F287" s="19" t="s">
        <v>48</v>
      </c>
      <c r="G287" s="18" t="s">
        <v>239</v>
      </c>
      <c r="H287" t="s">
        <v>252</v>
      </c>
      <c r="I287" t="s">
        <v>384</v>
      </c>
      <c r="J287" t="s">
        <v>360</v>
      </c>
      <c r="K287" t="str">
        <f>Tabla14[[#This Row],[id]]&amp;Tabla14[[#This Row],[Resposable]]</f>
        <v>137Bezalel Mendoza</v>
      </c>
      <c r="L287" t="str">
        <f>Tabla14[[#This Row],[id]]&amp;Tabla14[[#This Row],[Resposable]]</f>
        <v>137Bezalel Mendoza</v>
      </c>
      <c r="M287" t="s">
        <v>252</v>
      </c>
    </row>
    <row r="288" spans="1:13" x14ac:dyDescent="0.25">
      <c r="A288" s="18" t="s">
        <v>31</v>
      </c>
      <c r="B288" s="18">
        <v>137</v>
      </c>
      <c r="C288" s="18" t="s">
        <v>5</v>
      </c>
      <c r="D288" s="18" t="s">
        <v>53</v>
      </c>
      <c r="E288" s="18" t="s">
        <v>54</v>
      </c>
      <c r="F288" s="19" t="s">
        <v>48</v>
      </c>
      <c r="G288" s="18" t="s">
        <v>239</v>
      </c>
      <c r="H288" t="s">
        <v>252</v>
      </c>
      <c r="I288" t="s">
        <v>384</v>
      </c>
      <c r="J288" t="s">
        <v>360</v>
      </c>
      <c r="K288" t="str">
        <f>Tabla14[[#This Row],[id]]&amp;Tabla14[[#This Row],[Resposable]]</f>
        <v>137Bezalel Mendoza</v>
      </c>
      <c r="L288" t="str">
        <f>Tabla14[[#This Row],[id]]&amp;Tabla14[[#This Row],[Resposable]]</f>
        <v>137Bezalel Mendoza</v>
      </c>
      <c r="M288" t="s">
        <v>252</v>
      </c>
    </row>
    <row r="289" spans="1:13" x14ac:dyDescent="0.25">
      <c r="A289" s="18" t="s">
        <v>31</v>
      </c>
      <c r="B289" s="18">
        <v>137</v>
      </c>
      <c r="C289" s="18" t="s">
        <v>5</v>
      </c>
      <c r="D289" s="18" t="s">
        <v>64</v>
      </c>
      <c r="E289" s="18" t="s">
        <v>47</v>
      </c>
      <c r="F289" s="19" t="s">
        <v>48</v>
      </c>
      <c r="G289" s="18" t="s">
        <v>239</v>
      </c>
      <c r="H289" t="s">
        <v>252</v>
      </c>
      <c r="I289" t="s">
        <v>384</v>
      </c>
      <c r="J289" t="s">
        <v>360</v>
      </c>
      <c r="K289" t="str">
        <f>Tabla14[[#This Row],[id]]&amp;Tabla14[[#This Row],[Resposable]]</f>
        <v>137Bezalel Mendoza</v>
      </c>
      <c r="L289" t="str">
        <f>Tabla14[[#This Row],[id]]&amp;Tabla14[[#This Row],[Resposable]]</f>
        <v>137Bezalel Mendoza</v>
      </c>
      <c r="M289" t="s">
        <v>252</v>
      </c>
    </row>
    <row r="290" spans="1:13" x14ac:dyDescent="0.25">
      <c r="A290" s="18" t="s">
        <v>32</v>
      </c>
      <c r="B290" s="18">
        <v>155</v>
      </c>
      <c r="C290" s="18" t="s">
        <v>5</v>
      </c>
      <c r="D290" s="18" t="s">
        <v>46</v>
      </c>
      <c r="E290" s="18" t="s">
        <v>47</v>
      </c>
      <c r="F290" s="19" t="s">
        <v>48</v>
      </c>
      <c r="G290" s="18" t="s">
        <v>239</v>
      </c>
      <c r="H290" t="s">
        <v>252</v>
      </c>
      <c r="I290" t="s">
        <v>384</v>
      </c>
      <c r="J290" t="s">
        <v>360</v>
      </c>
      <c r="K290" t="str">
        <f>Tabla14[[#This Row],[id]]&amp;Tabla14[[#This Row],[Resposable]]</f>
        <v>155Bezalel Mendoza</v>
      </c>
      <c r="L290" t="str">
        <f>Tabla14[[#This Row],[id]]&amp;Tabla14[[#This Row],[Resposable]]</f>
        <v>155Bezalel Mendoza</v>
      </c>
      <c r="M290" t="s">
        <v>252</v>
      </c>
    </row>
    <row r="291" spans="1:13" x14ac:dyDescent="0.25">
      <c r="A291" s="18" t="s">
        <v>32</v>
      </c>
      <c r="B291" s="18">
        <v>155</v>
      </c>
      <c r="C291" s="18" t="s">
        <v>5</v>
      </c>
      <c r="D291" s="18" t="s">
        <v>52</v>
      </c>
      <c r="E291" s="18" t="s">
        <v>47</v>
      </c>
      <c r="F291" s="19" t="s">
        <v>48</v>
      </c>
      <c r="G291" s="18" t="s">
        <v>239</v>
      </c>
      <c r="H291" t="s">
        <v>252</v>
      </c>
      <c r="I291" t="s">
        <v>384</v>
      </c>
      <c r="J291" t="s">
        <v>360</v>
      </c>
      <c r="K291" t="str">
        <f>Tabla14[[#This Row],[id]]&amp;Tabla14[[#This Row],[Resposable]]</f>
        <v>155Bezalel Mendoza</v>
      </c>
      <c r="L291" t="str">
        <f>Tabla14[[#This Row],[id]]&amp;Tabla14[[#This Row],[Resposable]]</f>
        <v>155Bezalel Mendoza</v>
      </c>
      <c r="M291" t="s">
        <v>252</v>
      </c>
    </row>
    <row r="292" spans="1:13" x14ac:dyDescent="0.25">
      <c r="A292" s="18" t="s">
        <v>32</v>
      </c>
      <c r="B292" s="18">
        <v>155</v>
      </c>
      <c r="C292" s="18" t="s">
        <v>5</v>
      </c>
      <c r="D292" s="18" t="s">
        <v>53</v>
      </c>
      <c r="E292" s="18" t="s">
        <v>54</v>
      </c>
      <c r="F292" s="19" t="s">
        <v>48</v>
      </c>
      <c r="G292" s="18" t="s">
        <v>239</v>
      </c>
      <c r="H292" t="s">
        <v>252</v>
      </c>
      <c r="I292" t="s">
        <v>384</v>
      </c>
      <c r="J292" t="s">
        <v>360</v>
      </c>
      <c r="K292" t="str">
        <f>Tabla14[[#This Row],[id]]&amp;Tabla14[[#This Row],[Resposable]]</f>
        <v>155Bezalel Mendoza</v>
      </c>
      <c r="L292" t="str">
        <f>Tabla14[[#This Row],[id]]&amp;Tabla14[[#This Row],[Resposable]]</f>
        <v>155Bezalel Mendoza</v>
      </c>
      <c r="M292" t="s">
        <v>252</v>
      </c>
    </row>
    <row r="293" spans="1:13" x14ac:dyDescent="0.25">
      <c r="A293" s="18" t="s">
        <v>32</v>
      </c>
      <c r="B293" s="18">
        <v>155</v>
      </c>
      <c r="C293" s="18" t="s">
        <v>5</v>
      </c>
      <c r="D293" s="18" t="s">
        <v>64</v>
      </c>
      <c r="E293" s="18" t="s">
        <v>47</v>
      </c>
      <c r="F293" s="19" t="s">
        <v>48</v>
      </c>
      <c r="G293" s="18" t="s">
        <v>239</v>
      </c>
      <c r="H293" t="s">
        <v>252</v>
      </c>
      <c r="I293" t="s">
        <v>384</v>
      </c>
      <c r="J293" t="s">
        <v>360</v>
      </c>
      <c r="K293" t="str">
        <f>Tabla14[[#This Row],[id]]&amp;Tabla14[[#This Row],[Resposable]]</f>
        <v>155Bezalel Mendoza</v>
      </c>
      <c r="L293" t="str">
        <f>Tabla14[[#This Row],[id]]&amp;Tabla14[[#This Row],[Resposable]]</f>
        <v>155Bezalel Mendoza</v>
      </c>
      <c r="M293" t="s">
        <v>252</v>
      </c>
    </row>
    <row r="294" spans="1:13" x14ac:dyDescent="0.25">
      <c r="A294" t="s">
        <v>245</v>
      </c>
      <c r="B294">
        <v>2</v>
      </c>
      <c r="C294" t="s">
        <v>5</v>
      </c>
      <c r="D294" t="s">
        <v>46</v>
      </c>
      <c r="E294" t="s">
        <v>47</v>
      </c>
      <c r="F294" s="4" t="s">
        <v>48</v>
      </c>
      <c r="G294" t="s">
        <v>239</v>
      </c>
      <c r="H294" t="s">
        <v>241</v>
      </c>
      <c r="I294" t="s">
        <v>384</v>
      </c>
      <c r="J294" t="s">
        <v>360</v>
      </c>
      <c r="K294" t="str">
        <f>Tabla14[[#This Row],[id]]&amp;Tabla14[[#This Row],[Resposable]]</f>
        <v>2Bezalel Mendoza</v>
      </c>
      <c r="L294" t="str">
        <f>Tabla14[[#This Row],[id]]&amp;Tabla14[[#This Row],[Resposable]]</f>
        <v>2Bezalel Mendoza</v>
      </c>
      <c r="M294" t="s">
        <v>241</v>
      </c>
    </row>
    <row r="295" spans="1:13" x14ac:dyDescent="0.25">
      <c r="A295" t="s">
        <v>305</v>
      </c>
      <c r="B295">
        <v>43</v>
      </c>
      <c r="C295" t="s">
        <v>5</v>
      </c>
      <c r="D295" t="s">
        <v>46</v>
      </c>
      <c r="E295" t="s">
        <v>47</v>
      </c>
      <c r="F295" s="4" t="s">
        <v>48</v>
      </c>
      <c r="G295" t="s">
        <v>239</v>
      </c>
      <c r="H295" t="s">
        <v>240</v>
      </c>
      <c r="I295" t="s">
        <v>384</v>
      </c>
      <c r="J295" t="s">
        <v>360</v>
      </c>
      <c r="K295" t="str">
        <f>Tabla14[[#This Row],[id]]&amp;Tabla14[[#This Row],[Resposable]]</f>
        <v>43Bezalel Mendoza</v>
      </c>
      <c r="L295" t="str">
        <f>Tabla14[[#This Row],[id]]&amp;Tabla14[[#This Row],[Resposable]]</f>
        <v>43Bezalel Mendoza</v>
      </c>
      <c r="M295" t="s">
        <v>240</v>
      </c>
    </row>
    <row r="296" spans="1:13" x14ac:dyDescent="0.25">
      <c r="A296" t="s">
        <v>305</v>
      </c>
      <c r="B296">
        <v>43</v>
      </c>
      <c r="C296" t="s">
        <v>5</v>
      </c>
      <c r="D296" t="s">
        <v>52</v>
      </c>
      <c r="E296" t="s">
        <v>47</v>
      </c>
      <c r="F296" s="4" t="s">
        <v>48</v>
      </c>
      <c r="G296" t="s">
        <v>239</v>
      </c>
      <c r="H296" t="s">
        <v>240</v>
      </c>
      <c r="I296" t="s">
        <v>384</v>
      </c>
      <c r="J296" t="s">
        <v>360</v>
      </c>
      <c r="K296" t="str">
        <f>Tabla14[[#This Row],[id]]&amp;Tabla14[[#This Row],[Resposable]]</f>
        <v>43Bezalel Mendoza</v>
      </c>
      <c r="L296" t="str">
        <f>Tabla14[[#This Row],[id]]&amp;Tabla14[[#This Row],[Resposable]]</f>
        <v>43Bezalel Mendoza</v>
      </c>
      <c r="M296" t="s">
        <v>240</v>
      </c>
    </row>
    <row r="297" spans="1:13" x14ac:dyDescent="0.25">
      <c r="A297" t="s">
        <v>305</v>
      </c>
      <c r="B297">
        <v>43</v>
      </c>
      <c r="C297" t="s">
        <v>5</v>
      </c>
      <c r="D297" t="s">
        <v>53</v>
      </c>
      <c r="E297" t="s">
        <v>54</v>
      </c>
      <c r="F297" s="4" t="s">
        <v>48</v>
      </c>
      <c r="G297" t="s">
        <v>239</v>
      </c>
      <c r="H297" t="s">
        <v>240</v>
      </c>
      <c r="I297" t="s">
        <v>384</v>
      </c>
      <c r="J297" t="s">
        <v>360</v>
      </c>
      <c r="K297" t="str">
        <f>Tabla14[[#This Row],[id]]&amp;Tabla14[[#This Row],[Resposable]]</f>
        <v>43Bezalel Mendoza</v>
      </c>
      <c r="L297" t="str">
        <f>Tabla14[[#This Row],[id]]&amp;Tabla14[[#This Row],[Resposable]]</f>
        <v>43Bezalel Mendoza</v>
      </c>
      <c r="M297" t="s">
        <v>240</v>
      </c>
    </row>
    <row r="298" spans="1:13" x14ac:dyDescent="0.25">
      <c r="A298" t="s">
        <v>305</v>
      </c>
      <c r="B298">
        <v>43</v>
      </c>
      <c r="C298" t="s">
        <v>5</v>
      </c>
      <c r="D298" t="s">
        <v>64</v>
      </c>
      <c r="E298" t="s">
        <v>47</v>
      </c>
      <c r="F298" s="4" t="s">
        <v>48</v>
      </c>
      <c r="G298" t="s">
        <v>239</v>
      </c>
      <c r="H298" t="s">
        <v>240</v>
      </c>
      <c r="I298" t="s">
        <v>384</v>
      </c>
      <c r="J298" t="s">
        <v>360</v>
      </c>
      <c r="K298" t="str">
        <f>Tabla14[[#This Row],[id]]&amp;Tabla14[[#This Row],[Resposable]]</f>
        <v>43Bezalel Mendoza</v>
      </c>
      <c r="L298" t="str">
        <f>Tabla14[[#This Row],[id]]&amp;Tabla14[[#This Row],[Resposable]]</f>
        <v>43Bezalel Mendoza</v>
      </c>
      <c r="M298" t="s">
        <v>240</v>
      </c>
    </row>
    <row r="299" spans="1:13" x14ac:dyDescent="0.25">
      <c r="A299" t="s">
        <v>24</v>
      </c>
      <c r="B299">
        <v>49</v>
      </c>
      <c r="C299" t="s">
        <v>5</v>
      </c>
      <c r="D299" t="s">
        <v>116</v>
      </c>
      <c r="E299" t="s">
        <v>47</v>
      </c>
      <c r="F299" s="4" t="s">
        <v>58</v>
      </c>
      <c r="G299" t="s">
        <v>239</v>
      </c>
      <c r="H299" t="s">
        <v>240</v>
      </c>
      <c r="I299" t="s">
        <v>384</v>
      </c>
      <c r="J299" t="s">
        <v>360</v>
      </c>
      <c r="K299" t="str">
        <f>Tabla14[[#This Row],[id]]&amp;Tabla14[[#This Row],[Resposable]]</f>
        <v>49Bezalel Mendoza</v>
      </c>
      <c r="L299" t="str">
        <f>Tabla14[[#This Row],[id]]&amp;Tabla14[[#This Row],[Resposable]]</f>
        <v>49Bezalel Mendoza</v>
      </c>
      <c r="M299" t="s">
        <v>240</v>
      </c>
    </row>
    <row r="300" spans="1:13" x14ac:dyDescent="0.25">
      <c r="A300" t="s">
        <v>24</v>
      </c>
      <c r="B300">
        <v>49</v>
      </c>
      <c r="C300" t="s">
        <v>5</v>
      </c>
      <c r="D300" t="s">
        <v>46</v>
      </c>
      <c r="E300" t="s">
        <v>47</v>
      </c>
      <c r="F300" s="4" t="s">
        <v>96</v>
      </c>
      <c r="G300" t="s">
        <v>239</v>
      </c>
      <c r="H300" t="s">
        <v>240</v>
      </c>
      <c r="I300" t="s">
        <v>384</v>
      </c>
      <c r="J300" t="s">
        <v>360</v>
      </c>
      <c r="K300" t="str">
        <f>Tabla14[[#This Row],[id]]&amp;Tabla14[[#This Row],[Resposable]]</f>
        <v>49Bezalel Mendoza</v>
      </c>
      <c r="L300" t="str">
        <f>Tabla14[[#This Row],[id]]&amp;Tabla14[[#This Row],[Resposable]]</f>
        <v>49Bezalel Mendoza</v>
      </c>
      <c r="M300" t="s">
        <v>240</v>
      </c>
    </row>
    <row r="301" spans="1:13" x14ac:dyDescent="0.25">
      <c r="A301" t="s">
        <v>25</v>
      </c>
      <c r="B301">
        <v>49</v>
      </c>
      <c r="C301" t="s">
        <v>5</v>
      </c>
      <c r="D301" t="s">
        <v>147</v>
      </c>
      <c r="E301" t="s">
        <v>47</v>
      </c>
      <c r="F301" s="4" t="s">
        <v>96</v>
      </c>
      <c r="G301" t="s">
        <v>239</v>
      </c>
      <c r="H301" t="s">
        <v>240</v>
      </c>
      <c r="I301" t="s">
        <v>384</v>
      </c>
      <c r="J301" t="s">
        <v>360</v>
      </c>
      <c r="K301" t="str">
        <f>Tabla14[[#This Row],[id]]&amp;Tabla14[[#This Row],[Resposable]]</f>
        <v>49Bezalel Mendoza</v>
      </c>
      <c r="L301" t="str">
        <f>Tabla14[[#This Row],[id]]&amp;Tabla14[[#This Row],[Resposable]]</f>
        <v>49Bezalel Mendoza</v>
      </c>
      <c r="M301" t="s">
        <v>240</v>
      </c>
    </row>
    <row r="302" spans="1:13" x14ac:dyDescent="0.25">
      <c r="A302" t="s">
        <v>25</v>
      </c>
      <c r="B302">
        <v>49</v>
      </c>
      <c r="C302" t="s">
        <v>5</v>
      </c>
      <c r="D302" t="s">
        <v>64</v>
      </c>
      <c r="E302" t="s">
        <v>47</v>
      </c>
      <c r="F302" s="4" t="s">
        <v>96</v>
      </c>
      <c r="G302" t="s">
        <v>239</v>
      </c>
      <c r="H302" t="s">
        <v>240</v>
      </c>
      <c r="I302" t="s">
        <v>384</v>
      </c>
      <c r="J302" t="s">
        <v>360</v>
      </c>
      <c r="K302" t="str">
        <f>Tabla14[[#This Row],[id]]&amp;Tabla14[[#This Row],[Resposable]]</f>
        <v>49Bezalel Mendoza</v>
      </c>
      <c r="L302" t="str">
        <f>Tabla14[[#This Row],[id]]&amp;Tabla14[[#This Row],[Resposable]]</f>
        <v>49Bezalel Mendoza</v>
      </c>
      <c r="M302" t="s">
        <v>240</v>
      </c>
    </row>
    <row r="303" spans="1:13" x14ac:dyDescent="0.25">
      <c r="A303" t="s">
        <v>28</v>
      </c>
      <c r="B303">
        <v>49</v>
      </c>
      <c r="C303" t="s">
        <v>5</v>
      </c>
      <c r="D303" t="s">
        <v>46</v>
      </c>
      <c r="E303" t="s">
        <v>54</v>
      </c>
      <c r="F303" s="4" t="s">
        <v>89</v>
      </c>
      <c r="G303" t="s">
        <v>239</v>
      </c>
      <c r="H303" t="s">
        <v>240</v>
      </c>
      <c r="I303" t="s">
        <v>384</v>
      </c>
      <c r="J303" t="s">
        <v>360</v>
      </c>
      <c r="K303" t="str">
        <f>Tabla14[[#This Row],[id]]&amp;Tabla14[[#This Row],[Resposable]]</f>
        <v>49Bezalel Mendoza</v>
      </c>
      <c r="L303" t="str">
        <f>Tabla14[[#This Row],[id]]&amp;Tabla14[[#This Row],[Resposable]]</f>
        <v>49Bezalel Mendoza</v>
      </c>
      <c r="M303" t="s">
        <v>240</v>
      </c>
    </row>
    <row r="304" spans="1:13" x14ac:dyDescent="0.25">
      <c r="A304" t="s">
        <v>28</v>
      </c>
      <c r="B304">
        <v>49</v>
      </c>
      <c r="C304" t="s">
        <v>5</v>
      </c>
      <c r="D304" t="s">
        <v>52</v>
      </c>
      <c r="E304" t="s">
        <v>54</v>
      </c>
      <c r="F304" s="4" t="s">
        <v>48</v>
      </c>
      <c r="G304" t="s">
        <v>239</v>
      </c>
      <c r="H304" t="s">
        <v>240</v>
      </c>
      <c r="I304" t="s">
        <v>384</v>
      </c>
      <c r="J304" t="s">
        <v>360</v>
      </c>
      <c r="K304" t="str">
        <f>Tabla14[[#This Row],[id]]&amp;Tabla14[[#This Row],[Resposable]]</f>
        <v>49Bezalel Mendoza</v>
      </c>
      <c r="L304" t="str">
        <f>Tabla14[[#This Row],[id]]&amp;Tabla14[[#This Row],[Resposable]]</f>
        <v>49Bezalel Mendoza</v>
      </c>
      <c r="M304" t="s">
        <v>240</v>
      </c>
    </row>
    <row r="305" spans="1:13" x14ac:dyDescent="0.25">
      <c r="A305" t="s">
        <v>28</v>
      </c>
      <c r="B305">
        <v>49</v>
      </c>
      <c r="C305" t="s">
        <v>5</v>
      </c>
      <c r="D305" t="s">
        <v>53</v>
      </c>
      <c r="E305" t="s">
        <v>47</v>
      </c>
      <c r="F305" s="4" t="s">
        <v>48</v>
      </c>
      <c r="G305" t="s">
        <v>239</v>
      </c>
      <c r="H305" t="s">
        <v>240</v>
      </c>
      <c r="I305" t="s">
        <v>384</v>
      </c>
      <c r="J305" t="s">
        <v>360</v>
      </c>
      <c r="K305" t="str">
        <f>Tabla14[[#This Row],[id]]&amp;Tabla14[[#This Row],[Resposable]]</f>
        <v>49Bezalel Mendoza</v>
      </c>
      <c r="L305" t="str">
        <f>Tabla14[[#This Row],[id]]&amp;Tabla14[[#This Row],[Resposable]]</f>
        <v>49Bezalel Mendoza</v>
      </c>
      <c r="M305" t="s">
        <v>240</v>
      </c>
    </row>
    <row r="306" spans="1:13" x14ac:dyDescent="0.25">
      <c r="A306" t="s">
        <v>28</v>
      </c>
      <c r="B306">
        <v>49</v>
      </c>
      <c r="C306" t="s">
        <v>5</v>
      </c>
      <c r="D306" t="s">
        <v>64</v>
      </c>
      <c r="E306" t="s">
        <v>47</v>
      </c>
      <c r="F306" s="4" t="s">
        <v>48</v>
      </c>
      <c r="G306" t="s">
        <v>239</v>
      </c>
      <c r="H306" t="s">
        <v>240</v>
      </c>
      <c r="I306" t="s">
        <v>384</v>
      </c>
      <c r="J306" t="s">
        <v>360</v>
      </c>
      <c r="K306" t="str">
        <f>Tabla14[[#This Row],[id]]&amp;Tabla14[[#This Row],[Resposable]]</f>
        <v>49Bezalel Mendoza</v>
      </c>
      <c r="L306" t="str">
        <f>Tabla14[[#This Row],[id]]&amp;Tabla14[[#This Row],[Resposable]]</f>
        <v>49Bezalel Mendoza</v>
      </c>
      <c r="M306" t="s">
        <v>240</v>
      </c>
    </row>
    <row r="307" spans="1:13" x14ac:dyDescent="0.25">
      <c r="A307" t="s">
        <v>301</v>
      </c>
      <c r="B307">
        <v>61</v>
      </c>
      <c r="C307" t="s">
        <v>7</v>
      </c>
      <c r="D307" t="s">
        <v>98</v>
      </c>
      <c r="E307" t="s">
        <v>47</v>
      </c>
      <c r="F307" s="4" t="s">
        <v>48</v>
      </c>
      <c r="G307" t="s">
        <v>239</v>
      </c>
      <c r="H307" t="s">
        <v>240</v>
      </c>
      <c r="I307" t="s">
        <v>384</v>
      </c>
      <c r="J307" t="s">
        <v>360</v>
      </c>
      <c r="K307" t="str">
        <f>Tabla14[[#This Row],[id]]&amp;Tabla14[[#This Row],[Resposable]]</f>
        <v>61Bezalel Mendoza</v>
      </c>
      <c r="L307" t="str">
        <f>Tabla14[[#This Row],[id]]&amp;Tabla14[[#This Row],[Resposable]]</f>
        <v>61Bezalel Mendoza</v>
      </c>
      <c r="M307" t="s">
        <v>240</v>
      </c>
    </row>
    <row r="308" spans="1:13" x14ac:dyDescent="0.25">
      <c r="A308" t="s">
        <v>301</v>
      </c>
      <c r="B308">
        <v>61</v>
      </c>
      <c r="C308" t="s">
        <v>5</v>
      </c>
      <c r="D308" t="s">
        <v>52</v>
      </c>
      <c r="E308" t="s">
        <v>47</v>
      </c>
      <c r="F308" s="4" t="s">
        <v>48</v>
      </c>
      <c r="G308" t="s">
        <v>239</v>
      </c>
      <c r="H308" t="s">
        <v>240</v>
      </c>
      <c r="I308" t="s">
        <v>384</v>
      </c>
      <c r="J308" t="s">
        <v>360</v>
      </c>
      <c r="K308" t="str">
        <f>Tabla14[[#This Row],[id]]&amp;Tabla14[[#This Row],[Resposable]]</f>
        <v>61Bezalel Mendoza</v>
      </c>
      <c r="L308" t="str">
        <f>Tabla14[[#This Row],[id]]&amp;Tabla14[[#This Row],[Resposable]]</f>
        <v>61Bezalel Mendoza</v>
      </c>
      <c r="M308" t="s">
        <v>240</v>
      </c>
    </row>
    <row r="309" spans="1:13" x14ac:dyDescent="0.25">
      <c r="A309" s="18" t="s">
        <v>31</v>
      </c>
      <c r="B309" s="18">
        <v>130</v>
      </c>
      <c r="C309" s="18" t="s">
        <v>5</v>
      </c>
      <c r="D309" s="18" t="s">
        <v>46</v>
      </c>
      <c r="E309" s="18" t="s">
        <v>47</v>
      </c>
      <c r="F309" s="19" t="s">
        <v>48</v>
      </c>
      <c r="G309" s="18" t="s">
        <v>239</v>
      </c>
      <c r="H309" t="s">
        <v>240</v>
      </c>
      <c r="I309" t="s">
        <v>384</v>
      </c>
      <c r="J309" t="s">
        <v>360</v>
      </c>
      <c r="K309" t="str">
        <f>Tabla14[[#This Row],[id]]&amp;Tabla14[[#This Row],[Resposable]]</f>
        <v>130Bezalel Mendoza</v>
      </c>
      <c r="L309" t="str">
        <f>Tabla14[[#This Row],[id]]&amp;Tabla14[[#This Row],[Resposable]]</f>
        <v>130Bezalel Mendoza</v>
      </c>
      <c r="M309" t="s">
        <v>240</v>
      </c>
    </row>
    <row r="310" spans="1:13" x14ac:dyDescent="0.25">
      <c r="A310" s="18" t="s">
        <v>31</v>
      </c>
      <c r="B310" s="18">
        <v>130</v>
      </c>
      <c r="C310" s="18" t="s">
        <v>5</v>
      </c>
      <c r="D310" s="18" t="s">
        <v>52</v>
      </c>
      <c r="E310" s="18" t="s">
        <v>47</v>
      </c>
      <c r="F310" s="19" t="s">
        <v>48</v>
      </c>
      <c r="G310" s="18" t="s">
        <v>239</v>
      </c>
      <c r="H310" t="s">
        <v>240</v>
      </c>
      <c r="I310" t="s">
        <v>384</v>
      </c>
      <c r="J310" t="s">
        <v>360</v>
      </c>
      <c r="K310" t="str">
        <f>Tabla14[[#This Row],[id]]&amp;Tabla14[[#This Row],[Resposable]]</f>
        <v>130Bezalel Mendoza</v>
      </c>
      <c r="L310" t="str">
        <f>Tabla14[[#This Row],[id]]&amp;Tabla14[[#This Row],[Resposable]]</f>
        <v>130Bezalel Mendoza</v>
      </c>
      <c r="M310" t="s">
        <v>240</v>
      </c>
    </row>
    <row r="311" spans="1:13" x14ac:dyDescent="0.25">
      <c r="A311" s="18" t="s">
        <v>31</v>
      </c>
      <c r="B311" s="18">
        <v>130</v>
      </c>
      <c r="C311" s="18" t="s">
        <v>5</v>
      </c>
      <c r="D311" s="18" t="s">
        <v>53</v>
      </c>
      <c r="E311" s="18" t="s">
        <v>54</v>
      </c>
      <c r="F311" s="19" t="s">
        <v>48</v>
      </c>
      <c r="G311" s="18" t="s">
        <v>239</v>
      </c>
      <c r="H311" t="s">
        <v>240</v>
      </c>
      <c r="I311" t="s">
        <v>384</v>
      </c>
      <c r="J311" t="s">
        <v>360</v>
      </c>
      <c r="K311" t="str">
        <f>Tabla14[[#This Row],[id]]&amp;Tabla14[[#This Row],[Resposable]]</f>
        <v>130Bezalel Mendoza</v>
      </c>
      <c r="L311" t="str">
        <f>Tabla14[[#This Row],[id]]&amp;Tabla14[[#This Row],[Resposable]]</f>
        <v>130Bezalel Mendoza</v>
      </c>
      <c r="M311" t="s">
        <v>240</v>
      </c>
    </row>
    <row r="312" spans="1:13" x14ac:dyDescent="0.25">
      <c r="A312" s="18" t="s">
        <v>31</v>
      </c>
      <c r="B312" s="18">
        <v>130</v>
      </c>
      <c r="C312" s="18" t="s">
        <v>5</v>
      </c>
      <c r="D312" s="18" t="s">
        <v>64</v>
      </c>
      <c r="E312" s="18" t="s">
        <v>47</v>
      </c>
      <c r="F312" s="19" t="s">
        <v>48</v>
      </c>
      <c r="G312" s="18" t="s">
        <v>239</v>
      </c>
      <c r="H312" t="s">
        <v>240</v>
      </c>
      <c r="I312" t="s">
        <v>384</v>
      </c>
      <c r="J312" t="s">
        <v>360</v>
      </c>
      <c r="K312" t="str">
        <f>Tabla14[[#This Row],[id]]&amp;Tabla14[[#This Row],[Resposable]]</f>
        <v>130Bezalel Mendoza</v>
      </c>
      <c r="L312" t="str">
        <f>Tabla14[[#This Row],[id]]&amp;Tabla14[[#This Row],[Resposable]]</f>
        <v>130Bezalel Mendoza</v>
      </c>
      <c r="M312" t="s">
        <v>240</v>
      </c>
    </row>
    <row r="313" spans="1:13" x14ac:dyDescent="0.25">
      <c r="A313" s="18" t="s">
        <v>368</v>
      </c>
      <c r="B313" s="18">
        <v>178</v>
      </c>
      <c r="C313" s="18" t="s">
        <v>5</v>
      </c>
      <c r="D313" s="18" t="s">
        <v>46</v>
      </c>
      <c r="E313" s="18" t="s">
        <v>47</v>
      </c>
      <c r="F313" s="19" t="s">
        <v>48</v>
      </c>
      <c r="G313" s="18" t="s">
        <v>239</v>
      </c>
      <c r="H313" t="s">
        <v>240</v>
      </c>
      <c r="I313" t="s">
        <v>384</v>
      </c>
      <c r="J313" t="s">
        <v>360</v>
      </c>
      <c r="K313" t="str">
        <f>Tabla14[[#This Row],[id]]&amp;Tabla14[[#This Row],[Resposable]]</f>
        <v>178Bezalel Mendoza</v>
      </c>
      <c r="L313" t="str">
        <f>Tabla14[[#This Row],[id]]&amp;Tabla14[[#This Row],[Resposable]]</f>
        <v>178Bezalel Mendoza</v>
      </c>
      <c r="M313" t="s">
        <v>240</v>
      </c>
    </row>
    <row r="314" spans="1:13" x14ac:dyDescent="0.25">
      <c r="A314" s="18" t="s">
        <v>368</v>
      </c>
      <c r="B314" s="18">
        <v>178</v>
      </c>
      <c r="C314" s="18" t="s">
        <v>5</v>
      </c>
      <c r="D314" s="18" t="s">
        <v>52</v>
      </c>
      <c r="E314" s="18" t="s">
        <v>47</v>
      </c>
      <c r="F314" s="19" t="s">
        <v>48</v>
      </c>
      <c r="G314" s="18" t="s">
        <v>239</v>
      </c>
      <c r="H314" t="s">
        <v>240</v>
      </c>
      <c r="I314" t="s">
        <v>384</v>
      </c>
      <c r="J314" t="s">
        <v>360</v>
      </c>
      <c r="K314" t="str">
        <f>Tabla14[[#This Row],[id]]&amp;Tabla14[[#This Row],[Resposable]]</f>
        <v>178Bezalel Mendoza</v>
      </c>
      <c r="L314" t="str">
        <f>Tabla14[[#This Row],[id]]&amp;Tabla14[[#This Row],[Resposable]]</f>
        <v>178Bezalel Mendoza</v>
      </c>
      <c r="M314" t="s">
        <v>240</v>
      </c>
    </row>
    <row r="315" spans="1:13" x14ac:dyDescent="0.25">
      <c r="A315" s="18" t="s">
        <v>368</v>
      </c>
      <c r="B315" s="18">
        <v>178</v>
      </c>
      <c r="C315" s="18" t="s">
        <v>5</v>
      </c>
      <c r="D315" s="18" t="s">
        <v>53</v>
      </c>
      <c r="E315" s="18" t="s">
        <v>54</v>
      </c>
      <c r="F315" s="19" t="s">
        <v>48</v>
      </c>
      <c r="G315" s="18" t="s">
        <v>239</v>
      </c>
      <c r="H315" t="s">
        <v>240</v>
      </c>
      <c r="I315" t="s">
        <v>384</v>
      </c>
      <c r="J315" t="s">
        <v>360</v>
      </c>
      <c r="K315" t="str">
        <f>Tabla14[[#This Row],[id]]&amp;Tabla14[[#This Row],[Resposable]]</f>
        <v>178Bezalel Mendoza</v>
      </c>
      <c r="L315" t="str">
        <f>Tabla14[[#This Row],[id]]&amp;Tabla14[[#This Row],[Resposable]]</f>
        <v>178Bezalel Mendoza</v>
      </c>
      <c r="M315" t="s">
        <v>240</v>
      </c>
    </row>
    <row r="316" spans="1:13" x14ac:dyDescent="0.25">
      <c r="A316" s="18" t="s">
        <v>368</v>
      </c>
      <c r="B316" s="18">
        <v>178</v>
      </c>
      <c r="C316" s="18" t="s">
        <v>5</v>
      </c>
      <c r="D316" s="18" t="s">
        <v>64</v>
      </c>
      <c r="E316" s="18" t="s">
        <v>47</v>
      </c>
      <c r="F316" s="19" t="s">
        <v>48</v>
      </c>
      <c r="G316" s="18" t="s">
        <v>239</v>
      </c>
      <c r="H316" t="s">
        <v>240</v>
      </c>
      <c r="I316" t="s">
        <v>384</v>
      </c>
      <c r="J316" t="s">
        <v>360</v>
      </c>
      <c r="K316" t="str">
        <f>Tabla14[[#This Row],[id]]&amp;Tabla14[[#This Row],[Resposable]]</f>
        <v>178Bezalel Mendoza</v>
      </c>
      <c r="L316" t="str">
        <f>Tabla14[[#This Row],[id]]&amp;Tabla14[[#This Row],[Resposable]]</f>
        <v>178Bezalel Mendoza</v>
      </c>
      <c r="M316" t="s">
        <v>240</v>
      </c>
    </row>
    <row r="317" spans="1:13" x14ac:dyDescent="0.25">
      <c r="A317" s="18" t="s">
        <v>313</v>
      </c>
      <c r="B317" s="18">
        <v>114</v>
      </c>
      <c r="C317" s="18" t="s">
        <v>5</v>
      </c>
      <c r="D317" s="18" t="s">
        <v>46</v>
      </c>
      <c r="E317" s="18" t="s">
        <v>47</v>
      </c>
      <c r="F317" s="19" t="s">
        <v>77</v>
      </c>
      <c r="G317" s="18" t="s">
        <v>239</v>
      </c>
      <c r="H317" t="s">
        <v>29</v>
      </c>
      <c r="I317" t="s">
        <v>384</v>
      </c>
      <c r="J317" t="s">
        <v>360</v>
      </c>
      <c r="K317" t="str">
        <f>Tabla14[[#This Row],[id]]&amp;Tabla14[[#This Row],[Resposable]]</f>
        <v>114Bezalel Mendoza</v>
      </c>
      <c r="L317" t="str">
        <f>Tabla14[[#This Row],[id]]&amp;Tabla14[[#This Row],[Resposable]]</f>
        <v>114Bezalel Mendoza</v>
      </c>
      <c r="M317" t="s">
        <v>29</v>
      </c>
    </row>
    <row r="318" spans="1:13" x14ac:dyDescent="0.25">
      <c r="A318" s="18" t="s">
        <v>313</v>
      </c>
      <c r="B318" s="18">
        <v>114</v>
      </c>
      <c r="C318" s="18" t="s">
        <v>5</v>
      </c>
      <c r="D318" s="18" t="s">
        <v>53</v>
      </c>
      <c r="E318" s="18" t="s">
        <v>47</v>
      </c>
      <c r="F318" s="19" t="s">
        <v>77</v>
      </c>
      <c r="G318" s="18" t="s">
        <v>239</v>
      </c>
      <c r="H318" t="s">
        <v>29</v>
      </c>
      <c r="I318" t="s">
        <v>384</v>
      </c>
      <c r="J318" t="s">
        <v>360</v>
      </c>
      <c r="K318" t="str">
        <f>Tabla14[[#This Row],[id]]&amp;Tabla14[[#This Row],[Resposable]]</f>
        <v>114Bezalel Mendoza</v>
      </c>
      <c r="L318" t="str">
        <f>Tabla14[[#This Row],[id]]&amp;Tabla14[[#This Row],[Resposable]]</f>
        <v>114Bezalel Mendoza</v>
      </c>
      <c r="M318" t="s">
        <v>29</v>
      </c>
    </row>
    <row r="319" spans="1:13" x14ac:dyDescent="0.25">
      <c r="A319" s="18" t="s">
        <v>313</v>
      </c>
      <c r="B319" s="18">
        <v>114</v>
      </c>
      <c r="C319" s="18" t="s">
        <v>5</v>
      </c>
      <c r="D319" s="18" t="s">
        <v>56</v>
      </c>
      <c r="E319" s="18" t="s">
        <v>47</v>
      </c>
      <c r="F319" s="19" t="s">
        <v>48</v>
      </c>
      <c r="G319" s="18" t="s">
        <v>239</v>
      </c>
      <c r="H319" t="s">
        <v>29</v>
      </c>
      <c r="I319" t="s">
        <v>384</v>
      </c>
      <c r="J319" t="s">
        <v>360</v>
      </c>
      <c r="K319" t="str">
        <f>Tabla14[[#This Row],[id]]&amp;Tabla14[[#This Row],[Resposable]]</f>
        <v>114Bezalel Mendoza</v>
      </c>
      <c r="L319" t="str">
        <f>Tabla14[[#This Row],[id]]&amp;Tabla14[[#This Row],[Resposable]]</f>
        <v>114Bezalel Mendoza</v>
      </c>
      <c r="M319" t="s">
        <v>29</v>
      </c>
    </row>
    <row r="320" spans="1:13" x14ac:dyDescent="0.25">
      <c r="A320" s="18" t="s">
        <v>315</v>
      </c>
      <c r="B320" s="18">
        <v>116</v>
      </c>
      <c r="C320" s="18" t="s">
        <v>5</v>
      </c>
      <c r="D320" s="18" t="s">
        <v>46</v>
      </c>
      <c r="E320" s="18" t="s">
        <v>47</v>
      </c>
      <c r="F320" s="19" t="s">
        <v>77</v>
      </c>
      <c r="G320" s="18" t="s">
        <v>239</v>
      </c>
      <c r="H320" t="s">
        <v>29</v>
      </c>
      <c r="I320" t="s">
        <v>384</v>
      </c>
      <c r="J320" t="s">
        <v>360</v>
      </c>
      <c r="K320" t="str">
        <f>Tabla14[[#This Row],[id]]&amp;Tabla14[[#This Row],[Resposable]]</f>
        <v>116Bezalel Mendoza</v>
      </c>
      <c r="L320" t="str">
        <f>Tabla14[[#This Row],[id]]&amp;Tabla14[[#This Row],[Resposable]]</f>
        <v>116Bezalel Mendoza</v>
      </c>
      <c r="M320" t="s">
        <v>29</v>
      </c>
    </row>
    <row r="321" spans="1:13" x14ac:dyDescent="0.25">
      <c r="A321" s="18" t="s">
        <v>315</v>
      </c>
      <c r="B321" s="18">
        <v>116</v>
      </c>
      <c r="C321" s="18" t="s">
        <v>5</v>
      </c>
      <c r="D321" s="18" t="s">
        <v>53</v>
      </c>
      <c r="E321" s="18" t="s">
        <v>47</v>
      </c>
      <c r="F321" s="19" t="s">
        <v>77</v>
      </c>
      <c r="G321" s="18" t="s">
        <v>239</v>
      </c>
      <c r="H321" t="s">
        <v>29</v>
      </c>
      <c r="I321" t="s">
        <v>384</v>
      </c>
      <c r="J321" t="s">
        <v>360</v>
      </c>
      <c r="K321" t="str">
        <f>Tabla14[[#This Row],[id]]&amp;Tabla14[[#This Row],[Resposable]]</f>
        <v>116Bezalel Mendoza</v>
      </c>
      <c r="L321" t="str">
        <f>Tabla14[[#This Row],[id]]&amp;Tabla14[[#This Row],[Resposable]]</f>
        <v>116Bezalel Mendoza</v>
      </c>
      <c r="M321" t="s">
        <v>29</v>
      </c>
    </row>
    <row r="322" spans="1:13" x14ac:dyDescent="0.25">
      <c r="A322" s="18" t="s">
        <v>315</v>
      </c>
      <c r="B322" s="18">
        <v>116</v>
      </c>
      <c r="C322" s="18" t="s">
        <v>5</v>
      </c>
      <c r="D322" s="18" t="s">
        <v>56</v>
      </c>
      <c r="E322" s="18" t="s">
        <v>47</v>
      </c>
      <c r="F322" s="19" t="s">
        <v>48</v>
      </c>
      <c r="G322" s="18" t="s">
        <v>239</v>
      </c>
      <c r="H322" t="s">
        <v>29</v>
      </c>
      <c r="I322" t="s">
        <v>384</v>
      </c>
      <c r="J322" t="s">
        <v>360</v>
      </c>
      <c r="K322" t="str">
        <f>Tabla14[[#This Row],[id]]&amp;Tabla14[[#This Row],[Resposable]]</f>
        <v>116Bezalel Mendoza</v>
      </c>
      <c r="L322" t="str">
        <f>Tabla14[[#This Row],[id]]&amp;Tabla14[[#This Row],[Resposable]]</f>
        <v>116Bezalel Mendoza</v>
      </c>
      <c r="M322" t="s">
        <v>29</v>
      </c>
    </row>
    <row r="323" spans="1:13" x14ac:dyDescent="0.25">
      <c r="A323" t="s">
        <v>317</v>
      </c>
      <c r="B323">
        <v>118</v>
      </c>
      <c r="C323" t="s">
        <v>5</v>
      </c>
      <c r="D323" t="s">
        <v>46</v>
      </c>
      <c r="E323" s="18" t="s">
        <v>47</v>
      </c>
      <c r="F323" s="4" t="s">
        <v>77</v>
      </c>
      <c r="G323" s="18" t="s">
        <v>239</v>
      </c>
      <c r="H323" t="s">
        <v>29</v>
      </c>
      <c r="I323" t="s">
        <v>384</v>
      </c>
      <c r="J323" t="s">
        <v>360</v>
      </c>
      <c r="K323" t="str">
        <f>Tabla14[[#This Row],[id]]&amp;Tabla14[[#This Row],[Resposable]]</f>
        <v>118Bezalel Mendoza</v>
      </c>
      <c r="L323" t="str">
        <f>Tabla14[[#This Row],[id]]&amp;Tabla14[[#This Row],[Resposable]]</f>
        <v>118Bezalel Mendoza</v>
      </c>
      <c r="M323" t="s">
        <v>29</v>
      </c>
    </row>
    <row r="324" spans="1:13" x14ac:dyDescent="0.25">
      <c r="A324" t="s">
        <v>317</v>
      </c>
      <c r="B324">
        <v>118</v>
      </c>
      <c r="C324" t="s">
        <v>5</v>
      </c>
      <c r="D324" t="s">
        <v>53</v>
      </c>
      <c r="E324" s="18" t="s">
        <v>47</v>
      </c>
      <c r="F324" s="4" t="s">
        <v>77</v>
      </c>
      <c r="G324" s="18" t="s">
        <v>239</v>
      </c>
      <c r="H324" t="s">
        <v>29</v>
      </c>
      <c r="I324" t="s">
        <v>384</v>
      </c>
      <c r="J324" t="s">
        <v>360</v>
      </c>
      <c r="K324" t="str">
        <f>Tabla14[[#This Row],[id]]&amp;Tabla14[[#This Row],[Resposable]]</f>
        <v>118Bezalel Mendoza</v>
      </c>
      <c r="L324" t="str">
        <f>Tabla14[[#This Row],[id]]&amp;Tabla14[[#This Row],[Resposable]]</f>
        <v>118Bezalel Mendoza</v>
      </c>
      <c r="M324" t="s">
        <v>29</v>
      </c>
    </row>
    <row r="325" spans="1:13" x14ac:dyDescent="0.25">
      <c r="A325" t="s">
        <v>317</v>
      </c>
      <c r="B325">
        <v>118</v>
      </c>
      <c r="C325" t="s">
        <v>5</v>
      </c>
      <c r="D325" t="s">
        <v>56</v>
      </c>
      <c r="E325" s="18" t="s">
        <v>47</v>
      </c>
      <c r="F325" s="4" t="s">
        <v>48</v>
      </c>
      <c r="G325" s="18" t="s">
        <v>239</v>
      </c>
      <c r="H325" t="s">
        <v>29</v>
      </c>
      <c r="I325" t="s">
        <v>384</v>
      </c>
      <c r="J325" t="s">
        <v>360</v>
      </c>
      <c r="K325" t="str">
        <f>Tabla14[[#This Row],[id]]&amp;Tabla14[[#This Row],[Resposable]]</f>
        <v>118Bezalel Mendoza</v>
      </c>
      <c r="L325" t="str">
        <f>Tabla14[[#This Row],[id]]&amp;Tabla14[[#This Row],[Resposable]]</f>
        <v>118Bezalel Mendoza</v>
      </c>
      <c r="M325" t="s">
        <v>29</v>
      </c>
    </row>
    <row r="326" spans="1:13" x14ac:dyDescent="0.25">
      <c r="A326" t="s">
        <v>319</v>
      </c>
      <c r="B326">
        <v>120</v>
      </c>
      <c r="C326" t="s">
        <v>5</v>
      </c>
      <c r="D326" t="s">
        <v>46</v>
      </c>
      <c r="E326" s="18" t="s">
        <v>47</v>
      </c>
      <c r="F326" s="4" t="s">
        <v>77</v>
      </c>
      <c r="G326" s="18" t="s">
        <v>239</v>
      </c>
      <c r="H326" t="s">
        <v>29</v>
      </c>
      <c r="I326" t="s">
        <v>384</v>
      </c>
      <c r="J326" t="s">
        <v>360</v>
      </c>
      <c r="K326" t="str">
        <f>Tabla14[[#This Row],[id]]&amp;Tabla14[[#This Row],[Resposable]]</f>
        <v>120Bezalel Mendoza</v>
      </c>
      <c r="L326" t="str">
        <f>Tabla14[[#This Row],[id]]&amp;Tabla14[[#This Row],[Resposable]]</f>
        <v>120Bezalel Mendoza</v>
      </c>
      <c r="M326" t="s">
        <v>29</v>
      </c>
    </row>
    <row r="327" spans="1:13" x14ac:dyDescent="0.25">
      <c r="A327" t="s">
        <v>319</v>
      </c>
      <c r="B327">
        <v>120</v>
      </c>
      <c r="C327" t="s">
        <v>5</v>
      </c>
      <c r="D327" t="s">
        <v>53</v>
      </c>
      <c r="E327" s="18" t="s">
        <v>47</v>
      </c>
      <c r="F327" s="4" t="s">
        <v>77</v>
      </c>
      <c r="G327" s="18" t="s">
        <v>239</v>
      </c>
      <c r="H327" t="s">
        <v>29</v>
      </c>
      <c r="I327" t="s">
        <v>384</v>
      </c>
      <c r="J327" t="s">
        <v>360</v>
      </c>
      <c r="K327" t="str">
        <f>Tabla14[[#This Row],[id]]&amp;Tabla14[[#This Row],[Resposable]]</f>
        <v>120Bezalel Mendoza</v>
      </c>
      <c r="L327" t="str">
        <f>Tabla14[[#This Row],[id]]&amp;Tabla14[[#This Row],[Resposable]]</f>
        <v>120Bezalel Mendoza</v>
      </c>
      <c r="M327" t="s">
        <v>29</v>
      </c>
    </row>
    <row r="328" spans="1:13" x14ac:dyDescent="0.25">
      <c r="A328" t="s">
        <v>319</v>
      </c>
      <c r="B328">
        <v>120</v>
      </c>
      <c r="C328" t="s">
        <v>5</v>
      </c>
      <c r="D328" t="s">
        <v>56</v>
      </c>
      <c r="E328" s="18" t="s">
        <v>47</v>
      </c>
      <c r="F328" s="4" t="s">
        <v>48</v>
      </c>
      <c r="G328" s="18" t="s">
        <v>239</v>
      </c>
      <c r="H328" t="s">
        <v>29</v>
      </c>
      <c r="I328" t="s">
        <v>384</v>
      </c>
      <c r="J328" t="s">
        <v>360</v>
      </c>
      <c r="K328" t="str">
        <f>Tabla14[[#This Row],[id]]&amp;Tabla14[[#This Row],[Resposable]]</f>
        <v>120Bezalel Mendoza</v>
      </c>
      <c r="L328" t="str">
        <f>Tabla14[[#This Row],[id]]&amp;Tabla14[[#This Row],[Resposable]]</f>
        <v>120Bezalel Mendoza</v>
      </c>
      <c r="M328" t="s">
        <v>29</v>
      </c>
    </row>
    <row r="329" spans="1:13" x14ac:dyDescent="0.25">
      <c r="A329" t="s">
        <v>321</v>
      </c>
      <c r="B329">
        <v>122</v>
      </c>
      <c r="C329" t="s">
        <v>5</v>
      </c>
      <c r="D329" t="s">
        <v>46</v>
      </c>
      <c r="E329" t="s">
        <v>47</v>
      </c>
      <c r="F329" s="4" t="s">
        <v>77</v>
      </c>
      <c r="G329" t="s">
        <v>239</v>
      </c>
      <c r="H329" t="s">
        <v>29</v>
      </c>
      <c r="I329" t="s">
        <v>384</v>
      </c>
      <c r="J329" t="s">
        <v>360</v>
      </c>
      <c r="K329" t="str">
        <f>Tabla14[[#This Row],[id]]&amp;Tabla14[[#This Row],[Resposable]]</f>
        <v>122Bezalel Mendoza</v>
      </c>
      <c r="L329" t="str">
        <f>Tabla14[[#This Row],[id]]&amp;Tabla14[[#This Row],[Resposable]]</f>
        <v>122Bezalel Mendoza</v>
      </c>
      <c r="M329" t="s">
        <v>29</v>
      </c>
    </row>
    <row r="330" spans="1:13" x14ac:dyDescent="0.25">
      <c r="A330" t="s">
        <v>321</v>
      </c>
      <c r="B330">
        <v>122</v>
      </c>
      <c r="C330" t="s">
        <v>5</v>
      </c>
      <c r="D330" t="s">
        <v>53</v>
      </c>
      <c r="E330" t="s">
        <v>47</v>
      </c>
      <c r="F330" s="4" t="s">
        <v>77</v>
      </c>
      <c r="G330" t="s">
        <v>239</v>
      </c>
      <c r="H330" t="s">
        <v>29</v>
      </c>
      <c r="I330" t="s">
        <v>384</v>
      </c>
      <c r="J330" t="s">
        <v>360</v>
      </c>
      <c r="K330" t="str">
        <f>Tabla14[[#This Row],[id]]&amp;Tabla14[[#This Row],[Resposable]]</f>
        <v>122Bezalel Mendoza</v>
      </c>
      <c r="L330" t="str">
        <f>Tabla14[[#This Row],[id]]&amp;Tabla14[[#This Row],[Resposable]]</f>
        <v>122Bezalel Mendoza</v>
      </c>
      <c r="M330" t="s">
        <v>29</v>
      </c>
    </row>
    <row r="331" spans="1:13" x14ac:dyDescent="0.25">
      <c r="A331" t="s">
        <v>321</v>
      </c>
      <c r="B331">
        <v>122</v>
      </c>
      <c r="C331" t="s">
        <v>5</v>
      </c>
      <c r="D331" t="s">
        <v>56</v>
      </c>
      <c r="E331" t="s">
        <v>47</v>
      </c>
      <c r="F331" s="4" t="s">
        <v>48</v>
      </c>
      <c r="G331" t="s">
        <v>239</v>
      </c>
      <c r="H331" t="s">
        <v>29</v>
      </c>
      <c r="I331" t="s">
        <v>384</v>
      </c>
      <c r="J331" t="s">
        <v>360</v>
      </c>
      <c r="K331" t="str">
        <f>Tabla14[[#This Row],[id]]&amp;Tabla14[[#This Row],[Resposable]]</f>
        <v>122Bezalel Mendoza</v>
      </c>
      <c r="L331" t="str">
        <f>Tabla14[[#This Row],[id]]&amp;Tabla14[[#This Row],[Resposable]]</f>
        <v>122Bezalel Mendoza</v>
      </c>
      <c r="M331" t="s">
        <v>29</v>
      </c>
    </row>
    <row r="332" spans="1:13" x14ac:dyDescent="0.25">
      <c r="A332" t="s">
        <v>322</v>
      </c>
      <c r="B332">
        <v>123</v>
      </c>
      <c r="C332" t="s">
        <v>5</v>
      </c>
      <c r="D332" t="s">
        <v>46</v>
      </c>
      <c r="E332" t="s">
        <v>47</v>
      </c>
      <c r="F332" s="4" t="s">
        <v>77</v>
      </c>
      <c r="G332" t="s">
        <v>239</v>
      </c>
      <c r="H332" t="s">
        <v>29</v>
      </c>
      <c r="I332" t="s">
        <v>384</v>
      </c>
      <c r="J332" t="s">
        <v>360</v>
      </c>
      <c r="K332" t="str">
        <f>Tabla14[[#This Row],[id]]&amp;Tabla14[[#This Row],[Resposable]]</f>
        <v>123Bezalel Mendoza</v>
      </c>
      <c r="L332" t="str">
        <f>Tabla14[[#This Row],[id]]&amp;Tabla14[[#This Row],[Resposable]]</f>
        <v>123Bezalel Mendoza</v>
      </c>
      <c r="M332" t="s">
        <v>29</v>
      </c>
    </row>
    <row r="333" spans="1:13" x14ac:dyDescent="0.25">
      <c r="A333" t="s">
        <v>322</v>
      </c>
      <c r="B333">
        <v>123</v>
      </c>
      <c r="C333" t="s">
        <v>5</v>
      </c>
      <c r="D333" t="s">
        <v>53</v>
      </c>
      <c r="E333" t="s">
        <v>47</v>
      </c>
      <c r="F333" s="4" t="s">
        <v>77</v>
      </c>
      <c r="G333" t="s">
        <v>239</v>
      </c>
      <c r="H333" t="s">
        <v>29</v>
      </c>
      <c r="I333" t="s">
        <v>384</v>
      </c>
      <c r="J333" t="s">
        <v>365</v>
      </c>
      <c r="K333" t="str">
        <f>Tabla14[[#This Row],[id]]&amp;Tabla14[[#This Row],[Resposable]]</f>
        <v>123Bezalel Mendoza</v>
      </c>
      <c r="L333" t="str">
        <f>Tabla14[[#This Row],[id]]&amp;Tabla14[[#This Row],[Resposable]]</f>
        <v>123Bezalel Mendoza</v>
      </c>
      <c r="M333" t="s">
        <v>29</v>
      </c>
    </row>
    <row r="334" spans="1:13" x14ac:dyDescent="0.25">
      <c r="A334" t="s">
        <v>322</v>
      </c>
      <c r="B334">
        <v>123</v>
      </c>
      <c r="C334" t="s">
        <v>5</v>
      </c>
      <c r="D334" t="s">
        <v>56</v>
      </c>
      <c r="E334" t="s">
        <v>47</v>
      </c>
      <c r="F334" s="4" t="s">
        <v>48</v>
      </c>
      <c r="G334" t="s">
        <v>239</v>
      </c>
      <c r="H334" t="s">
        <v>29</v>
      </c>
      <c r="I334" t="s">
        <v>384</v>
      </c>
      <c r="J334" t="s">
        <v>360</v>
      </c>
      <c r="K334" t="str">
        <f>Tabla14[[#This Row],[id]]&amp;Tabla14[[#This Row],[Resposable]]</f>
        <v>123Bezalel Mendoza</v>
      </c>
      <c r="L334" t="str">
        <f>Tabla14[[#This Row],[id]]&amp;Tabla14[[#This Row],[Resposable]]</f>
        <v>123Bezalel Mendoza</v>
      </c>
      <c r="M334" t="s">
        <v>29</v>
      </c>
    </row>
    <row r="335" spans="1:13" x14ac:dyDescent="0.25">
      <c r="A335" t="s">
        <v>322</v>
      </c>
      <c r="B335">
        <v>123</v>
      </c>
      <c r="C335" t="s">
        <v>7</v>
      </c>
      <c r="D335" t="s">
        <v>185</v>
      </c>
      <c r="E335" t="s">
        <v>47</v>
      </c>
      <c r="F335" s="4" t="s">
        <v>82</v>
      </c>
      <c r="G335" t="s">
        <v>239</v>
      </c>
      <c r="H335" t="s">
        <v>29</v>
      </c>
      <c r="I335" t="s">
        <v>384</v>
      </c>
      <c r="J335" t="s">
        <v>360</v>
      </c>
      <c r="K335" t="str">
        <f>Tabla14[[#This Row],[id]]&amp;Tabla14[[#This Row],[Resposable]]</f>
        <v>123Bezalel Mendoza</v>
      </c>
      <c r="L335" t="str">
        <f>Tabla14[[#This Row],[id]]&amp;Tabla14[[#This Row],[Resposable]]</f>
        <v>123Bezalel Mendoza</v>
      </c>
      <c r="M335" t="s">
        <v>29</v>
      </c>
    </row>
    <row r="336" spans="1:13" x14ac:dyDescent="0.25">
      <c r="A336" t="s">
        <v>11</v>
      </c>
      <c r="B336">
        <v>201</v>
      </c>
      <c r="C336" t="s">
        <v>5</v>
      </c>
      <c r="D336" t="s">
        <v>46</v>
      </c>
      <c r="E336" t="s">
        <v>47</v>
      </c>
      <c r="F336" s="4" t="s">
        <v>48</v>
      </c>
      <c r="G336" t="s">
        <v>239</v>
      </c>
      <c r="H336" t="s">
        <v>378</v>
      </c>
      <c r="I336" t="s">
        <v>384</v>
      </c>
      <c r="J336" t="s">
        <v>360</v>
      </c>
      <c r="K336" t="str">
        <f>Tabla14[[#This Row],[id]]&amp;Tabla14[[#This Row],[Resposable]]</f>
        <v>201Bezalel Mendoza</v>
      </c>
      <c r="L336" t="str">
        <f>Tabla14[[#This Row],[id]]&amp;Tabla14[[#This Row],[Resposable]]</f>
        <v>201Bezalel Mendoza</v>
      </c>
      <c r="M336" t="s">
        <v>378</v>
      </c>
    </row>
    <row r="337" spans="1:13" x14ac:dyDescent="0.25">
      <c r="A337" t="s">
        <v>11</v>
      </c>
      <c r="B337">
        <v>201</v>
      </c>
      <c r="C337" t="s">
        <v>5</v>
      </c>
      <c r="D337" t="s">
        <v>52</v>
      </c>
      <c r="E337" t="s">
        <v>47</v>
      </c>
      <c r="F337" s="4" t="s">
        <v>48</v>
      </c>
      <c r="G337" t="s">
        <v>239</v>
      </c>
      <c r="H337" t="s">
        <v>378</v>
      </c>
      <c r="I337" t="s">
        <v>384</v>
      </c>
      <c r="J337" t="s">
        <v>360</v>
      </c>
      <c r="K337" t="str">
        <f>Tabla14[[#This Row],[id]]&amp;Tabla14[[#This Row],[Resposable]]</f>
        <v>201Bezalel Mendoza</v>
      </c>
      <c r="L337" t="str">
        <f>Tabla14[[#This Row],[id]]&amp;Tabla14[[#This Row],[Resposable]]</f>
        <v>201Bezalel Mendoza</v>
      </c>
      <c r="M337" t="s">
        <v>378</v>
      </c>
    </row>
    <row r="338" spans="1:13" x14ac:dyDescent="0.25">
      <c r="A338" t="s">
        <v>11</v>
      </c>
      <c r="B338">
        <v>201</v>
      </c>
      <c r="C338" t="s">
        <v>5</v>
      </c>
      <c r="D338" t="s">
        <v>53</v>
      </c>
      <c r="E338" t="s">
        <v>54</v>
      </c>
      <c r="F338" s="4" t="s">
        <v>48</v>
      </c>
      <c r="G338" t="s">
        <v>239</v>
      </c>
      <c r="H338" t="s">
        <v>378</v>
      </c>
      <c r="I338" t="s">
        <v>384</v>
      </c>
      <c r="J338" t="s">
        <v>360</v>
      </c>
      <c r="K338" t="str">
        <f>Tabla14[[#This Row],[id]]&amp;Tabla14[[#This Row],[Resposable]]</f>
        <v>201Bezalel Mendoza</v>
      </c>
      <c r="L338" t="str">
        <f>Tabla14[[#This Row],[id]]&amp;Tabla14[[#This Row],[Resposable]]</f>
        <v>201Bezalel Mendoza</v>
      </c>
      <c r="M338" t="s">
        <v>378</v>
      </c>
    </row>
    <row r="339" spans="1:13" x14ac:dyDescent="0.25">
      <c r="A339" t="s">
        <v>11</v>
      </c>
      <c r="B339">
        <v>201</v>
      </c>
      <c r="C339" t="s">
        <v>5</v>
      </c>
      <c r="D339" t="s">
        <v>64</v>
      </c>
      <c r="E339" t="s">
        <v>47</v>
      </c>
      <c r="F339" s="4" t="s">
        <v>48</v>
      </c>
      <c r="G339" t="s">
        <v>239</v>
      </c>
      <c r="H339" t="s">
        <v>378</v>
      </c>
      <c r="I339" t="s">
        <v>384</v>
      </c>
      <c r="J339" t="s">
        <v>360</v>
      </c>
      <c r="K339" t="str">
        <f>Tabla14[[#This Row],[id]]&amp;Tabla14[[#This Row],[Resposable]]</f>
        <v>201Bezalel Mendoza</v>
      </c>
      <c r="L339" t="str">
        <f>Tabla14[[#This Row],[id]]&amp;Tabla14[[#This Row],[Resposable]]</f>
        <v>201Bezalel Mendoza</v>
      </c>
      <c r="M339" t="s">
        <v>378</v>
      </c>
    </row>
    <row r="340" spans="1:13" x14ac:dyDescent="0.25">
      <c r="A340" t="s">
        <v>12</v>
      </c>
      <c r="B340">
        <v>208</v>
      </c>
      <c r="C340" t="s">
        <v>5</v>
      </c>
      <c r="D340" t="s">
        <v>46</v>
      </c>
      <c r="E340" t="s">
        <v>47</v>
      </c>
      <c r="F340" s="4" t="s">
        <v>48</v>
      </c>
      <c r="G340" t="s">
        <v>239</v>
      </c>
      <c r="H340" t="s">
        <v>297</v>
      </c>
      <c r="I340" t="s">
        <v>384</v>
      </c>
      <c r="J340" t="s">
        <v>360</v>
      </c>
      <c r="K340" t="str">
        <f>Tabla14[[#This Row],[id]]&amp;Tabla14[[#This Row],[Resposable]]</f>
        <v>208Bezalel Mendoza</v>
      </c>
      <c r="L340" t="str">
        <f>Tabla14[[#This Row],[id]]&amp;Tabla14[[#This Row],[Resposable]]</f>
        <v>208Bezalel Mendoza</v>
      </c>
      <c r="M340" t="s">
        <v>297</v>
      </c>
    </row>
    <row r="341" spans="1:13" x14ac:dyDescent="0.25">
      <c r="A341" t="s">
        <v>12</v>
      </c>
      <c r="B341">
        <v>208</v>
      </c>
      <c r="C341" t="s">
        <v>7</v>
      </c>
      <c r="D341" t="s">
        <v>52</v>
      </c>
      <c r="E341" t="s">
        <v>47</v>
      </c>
      <c r="F341" s="4" t="s">
        <v>48</v>
      </c>
      <c r="G341" t="s">
        <v>239</v>
      </c>
      <c r="H341" t="s">
        <v>297</v>
      </c>
      <c r="I341" t="s">
        <v>384</v>
      </c>
      <c r="J341" t="s">
        <v>360</v>
      </c>
      <c r="K341" t="str">
        <f>Tabla14[[#This Row],[id]]&amp;Tabla14[[#This Row],[Resposable]]</f>
        <v>208Bezalel Mendoza</v>
      </c>
      <c r="L341" t="str">
        <f>Tabla14[[#This Row],[id]]&amp;Tabla14[[#This Row],[Resposable]]</f>
        <v>208Bezalel Mendoza</v>
      </c>
      <c r="M341" t="s">
        <v>297</v>
      </c>
    </row>
    <row r="342" spans="1:13" x14ac:dyDescent="0.25">
      <c r="A342" t="s">
        <v>12</v>
      </c>
      <c r="B342">
        <v>208</v>
      </c>
      <c r="C342" t="s">
        <v>7</v>
      </c>
      <c r="D342" t="s">
        <v>53</v>
      </c>
      <c r="E342" t="s">
        <v>54</v>
      </c>
      <c r="F342" s="4" t="s">
        <v>48</v>
      </c>
      <c r="G342" t="s">
        <v>239</v>
      </c>
      <c r="H342" t="s">
        <v>297</v>
      </c>
      <c r="I342" t="s">
        <v>384</v>
      </c>
      <c r="J342" t="s">
        <v>360</v>
      </c>
      <c r="K342" t="str">
        <f>Tabla14[[#This Row],[id]]&amp;Tabla14[[#This Row],[Resposable]]</f>
        <v>208Bezalel Mendoza</v>
      </c>
      <c r="L342" t="str">
        <f>Tabla14[[#This Row],[id]]&amp;Tabla14[[#This Row],[Resposable]]</f>
        <v>208Bezalel Mendoza</v>
      </c>
      <c r="M342" t="s">
        <v>297</v>
      </c>
    </row>
    <row r="343" spans="1:13" x14ac:dyDescent="0.25">
      <c r="A343" t="s">
        <v>12</v>
      </c>
      <c r="B343">
        <v>208</v>
      </c>
      <c r="C343" t="s">
        <v>9</v>
      </c>
      <c r="D343" t="s">
        <v>64</v>
      </c>
      <c r="E343" t="s">
        <v>47</v>
      </c>
      <c r="F343" s="4" t="s">
        <v>48</v>
      </c>
      <c r="G343" t="s">
        <v>239</v>
      </c>
      <c r="H343" t="s">
        <v>297</v>
      </c>
      <c r="I343" t="s">
        <v>384</v>
      </c>
      <c r="J343" t="s">
        <v>360</v>
      </c>
      <c r="K343" t="str">
        <f>Tabla14[[#This Row],[id]]&amp;Tabla14[[#This Row],[Resposable]]</f>
        <v>208Bezalel Mendoza</v>
      </c>
      <c r="L343" t="str">
        <f>Tabla14[[#This Row],[id]]&amp;Tabla14[[#This Row],[Resposable]]</f>
        <v>208Bezalel Mendoza</v>
      </c>
      <c r="M343" t="s">
        <v>297</v>
      </c>
    </row>
    <row r="344" spans="1:13" x14ac:dyDescent="0.25">
      <c r="A344" t="s">
        <v>371</v>
      </c>
      <c r="B344">
        <v>65</v>
      </c>
      <c r="C344" t="s">
        <v>6</v>
      </c>
      <c r="D344" t="s">
        <v>101</v>
      </c>
      <c r="E344" t="s">
        <v>47</v>
      </c>
      <c r="F344" s="4" t="s">
        <v>50</v>
      </c>
      <c r="G344" t="s">
        <v>239</v>
      </c>
      <c r="H344" t="s">
        <v>299</v>
      </c>
      <c r="I344" t="s">
        <v>391</v>
      </c>
      <c r="J344" t="s">
        <v>361</v>
      </c>
      <c r="K344" t="str">
        <f>Tabla14[[#This Row],[id]]&amp;Tabla14[[#This Row],[Resposable]]</f>
        <v>65Binder Chocooj</v>
      </c>
      <c r="L344" t="str">
        <f>Tabla14[[#This Row],[id]]&amp;Tabla14[[#This Row],[Resposable]]</f>
        <v>65Binder Chocooj</v>
      </c>
      <c r="M344" t="s">
        <v>299</v>
      </c>
    </row>
    <row r="345" spans="1:13" x14ac:dyDescent="0.25">
      <c r="A345" t="s">
        <v>326</v>
      </c>
      <c r="B345">
        <v>20</v>
      </c>
      <c r="C345" t="s">
        <v>261</v>
      </c>
      <c r="D345" t="s">
        <v>280</v>
      </c>
      <c r="E345" t="s">
        <v>290</v>
      </c>
      <c r="F345" s="4" t="s">
        <v>58</v>
      </c>
      <c r="G345" t="s">
        <v>257</v>
      </c>
      <c r="H345" t="s">
        <v>325</v>
      </c>
      <c r="I345" t="s">
        <v>396</v>
      </c>
      <c r="J345" t="s">
        <v>363</v>
      </c>
      <c r="K345" t="str">
        <f>Tabla14[[#This Row],[id]]&amp;Tabla14[[#This Row],[Resposable]]</f>
        <v>20Carlos de Leon</v>
      </c>
      <c r="L345" t="str">
        <f>Tabla14[[#This Row],[id]]&amp;Tabla14[[#This Row],[Resposable]]</f>
        <v>20Carlos de Leon</v>
      </c>
      <c r="M345" t="s">
        <v>325</v>
      </c>
    </row>
    <row r="346" spans="1:13" x14ac:dyDescent="0.25">
      <c r="A346" t="s">
        <v>326</v>
      </c>
      <c r="B346">
        <v>20</v>
      </c>
      <c r="C346" t="s">
        <v>261</v>
      </c>
      <c r="D346" t="s">
        <v>281</v>
      </c>
      <c r="E346" t="s">
        <v>47</v>
      </c>
      <c r="F346" s="4" t="s">
        <v>58</v>
      </c>
      <c r="G346" t="s">
        <v>257</v>
      </c>
      <c r="H346" t="s">
        <v>325</v>
      </c>
      <c r="I346" t="s">
        <v>396</v>
      </c>
      <c r="J346" t="s">
        <v>363</v>
      </c>
      <c r="K346" t="str">
        <f>Tabla14[[#This Row],[id]]&amp;Tabla14[[#This Row],[Resposable]]</f>
        <v>20Carlos de Leon</v>
      </c>
      <c r="L346" t="str">
        <f>Tabla14[[#This Row],[id]]&amp;Tabla14[[#This Row],[Resposable]]</f>
        <v>20Carlos de Leon</v>
      </c>
      <c r="M346" t="s">
        <v>325</v>
      </c>
    </row>
    <row r="347" spans="1:13" x14ac:dyDescent="0.25">
      <c r="A347" t="s">
        <v>326</v>
      </c>
      <c r="B347">
        <v>20</v>
      </c>
      <c r="C347" t="s">
        <v>262</v>
      </c>
      <c r="D347" t="s">
        <v>282</v>
      </c>
      <c r="E347" t="s">
        <v>54</v>
      </c>
      <c r="F347" s="4" t="s">
        <v>50</v>
      </c>
      <c r="G347" t="s">
        <v>257</v>
      </c>
      <c r="H347" t="s">
        <v>325</v>
      </c>
      <c r="I347" t="s">
        <v>396</v>
      </c>
      <c r="J347" t="s">
        <v>363</v>
      </c>
      <c r="K347" t="str">
        <f>Tabla14[[#This Row],[id]]&amp;Tabla14[[#This Row],[Resposable]]</f>
        <v>20Carlos de Leon</v>
      </c>
      <c r="L347" t="str">
        <f>Tabla14[[#This Row],[id]]&amp;Tabla14[[#This Row],[Resposable]]</f>
        <v>20Carlos de Leon</v>
      </c>
      <c r="M347" t="s">
        <v>325</v>
      </c>
    </row>
    <row r="348" spans="1:13" x14ac:dyDescent="0.25">
      <c r="A348" t="s">
        <v>326</v>
      </c>
      <c r="B348">
        <v>20</v>
      </c>
      <c r="C348" t="s">
        <v>261</v>
      </c>
      <c r="D348" t="s">
        <v>283</v>
      </c>
      <c r="E348" t="s">
        <v>47</v>
      </c>
      <c r="F348" s="4" t="s">
        <v>58</v>
      </c>
      <c r="G348" t="s">
        <v>257</v>
      </c>
      <c r="H348" t="s">
        <v>325</v>
      </c>
      <c r="I348" t="s">
        <v>396</v>
      </c>
      <c r="J348" t="s">
        <v>363</v>
      </c>
      <c r="K348" t="str">
        <f>Tabla14[[#This Row],[id]]&amp;Tabla14[[#This Row],[Resposable]]</f>
        <v>20Carlos de Leon</v>
      </c>
      <c r="L348" t="str">
        <f>Tabla14[[#This Row],[id]]&amp;Tabla14[[#This Row],[Resposable]]</f>
        <v>20Carlos de Leon</v>
      </c>
      <c r="M348" t="s">
        <v>325</v>
      </c>
    </row>
    <row r="349" spans="1:13" x14ac:dyDescent="0.25">
      <c r="A349" t="s">
        <v>326</v>
      </c>
      <c r="B349">
        <v>20</v>
      </c>
      <c r="C349" t="s">
        <v>260</v>
      </c>
      <c r="D349" t="s">
        <v>284</v>
      </c>
      <c r="E349" t="s">
        <v>54</v>
      </c>
      <c r="F349" s="4" t="s">
        <v>77</v>
      </c>
      <c r="G349" t="s">
        <v>257</v>
      </c>
      <c r="H349" t="s">
        <v>325</v>
      </c>
      <c r="I349" t="s">
        <v>396</v>
      </c>
      <c r="J349" t="s">
        <v>363</v>
      </c>
      <c r="K349" t="str">
        <f>Tabla14[[#This Row],[id]]&amp;Tabla14[[#This Row],[Resposable]]</f>
        <v>20Carlos de Leon</v>
      </c>
      <c r="L349" t="str">
        <f>Tabla14[[#This Row],[id]]&amp;Tabla14[[#This Row],[Resposable]]</f>
        <v>20Carlos de Leon</v>
      </c>
      <c r="M349" t="s">
        <v>325</v>
      </c>
    </row>
    <row r="350" spans="1:13" x14ac:dyDescent="0.25">
      <c r="A350" t="s">
        <v>326</v>
      </c>
      <c r="B350">
        <v>20</v>
      </c>
      <c r="C350" t="s">
        <v>263</v>
      </c>
      <c r="D350" t="s">
        <v>285</v>
      </c>
      <c r="E350" t="s">
        <v>54</v>
      </c>
      <c r="F350" s="4" t="s">
        <v>50</v>
      </c>
      <c r="G350" t="s">
        <v>257</v>
      </c>
      <c r="H350" t="s">
        <v>325</v>
      </c>
      <c r="I350" t="s">
        <v>396</v>
      </c>
      <c r="J350" t="s">
        <v>363</v>
      </c>
      <c r="K350" t="str">
        <f>Tabla14[[#This Row],[id]]&amp;Tabla14[[#This Row],[Resposable]]</f>
        <v>20Carlos de Leon</v>
      </c>
      <c r="L350" t="str">
        <f>Tabla14[[#This Row],[id]]&amp;Tabla14[[#This Row],[Resposable]]</f>
        <v>20Carlos de Leon</v>
      </c>
      <c r="M350" t="s">
        <v>325</v>
      </c>
    </row>
    <row r="351" spans="1:13" x14ac:dyDescent="0.25">
      <c r="A351" t="s">
        <v>326</v>
      </c>
      <c r="B351">
        <v>20</v>
      </c>
      <c r="C351" t="s">
        <v>6</v>
      </c>
      <c r="D351" t="s">
        <v>286</v>
      </c>
      <c r="E351" t="s">
        <v>47</v>
      </c>
      <c r="F351" s="4" t="s">
        <v>60</v>
      </c>
      <c r="G351" t="s">
        <v>257</v>
      </c>
      <c r="H351" t="s">
        <v>325</v>
      </c>
      <c r="I351" t="s">
        <v>396</v>
      </c>
      <c r="J351" t="s">
        <v>363</v>
      </c>
      <c r="K351" t="str">
        <f>Tabla14[[#This Row],[id]]&amp;Tabla14[[#This Row],[Resposable]]</f>
        <v>20Carlos de Leon</v>
      </c>
      <c r="L351" t="str">
        <f>Tabla14[[#This Row],[id]]&amp;Tabla14[[#This Row],[Resposable]]</f>
        <v>20Carlos de Leon</v>
      </c>
      <c r="M351" t="s">
        <v>325</v>
      </c>
    </row>
    <row r="352" spans="1:13" x14ac:dyDescent="0.25">
      <c r="A352" t="s">
        <v>326</v>
      </c>
      <c r="B352">
        <v>20</v>
      </c>
      <c r="C352" t="s">
        <v>264</v>
      </c>
      <c r="D352" t="s">
        <v>287</v>
      </c>
      <c r="E352" t="s">
        <v>54</v>
      </c>
      <c r="F352" s="4" t="s">
        <v>77</v>
      </c>
      <c r="G352" t="s">
        <v>257</v>
      </c>
      <c r="H352" t="s">
        <v>325</v>
      </c>
      <c r="I352" t="s">
        <v>396</v>
      </c>
      <c r="J352" t="s">
        <v>363</v>
      </c>
      <c r="K352" t="str">
        <f>Tabla14[[#This Row],[id]]&amp;Tabla14[[#This Row],[Resposable]]</f>
        <v>20Carlos de Leon</v>
      </c>
      <c r="L352" t="str">
        <f>Tabla14[[#This Row],[id]]&amp;Tabla14[[#This Row],[Resposable]]</f>
        <v>20Carlos de Leon</v>
      </c>
      <c r="M352" t="s">
        <v>325</v>
      </c>
    </row>
    <row r="353" spans="1:13" x14ac:dyDescent="0.25">
      <c r="A353" t="s">
        <v>326</v>
      </c>
      <c r="B353">
        <v>20</v>
      </c>
      <c r="C353" t="s">
        <v>260</v>
      </c>
      <c r="D353" t="s">
        <v>288</v>
      </c>
      <c r="E353" t="s">
        <v>47</v>
      </c>
      <c r="F353" s="4" t="s">
        <v>77</v>
      </c>
      <c r="G353" t="s">
        <v>257</v>
      </c>
      <c r="H353" t="s">
        <v>325</v>
      </c>
      <c r="I353" t="s">
        <v>396</v>
      </c>
      <c r="J353" t="s">
        <v>363</v>
      </c>
      <c r="K353" t="str">
        <f>Tabla14[[#This Row],[id]]&amp;Tabla14[[#This Row],[Resposable]]</f>
        <v>20Carlos de Leon</v>
      </c>
      <c r="L353" t="str">
        <f>Tabla14[[#This Row],[id]]&amp;Tabla14[[#This Row],[Resposable]]</f>
        <v>20Carlos de Leon</v>
      </c>
      <c r="M353" t="s">
        <v>325</v>
      </c>
    </row>
    <row r="354" spans="1:13" x14ac:dyDescent="0.25">
      <c r="A354" t="s">
        <v>326</v>
      </c>
      <c r="B354">
        <v>20</v>
      </c>
      <c r="C354" t="s">
        <v>8</v>
      </c>
      <c r="D354" t="s">
        <v>289</v>
      </c>
      <c r="E354" t="s">
        <v>47</v>
      </c>
      <c r="F354" s="4" t="s">
        <v>60</v>
      </c>
      <c r="G354" t="s">
        <v>257</v>
      </c>
      <c r="H354" t="s">
        <v>325</v>
      </c>
      <c r="I354" t="s">
        <v>396</v>
      </c>
      <c r="J354" t="s">
        <v>363</v>
      </c>
      <c r="K354" t="str">
        <f>Tabla14[[#This Row],[id]]&amp;Tabla14[[#This Row],[Resposable]]</f>
        <v>20Carlos de Leon</v>
      </c>
      <c r="L354" t="str">
        <f>Tabla14[[#This Row],[id]]&amp;Tabla14[[#This Row],[Resposable]]</f>
        <v>20Carlos de Leon</v>
      </c>
      <c r="M354" t="s">
        <v>325</v>
      </c>
    </row>
    <row r="355" spans="1:13" x14ac:dyDescent="0.25">
      <c r="A355" t="s">
        <v>327</v>
      </c>
      <c r="B355">
        <v>21</v>
      </c>
      <c r="C355" t="s">
        <v>261</v>
      </c>
      <c r="D355" t="s">
        <v>280</v>
      </c>
      <c r="E355" t="s">
        <v>290</v>
      </c>
      <c r="F355" s="4" t="s">
        <v>58</v>
      </c>
      <c r="G355" t="s">
        <v>257</v>
      </c>
      <c r="H355" t="s">
        <v>325</v>
      </c>
      <c r="I355" t="s">
        <v>396</v>
      </c>
      <c r="J355" t="s">
        <v>363</v>
      </c>
      <c r="K355" t="str">
        <f>Tabla14[[#This Row],[id]]&amp;Tabla14[[#This Row],[Resposable]]</f>
        <v>21Carlos de Leon</v>
      </c>
      <c r="L355" t="str">
        <f>Tabla14[[#This Row],[id]]&amp;Tabla14[[#This Row],[Resposable]]</f>
        <v>21Carlos de Leon</v>
      </c>
      <c r="M355" t="s">
        <v>325</v>
      </c>
    </row>
    <row r="356" spans="1:13" x14ac:dyDescent="0.25">
      <c r="A356" t="s">
        <v>327</v>
      </c>
      <c r="B356">
        <v>21</v>
      </c>
      <c r="C356" t="s">
        <v>261</v>
      </c>
      <c r="D356" t="s">
        <v>281</v>
      </c>
      <c r="E356" t="s">
        <v>47</v>
      </c>
      <c r="F356" s="4" t="s">
        <v>58</v>
      </c>
      <c r="G356" t="s">
        <v>257</v>
      </c>
      <c r="H356" t="s">
        <v>325</v>
      </c>
      <c r="I356" t="s">
        <v>396</v>
      </c>
      <c r="J356" t="s">
        <v>363</v>
      </c>
      <c r="K356" t="str">
        <f>Tabla14[[#This Row],[id]]&amp;Tabla14[[#This Row],[Resposable]]</f>
        <v>21Carlos de Leon</v>
      </c>
      <c r="L356" t="str">
        <f>Tabla14[[#This Row],[id]]&amp;Tabla14[[#This Row],[Resposable]]</f>
        <v>21Carlos de Leon</v>
      </c>
      <c r="M356" t="s">
        <v>325</v>
      </c>
    </row>
    <row r="357" spans="1:13" x14ac:dyDescent="0.25">
      <c r="A357" t="s">
        <v>327</v>
      </c>
      <c r="B357">
        <v>21</v>
      </c>
      <c r="C357" t="s">
        <v>262</v>
      </c>
      <c r="D357" t="s">
        <v>282</v>
      </c>
      <c r="E357" t="s">
        <v>54</v>
      </c>
      <c r="F357" s="4" t="s">
        <v>50</v>
      </c>
      <c r="G357" t="s">
        <v>257</v>
      </c>
      <c r="H357" t="s">
        <v>325</v>
      </c>
      <c r="I357" t="s">
        <v>396</v>
      </c>
      <c r="J357" t="s">
        <v>363</v>
      </c>
      <c r="K357" t="str">
        <f>Tabla14[[#This Row],[id]]&amp;Tabla14[[#This Row],[Resposable]]</f>
        <v>21Carlos de Leon</v>
      </c>
      <c r="L357" t="str">
        <f>Tabla14[[#This Row],[id]]&amp;Tabla14[[#This Row],[Resposable]]</f>
        <v>21Carlos de Leon</v>
      </c>
      <c r="M357" t="s">
        <v>325</v>
      </c>
    </row>
    <row r="358" spans="1:13" x14ac:dyDescent="0.25">
      <c r="A358" t="s">
        <v>327</v>
      </c>
      <c r="B358">
        <v>21</v>
      </c>
      <c r="C358" t="s">
        <v>261</v>
      </c>
      <c r="D358" t="s">
        <v>283</v>
      </c>
      <c r="E358" t="s">
        <v>47</v>
      </c>
      <c r="F358" s="4" t="s">
        <v>58</v>
      </c>
      <c r="G358" t="s">
        <v>257</v>
      </c>
      <c r="H358" t="s">
        <v>325</v>
      </c>
      <c r="I358" t="s">
        <v>396</v>
      </c>
      <c r="J358" t="s">
        <v>363</v>
      </c>
      <c r="K358" t="str">
        <f>Tabla14[[#This Row],[id]]&amp;Tabla14[[#This Row],[Resposable]]</f>
        <v>21Carlos de Leon</v>
      </c>
      <c r="L358" t="str">
        <f>Tabla14[[#This Row],[id]]&amp;Tabla14[[#This Row],[Resposable]]</f>
        <v>21Carlos de Leon</v>
      </c>
      <c r="M358" t="s">
        <v>325</v>
      </c>
    </row>
    <row r="359" spans="1:13" x14ac:dyDescent="0.25">
      <c r="A359" t="s">
        <v>327</v>
      </c>
      <c r="B359">
        <v>21</v>
      </c>
      <c r="C359" t="s">
        <v>260</v>
      </c>
      <c r="D359" t="s">
        <v>284</v>
      </c>
      <c r="E359" t="s">
        <v>54</v>
      </c>
      <c r="F359" s="4" t="s">
        <v>77</v>
      </c>
      <c r="G359" t="s">
        <v>257</v>
      </c>
      <c r="H359" t="s">
        <v>325</v>
      </c>
      <c r="I359" t="s">
        <v>396</v>
      </c>
      <c r="J359" t="s">
        <v>363</v>
      </c>
      <c r="K359" t="str">
        <f>Tabla14[[#This Row],[id]]&amp;Tabla14[[#This Row],[Resposable]]</f>
        <v>21Carlos de Leon</v>
      </c>
      <c r="L359" t="str">
        <f>Tabla14[[#This Row],[id]]&amp;Tabla14[[#This Row],[Resposable]]</f>
        <v>21Carlos de Leon</v>
      </c>
      <c r="M359" t="s">
        <v>325</v>
      </c>
    </row>
    <row r="360" spans="1:13" x14ac:dyDescent="0.25">
      <c r="A360" t="s">
        <v>327</v>
      </c>
      <c r="B360">
        <v>21</v>
      </c>
      <c r="C360" t="s">
        <v>263</v>
      </c>
      <c r="D360" t="s">
        <v>285</v>
      </c>
      <c r="E360" t="s">
        <v>54</v>
      </c>
      <c r="F360" s="4" t="s">
        <v>50</v>
      </c>
      <c r="G360" t="s">
        <v>257</v>
      </c>
      <c r="H360" t="s">
        <v>325</v>
      </c>
      <c r="I360" t="s">
        <v>396</v>
      </c>
      <c r="J360" t="s">
        <v>363</v>
      </c>
      <c r="K360" t="str">
        <f>Tabla14[[#This Row],[id]]&amp;Tabla14[[#This Row],[Resposable]]</f>
        <v>21Carlos de Leon</v>
      </c>
      <c r="L360" t="str">
        <f>Tabla14[[#This Row],[id]]&amp;Tabla14[[#This Row],[Resposable]]</f>
        <v>21Carlos de Leon</v>
      </c>
      <c r="M360" t="s">
        <v>325</v>
      </c>
    </row>
    <row r="361" spans="1:13" x14ac:dyDescent="0.25">
      <c r="A361" t="s">
        <v>327</v>
      </c>
      <c r="B361">
        <v>21</v>
      </c>
      <c r="C361" t="s">
        <v>6</v>
      </c>
      <c r="D361" t="s">
        <v>286</v>
      </c>
      <c r="E361" t="s">
        <v>47</v>
      </c>
      <c r="F361" s="4" t="s">
        <v>60</v>
      </c>
      <c r="G361" t="s">
        <v>257</v>
      </c>
      <c r="H361" t="s">
        <v>325</v>
      </c>
      <c r="I361" t="s">
        <v>396</v>
      </c>
      <c r="J361" t="s">
        <v>363</v>
      </c>
      <c r="K361" t="str">
        <f>Tabla14[[#This Row],[id]]&amp;Tabla14[[#This Row],[Resposable]]</f>
        <v>21Carlos de Leon</v>
      </c>
      <c r="L361" t="str">
        <f>Tabla14[[#This Row],[id]]&amp;Tabla14[[#This Row],[Resposable]]</f>
        <v>21Carlos de Leon</v>
      </c>
      <c r="M361" t="s">
        <v>325</v>
      </c>
    </row>
    <row r="362" spans="1:13" x14ac:dyDescent="0.25">
      <c r="A362" t="s">
        <v>327</v>
      </c>
      <c r="B362">
        <v>21</v>
      </c>
      <c r="C362" t="s">
        <v>264</v>
      </c>
      <c r="D362" t="s">
        <v>287</v>
      </c>
      <c r="E362" t="s">
        <v>54</v>
      </c>
      <c r="F362" s="4" t="s">
        <v>77</v>
      </c>
      <c r="G362" t="s">
        <v>257</v>
      </c>
      <c r="H362" t="s">
        <v>325</v>
      </c>
      <c r="I362" t="s">
        <v>396</v>
      </c>
      <c r="J362" t="s">
        <v>363</v>
      </c>
      <c r="K362" t="str">
        <f>Tabla14[[#This Row],[id]]&amp;Tabla14[[#This Row],[Resposable]]</f>
        <v>21Carlos de Leon</v>
      </c>
      <c r="L362" t="str">
        <f>Tabla14[[#This Row],[id]]&amp;Tabla14[[#This Row],[Resposable]]</f>
        <v>21Carlos de Leon</v>
      </c>
      <c r="M362" t="s">
        <v>325</v>
      </c>
    </row>
    <row r="363" spans="1:13" x14ac:dyDescent="0.25">
      <c r="A363" t="s">
        <v>327</v>
      </c>
      <c r="B363">
        <v>21</v>
      </c>
      <c r="C363" t="s">
        <v>260</v>
      </c>
      <c r="D363" t="s">
        <v>288</v>
      </c>
      <c r="E363" t="s">
        <v>47</v>
      </c>
      <c r="F363" s="4" t="s">
        <v>77</v>
      </c>
      <c r="G363" t="s">
        <v>257</v>
      </c>
      <c r="H363" t="s">
        <v>325</v>
      </c>
      <c r="I363" t="s">
        <v>396</v>
      </c>
      <c r="J363" t="s">
        <v>363</v>
      </c>
      <c r="K363" t="str">
        <f>Tabla14[[#This Row],[id]]&amp;Tabla14[[#This Row],[Resposable]]</f>
        <v>21Carlos de Leon</v>
      </c>
      <c r="L363" t="str">
        <f>Tabla14[[#This Row],[id]]&amp;Tabla14[[#This Row],[Resposable]]</f>
        <v>21Carlos de Leon</v>
      </c>
      <c r="M363" t="s">
        <v>325</v>
      </c>
    </row>
    <row r="364" spans="1:13" x14ac:dyDescent="0.25">
      <c r="A364" t="s">
        <v>327</v>
      </c>
      <c r="B364">
        <v>21</v>
      </c>
      <c r="C364" t="s">
        <v>8</v>
      </c>
      <c r="D364" t="s">
        <v>289</v>
      </c>
      <c r="E364" t="s">
        <v>47</v>
      </c>
      <c r="F364" s="4" t="s">
        <v>60</v>
      </c>
      <c r="G364" t="s">
        <v>257</v>
      </c>
      <c r="H364" t="s">
        <v>325</v>
      </c>
      <c r="I364" t="s">
        <v>396</v>
      </c>
      <c r="J364" t="s">
        <v>363</v>
      </c>
      <c r="K364" t="str">
        <f>Tabla14[[#This Row],[id]]&amp;Tabla14[[#This Row],[Resposable]]</f>
        <v>21Carlos de Leon</v>
      </c>
      <c r="L364" t="str">
        <f>Tabla14[[#This Row],[id]]&amp;Tabla14[[#This Row],[Resposable]]</f>
        <v>21Carlos de Leon</v>
      </c>
      <c r="M364" t="s">
        <v>325</v>
      </c>
    </row>
    <row r="365" spans="1:13" x14ac:dyDescent="0.25">
      <c r="A365" t="s">
        <v>357</v>
      </c>
      <c r="B365">
        <v>68</v>
      </c>
      <c r="C365" t="s">
        <v>333</v>
      </c>
      <c r="D365" t="s">
        <v>336</v>
      </c>
      <c r="E365" s="13" t="s">
        <v>47</v>
      </c>
      <c r="F365" s="4" t="s">
        <v>337</v>
      </c>
      <c r="G365" s="13" t="s">
        <v>257</v>
      </c>
      <c r="H365" t="s">
        <v>259</v>
      </c>
      <c r="I365" t="s">
        <v>396</v>
      </c>
      <c r="J365" t="s">
        <v>363</v>
      </c>
      <c r="K365" t="str">
        <f>Tabla14[[#This Row],[id]]&amp;Tabla14[[#This Row],[Resposable]]</f>
        <v>68Carlos de Leon</v>
      </c>
      <c r="L365" t="str">
        <f>Tabla14[[#This Row],[id]]&amp;Tabla14[[#This Row],[Resposable]]</f>
        <v>68Carlos de Leon</v>
      </c>
      <c r="M365" t="s">
        <v>259</v>
      </c>
    </row>
    <row r="366" spans="1:13" x14ac:dyDescent="0.25">
      <c r="A366" t="s">
        <v>357</v>
      </c>
      <c r="B366">
        <v>68</v>
      </c>
      <c r="C366" t="s">
        <v>334</v>
      </c>
      <c r="D366" t="s">
        <v>350</v>
      </c>
      <c r="E366" s="13" t="s">
        <v>47</v>
      </c>
      <c r="F366" s="4" t="s">
        <v>167</v>
      </c>
      <c r="G366" s="13" t="s">
        <v>257</v>
      </c>
      <c r="H366" t="s">
        <v>259</v>
      </c>
      <c r="I366" t="s">
        <v>396</v>
      </c>
      <c r="J366" t="s">
        <v>363</v>
      </c>
      <c r="K366" t="str">
        <f>Tabla14[[#This Row],[id]]&amp;Tabla14[[#This Row],[Resposable]]</f>
        <v>68Carlos de Leon</v>
      </c>
      <c r="L366" t="str">
        <f>Tabla14[[#This Row],[id]]&amp;Tabla14[[#This Row],[Resposable]]</f>
        <v>68Carlos de Leon</v>
      </c>
      <c r="M366" t="s">
        <v>259</v>
      </c>
    </row>
    <row r="367" spans="1:13" x14ac:dyDescent="0.25">
      <c r="A367" t="s">
        <v>357</v>
      </c>
      <c r="B367">
        <v>68</v>
      </c>
      <c r="C367" t="s">
        <v>333</v>
      </c>
      <c r="D367" t="s">
        <v>349</v>
      </c>
      <c r="E367" s="13" t="s">
        <v>47</v>
      </c>
      <c r="F367" s="4" t="s">
        <v>167</v>
      </c>
      <c r="G367" s="13" t="s">
        <v>257</v>
      </c>
      <c r="H367" t="s">
        <v>259</v>
      </c>
      <c r="I367" t="s">
        <v>396</v>
      </c>
      <c r="J367" t="s">
        <v>363</v>
      </c>
      <c r="K367" t="str">
        <f>Tabla14[[#This Row],[id]]&amp;Tabla14[[#This Row],[Resposable]]</f>
        <v>68Carlos de Leon</v>
      </c>
      <c r="L367" t="str">
        <f>Tabla14[[#This Row],[id]]&amp;Tabla14[[#This Row],[Resposable]]</f>
        <v>68Carlos de Leon</v>
      </c>
      <c r="M367" t="s">
        <v>259</v>
      </c>
    </row>
    <row r="368" spans="1:13" x14ac:dyDescent="0.25">
      <c r="A368" t="s">
        <v>357</v>
      </c>
      <c r="B368">
        <v>68</v>
      </c>
      <c r="C368" t="s">
        <v>334</v>
      </c>
      <c r="D368" t="s">
        <v>347</v>
      </c>
      <c r="E368" s="13" t="s">
        <v>47</v>
      </c>
      <c r="F368" s="4" t="s">
        <v>348</v>
      </c>
      <c r="G368" s="13" t="s">
        <v>257</v>
      </c>
      <c r="H368" t="s">
        <v>259</v>
      </c>
      <c r="I368" t="s">
        <v>396</v>
      </c>
      <c r="J368" t="s">
        <v>363</v>
      </c>
      <c r="K368" t="str">
        <f>Tabla14[[#This Row],[id]]&amp;Tabla14[[#This Row],[Resposable]]</f>
        <v>68Carlos de Leon</v>
      </c>
      <c r="L368" t="str">
        <f>Tabla14[[#This Row],[id]]&amp;Tabla14[[#This Row],[Resposable]]</f>
        <v>68Carlos de Leon</v>
      </c>
      <c r="M368" t="s">
        <v>259</v>
      </c>
    </row>
    <row r="369" spans="1:13" x14ac:dyDescent="0.25">
      <c r="A369" t="s">
        <v>357</v>
      </c>
      <c r="B369">
        <v>68</v>
      </c>
      <c r="C369" t="s">
        <v>335</v>
      </c>
      <c r="D369" t="s">
        <v>346</v>
      </c>
      <c r="E369" s="13" t="s">
        <v>47</v>
      </c>
      <c r="F369" s="4" t="s">
        <v>48</v>
      </c>
      <c r="G369" s="13" t="s">
        <v>257</v>
      </c>
      <c r="H369" t="s">
        <v>259</v>
      </c>
      <c r="I369" t="s">
        <v>396</v>
      </c>
      <c r="J369" t="s">
        <v>363</v>
      </c>
      <c r="K369" t="str">
        <f>Tabla14[[#This Row],[id]]&amp;Tabla14[[#This Row],[Resposable]]</f>
        <v>68Carlos de Leon</v>
      </c>
      <c r="L369" t="str">
        <f>Tabla14[[#This Row],[id]]&amp;Tabla14[[#This Row],[Resposable]]</f>
        <v>68Carlos de Leon</v>
      </c>
      <c r="M369" t="s">
        <v>259</v>
      </c>
    </row>
    <row r="370" spans="1:13" x14ac:dyDescent="0.25">
      <c r="A370" t="s">
        <v>357</v>
      </c>
      <c r="B370">
        <v>68</v>
      </c>
      <c r="C370" t="s">
        <v>335</v>
      </c>
      <c r="D370" t="s">
        <v>344</v>
      </c>
      <c r="E370" s="13" t="s">
        <v>47</v>
      </c>
      <c r="F370" s="4" t="s">
        <v>345</v>
      </c>
      <c r="G370" s="13" t="s">
        <v>257</v>
      </c>
      <c r="H370" t="s">
        <v>259</v>
      </c>
      <c r="I370" t="s">
        <v>396</v>
      </c>
      <c r="J370" t="s">
        <v>363</v>
      </c>
      <c r="K370" t="str">
        <f>Tabla14[[#This Row],[id]]&amp;Tabla14[[#This Row],[Resposable]]</f>
        <v>68Carlos de Leon</v>
      </c>
      <c r="L370" t="str">
        <f>Tabla14[[#This Row],[id]]&amp;Tabla14[[#This Row],[Resposable]]</f>
        <v>68Carlos de Leon</v>
      </c>
      <c r="M370" t="s">
        <v>259</v>
      </c>
    </row>
    <row r="371" spans="1:13" x14ac:dyDescent="0.25">
      <c r="A371" t="s">
        <v>357</v>
      </c>
      <c r="B371">
        <v>68</v>
      </c>
      <c r="C371" t="s">
        <v>335</v>
      </c>
      <c r="D371" t="s">
        <v>343</v>
      </c>
      <c r="E371" s="13" t="s">
        <v>47</v>
      </c>
      <c r="F371" s="4" t="s">
        <v>48</v>
      </c>
      <c r="G371" s="13" t="s">
        <v>257</v>
      </c>
      <c r="H371" t="s">
        <v>259</v>
      </c>
      <c r="I371" t="s">
        <v>396</v>
      </c>
      <c r="J371" t="s">
        <v>363</v>
      </c>
      <c r="K371" t="str">
        <f>Tabla14[[#This Row],[id]]&amp;Tabla14[[#This Row],[Resposable]]</f>
        <v>68Carlos de Leon</v>
      </c>
      <c r="L371" t="str">
        <f>Tabla14[[#This Row],[id]]&amp;Tabla14[[#This Row],[Resposable]]</f>
        <v>68Carlos de Leon</v>
      </c>
      <c r="M371" t="s">
        <v>259</v>
      </c>
    </row>
    <row r="372" spans="1:13" x14ac:dyDescent="0.25">
      <c r="A372" t="s">
        <v>357</v>
      </c>
      <c r="B372">
        <v>68</v>
      </c>
      <c r="C372" t="s">
        <v>335</v>
      </c>
      <c r="D372" t="s">
        <v>342</v>
      </c>
      <c r="E372" s="13" t="s">
        <v>47</v>
      </c>
      <c r="F372" s="4" t="s">
        <v>48</v>
      </c>
      <c r="G372" s="13" t="s">
        <v>257</v>
      </c>
      <c r="H372" t="s">
        <v>259</v>
      </c>
      <c r="I372" t="s">
        <v>396</v>
      </c>
      <c r="J372" t="s">
        <v>363</v>
      </c>
      <c r="K372" t="str">
        <f>Tabla14[[#This Row],[id]]&amp;Tabla14[[#This Row],[Resposable]]</f>
        <v>68Carlos de Leon</v>
      </c>
      <c r="L372" t="str">
        <f>Tabla14[[#This Row],[id]]&amp;Tabla14[[#This Row],[Resposable]]</f>
        <v>68Carlos de Leon</v>
      </c>
      <c r="M372" t="s">
        <v>259</v>
      </c>
    </row>
    <row r="373" spans="1:13" x14ac:dyDescent="0.25">
      <c r="A373" t="s">
        <v>357</v>
      </c>
      <c r="B373">
        <v>68</v>
      </c>
      <c r="C373" t="s">
        <v>334</v>
      </c>
      <c r="D373" t="s">
        <v>340</v>
      </c>
      <c r="E373" s="13" t="s">
        <v>47</v>
      </c>
      <c r="F373" s="4" t="s">
        <v>341</v>
      </c>
      <c r="G373" s="13" t="s">
        <v>257</v>
      </c>
      <c r="H373" t="s">
        <v>259</v>
      </c>
      <c r="I373" t="s">
        <v>396</v>
      </c>
      <c r="J373" t="s">
        <v>363</v>
      </c>
      <c r="K373" t="str">
        <f>Tabla14[[#This Row],[id]]&amp;Tabla14[[#This Row],[Resposable]]</f>
        <v>68Carlos de Leon</v>
      </c>
      <c r="L373" t="str">
        <f>Tabla14[[#This Row],[id]]&amp;Tabla14[[#This Row],[Resposable]]</f>
        <v>68Carlos de Leon</v>
      </c>
      <c r="M373" t="s">
        <v>259</v>
      </c>
    </row>
    <row r="374" spans="1:13" x14ac:dyDescent="0.25">
      <c r="A374" t="s">
        <v>357</v>
      </c>
      <c r="B374">
        <v>68</v>
      </c>
      <c r="C374" t="s">
        <v>335</v>
      </c>
      <c r="D374" t="s">
        <v>339</v>
      </c>
      <c r="E374" s="13" t="s">
        <v>47</v>
      </c>
      <c r="F374" s="4" t="s">
        <v>48</v>
      </c>
      <c r="G374" s="13" t="s">
        <v>257</v>
      </c>
      <c r="H374" t="s">
        <v>259</v>
      </c>
      <c r="I374" t="s">
        <v>396</v>
      </c>
      <c r="J374" t="s">
        <v>363</v>
      </c>
      <c r="K374" t="str">
        <f>Tabla14[[#This Row],[id]]&amp;Tabla14[[#This Row],[Resposable]]</f>
        <v>68Carlos de Leon</v>
      </c>
      <c r="L374" t="str">
        <f>Tabla14[[#This Row],[id]]&amp;Tabla14[[#This Row],[Resposable]]</f>
        <v>68Carlos de Leon</v>
      </c>
      <c r="M374" t="s">
        <v>259</v>
      </c>
    </row>
    <row r="375" spans="1:13" x14ac:dyDescent="0.25">
      <c r="A375" t="s">
        <v>357</v>
      </c>
      <c r="B375">
        <v>68</v>
      </c>
      <c r="C375" t="s">
        <v>335</v>
      </c>
      <c r="D375" t="s">
        <v>338</v>
      </c>
      <c r="E375" s="13" t="s">
        <v>47</v>
      </c>
      <c r="F375" s="4" t="s">
        <v>71</v>
      </c>
      <c r="G375" s="13" t="s">
        <v>257</v>
      </c>
      <c r="H375" t="s">
        <v>259</v>
      </c>
      <c r="I375" t="s">
        <v>396</v>
      </c>
      <c r="J375" t="s">
        <v>363</v>
      </c>
      <c r="K375" t="str">
        <f>Tabla14[[#This Row],[id]]&amp;Tabla14[[#This Row],[Resposable]]</f>
        <v>68Carlos de Leon</v>
      </c>
      <c r="L375" t="str">
        <f>Tabla14[[#This Row],[id]]&amp;Tabla14[[#This Row],[Resposable]]</f>
        <v>68Carlos de Leon</v>
      </c>
      <c r="M375" t="s">
        <v>259</v>
      </c>
    </row>
    <row r="376" spans="1:13" x14ac:dyDescent="0.25">
      <c r="A376" t="s">
        <v>357</v>
      </c>
      <c r="B376">
        <v>68</v>
      </c>
      <c r="C376" t="s">
        <v>335</v>
      </c>
      <c r="D376" t="s">
        <v>356</v>
      </c>
      <c r="E376" s="13" t="s">
        <v>47</v>
      </c>
      <c r="F376" s="4" t="s">
        <v>71</v>
      </c>
      <c r="G376" s="13" t="s">
        <v>257</v>
      </c>
      <c r="H376" t="s">
        <v>259</v>
      </c>
      <c r="I376" t="s">
        <v>396</v>
      </c>
      <c r="J376" t="s">
        <v>363</v>
      </c>
      <c r="K376" t="str">
        <f>Tabla14[[#This Row],[id]]&amp;Tabla14[[#This Row],[Resposable]]</f>
        <v>68Carlos de Leon</v>
      </c>
      <c r="L376" t="str">
        <f>Tabla14[[#This Row],[id]]&amp;Tabla14[[#This Row],[Resposable]]</f>
        <v>68Carlos de Leon</v>
      </c>
      <c r="M376" t="s">
        <v>259</v>
      </c>
    </row>
    <row r="377" spans="1:13" x14ac:dyDescent="0.25">
      <c r="A377" t="s">
        <v>357</v>
      </c>
      <c r="B377">
        <v>68</v>
      </c>
      <c r="C377" t="s">
        <v>335</v>
      </c>
      <c r="D377" t="s">
        <v>355</v>
      </c>
      <c r="E377" s="13" t="s">
        <v>47</v>
      </c>
      <c r="F377" s="4" t="s">
        <v>48</v>
      </c>
      <c r="G377" s="13" t="s">
        <v>257</v>
      </c>
      <c r="H377" t="s">
        <v>259</v>
      </c>
      <c r="I377" t="s">
        <v>396</v>
      </c>
      <c r="J377" t="s">
        <v>363</v>
      </c>
      <c r="K377" t="str">
        <f>Tabla14[[#This Row],[id]]&amp;Tabla14[[#This Row],[Resposable]]</f>
        <v>68Carlos de Leon</v>
      </c>
      <c r="L377" t="str">
        <f>Tabla14[[#This Row],[id]]&amp;Tabla14[[#This Row],[Resposable]]</f>
        <v>68Carlos de Leon</v>
      </c>
      <c r="M377" t="s">
        <v>259</v>
      </c>
    </row>
    <row r="378" spans="1:13" x14ac:dyDescent="0.25">
      <c r="A378" t="s">
        <v>357</v>
      </c>
      <c r="B378">
        <v>68</v>
      </c>
      <c r="C378" t="s">
        <v>335</v>
      </c>
      <c r="D378" t="s">
        <v>354</v>
      </c>
      <c r="E378" s="13" t="s">
        <v>47</v>
      </c>
      <c r="F378" s="4" t="s">
        <v>48</v>
      </c>
      <c r="G378" s="13" t="s">
        <v>257</v>
      </c>
      <c r="H378" t="s">
        <v>259</v>
      </c>
      <c r="I378" t="s">
        <v>396</v>
      </c>
      <c r="J378" t="s">
        <v>363</v>
      </c>
      <c r="K378" t="str">
        <f>Tabla14[[#This Row],[id]]&amp;Tabla14[[#This Row],[Resposable]]</f>
        <v>68Carlos de Leon</v>
      </c>
      <c r="L378" t="str">
        <f>Tabla14[[#This Row],[id]]&amp;Tabla14[[#This Row],[Resposable]]</f>
        <v>68Carlos de Leon</v>
      </c>
      <c r="M378" t="s">
        <v>259</v>
      </c>
    </row>
    <row r="379" spans="1:13" x14ac:dyDescent="0.25">
      <c r="A379" t="s">
        <v>357</v>
      </c>
      <c r="B379">
        <v>68</v>
      </c>
      <c r="C379" t="s">
        <v>334</v>
      </c>
      <c r="D379" t="s">
        <v>353</v>
      </c>
      <c r="E379" s="13" t="s">
        <v>47</v>
      </c>
      <c r="F379" s="4" t="s">
        <v>58</v>
      </c>
      <c r="G379" s="13" t="s">
        <v>257</v>
      </c>
      <c r="H379" t="s">
        <v>259</v>
      </c>
      <c r="I379" t="s">
        <v>396</v>
      </c>
      <c r="J379" t="s">
        <v>363</v>
      </c>
      <c r="K379" t="str">
        <f>Tabla14[[#This Row],[id]]&amp;Tabla14[[#This Row],[Resposable]]</f>
        <v>68Carlos de Leon</v>
      </c>
      <c r="L379" t="str">
        <f>Tabla14[[#This Row],[id]]&amp;Tabla14[[#This Row],[Resposable]]</f>
        <v>68Carlos de Leon</v>
      </c>
      <c r="M379" t="s">
        <v>259</v>
      </c>
    </row>
    <row r="380" spans="1:13" x14ac:dyDescent="0.25">
      <c r="A380" t="s">
        <v>357</v>
      </c>
      <c r="B380">
        <v>68</v>
      </c>
      <c r="C380" t="s">
        <v>335</v>
      </c>
      <c r="D380" t="s">
        <v>352</v>
      </c>
      <c r="E380" s="13" t="s">
        <v>47</v>
      </c>
      <c r="F380" s="4" t="s">
        <v>345</v>
      </c>
      <c r="G380" s="13" t="s">
        <v>257</v>
      </c>
      <c r="H380" t="s">
        <v>259</v>
      </c>
      <c r="I380" t="s">
        <v>396</v>
      </c>
      <c r="J380" t="s">
        <v>363</v>
      </c>
      <c r="K380" t="str">
        <f>Tabla14[[#This Row],[id]]&amp;Tabla14[[#This Row],[Resposable]]</f>
        <v>68Carlos de Leon</v>
      </c>
      <c r="L380" t="str">
        <f>Tabla14[[#This Row],[id]]&amp;Tabla14[[#This Row],[Resposable]]</f>
        <v>68Carlos de Leon</v>
      </c>
      <c r="M380" t="s">
        <v>259</v>
      </c>
    </row>
    <row r="381" spans="1:13" x14ac:dyDescent="0.25">
      <c r="A381" t="s">
        <v>357</v>
      </c>
      <c r="B381">
        <v>68</v>
      </c>
      <c r="C381" t="s">
        <v>335</v>
      </c>
      <c r="D381" t="s">
        <v>351</v>
      </c>
      <c r="E381" s="13" t="s">
        <v>47</v>
      </c>
      <c r="F381" s="4" t="s">
        <v>48</v>
      </c>
      <c r="G381" s="13" t="s">
        <v>257</v>
      </c>
      <c r="H381" t="s">
        <v>259</v>
      </c>
      <c r="I381" t="s">
        <v>396</v>
      </c>
      <c r="J381" t="s">
        <v>363</v>
      </c>
      <c r="K381" t="str">
        <f>Tabla14[[#This Row],[id]]&amp;Tabla14[[#This Row],[Resposable]]</f>
        <v>68Carlos de Leon</v>
      </c>
      <c r="L381" t="str">
        <f>Tabla14[[#This Row],[id]]&amp;Tabla14[[#This Row],[Resposable]]</f>
        <v>68Carlos de Leon</v>
      </c>
      <c r="M381" t="s">
        <v>259</v>
      </c>
    </row>
    <row r="382" spans="1:13" x14ac:dyDescent="0.25">
      <c r="A382" t="s">
        <v>358</v>
      </c>
      <c r="B382">
        <v>69</v>
      </c>
      <c r="C382" t="s">
        <v>333</v>
      </c>
      <c r="D382" t="s">
        <v>336</v>
      </c>
      <c r="E382" s="13" t="s">
        <v>47</v>
      </c>
      <c r="F382" s="4" t="s">
        <v>337</v>
      </c>
      <c r="G382" s="13" t="s">
        <v>257</v>
      </c>
      <c r="H382" t="s">
        <v>259</v>
      </c>
      <c r="I382" t="s">
        <v>396</v>
      </c>
      <c r="J382" t="s">
        <v>363</v>
      </c>
      <c r="K382" t="str">
        <f>Tabla14[[#This Row],[id]]&amp;Tabla14[[#This Row],[Resposable]]</f>
        <v>69Carlos de Leon</v>
      </c>
      <c r="L382" t="str">
        <f>Tabla14[[#This Row],[id]]&amp;Tabla14[[#This Row],[Resposable]]</f>
        <v>69Carlos de Leon</v>
      </c>
      <c r="M382" t="s">
        <v>259</v>
      </c>
    </row>
    <row r="383" spans="1:13" x14ac:dyDescent="0.25">
      <c r="A383" t="s">
        <v>358</v>
      </c>
      <c r="B383">
        <v>69</v>
      </c>
      <c r="C383" t="s">
        <v>334</v>
      </c>
      <c r="D383" t="s">
        <v>350</v>
      </c>
      <c r="E383" s="13" t="s">
        <v>47</v>
      </c>
      <c r="F383" s="4" t="s">
        <v>167</v>
      </c>
      <c r="G383" s="13" t="s">
        <v>257</v>
      </c>
      <c r="H383" t="s">
        <v>259</v>
      </c>
      <c r="I383" t="s">
        <v>396</v>
      </c>
      <c r="J383" t="s">
        <v>363</v>
      </c>
      <c r="K383" t="str">
        <f>Tabla14[[#This Row],[id]]&amp;Tabla14[[#This Row],[Resposable]]</f>
        <v>69Carlos de Leon</v>
      </c>
      <c r="L383" t="str">
        <f>Tabla14[[#This Row],[id]]&amp;Tabla14[[#This Row],[Resposable]]</f>
        <v>69Carlos de Leon</v>
      </c>
      <c r="M383" t="s">
        <v>259</v>
      </c>
    </row>
    <row r="384" spans="1:13" x14ac:dyDescent="0.25">
      <c r="A384" t="s">
        <v>358</v>
      </c>
      <c r="B384">
        <v>69</v>
      </c>
      <c r="C384" t="s">
        <v>333</v>
      </c>
      <c r="D384" t="s">
        <v>349</v>
      </c>
      <c r="E384" s="13" t="s">
        <v>47</v>
      </c>
      <c r="F384" s="4" t="s">
        <v>167</v>
      </c>
      <c r="G384" s="13" t="s">
        <v>257</v>
      </c>
      <c r="H384" t="s">
        <v>259</v>
      </c>
      <c r="I384" t="s">
        <v>396</v>
      </c>
      <c r="J384" t="s">
        <v>363</v>
      </c>
      <c r="K384" t="str">
        <f>Tabla14[[#This Row],[id]]&amp;Tabla14[[#This Row],[Resposable]]</f>
        <v>69Carlos de Leon</v>
      </c>
      <c r="L384" t="str">
        <f>Tabla14[[#This Row],[id]]&amp;Tabla14[[#This Row],[Resposable]]</f>
        <v>69Carlos de Leon</v>
      </c>
      <c r="M384" t="s">
        <v>259</v>
      </c>
    </row>
    <row r="385" spans="1:13" x14ac:dyDescent="0.25">
      <c r="A385" t="s">
        <v>358</v>
      </c>
      <c r="B385">
        <v>69</v>
      </c>
      <c r="C385" t="s">
        <v>334</v>
      </c>
      <c r="D385" t="s">
        <v>347</v>
      </c>
      <c r="E385" s="13" t="s">
        <v>47</v>
      </c>
      <c r="F385" s="4" t="s">
        <v>348</v>
      </c>
      <c r="G385" s="13" t="s">
        <v>257</v>
      </c>
      <c r="H385" t="s">
        <v>259</v>
      </c>
      <c r="I385" t="s">
        <v>396</v>
      </c>
      <c r="J385" t="s">
        <v>363</v>
      </c>
      <c r="K385" t="str">
        <f>Tabla14[[#This Row],[id]]&amp;Tabla14[[#This Row],[Resposable]]</f>
        <v>69Carlos de Leon</v>
      </c>
      <c r="L385" t="str">
        <f>Tabla14[[#This Row],[id]]&amp;Tabla14[[#This Row],[Resposable]]</f>
        <v>69Carlos de Leon</v>
      </c>
      <c r="M385" t="s">
        <v>259</v>
      </c>
    </row>
    <row r="386" spans="1:13" x14ac:dyDescent="0.25">
      <c r="A386" t="s">
        <v>358</v>
      </c>
      <c r="B386">
        <v>69</v>
      </c>
      <c r="C386" t="s">
        <v>335</v>
      </c>
      <c r="D386" t="s">
        <v>346</v>
      </c>
      <c r="E386" s="13" t="s">
        <v>47</v>
      </c>
      <c r="F386" s="4" t="s">
        <v>48</v>
      </c>
      <c r="G386" s="13" t="s">
        <v>257</v>
      </c>
      <c r="H386" t="s">
        <v>259</v>
      </c>
      <c r="I386" t="s">
        <v>396</v>
      </c>
      <c r="J386" t="s">
        <v>363</v>
      </c>
      <c r="K386" t="str">
        <f>Tabla14[[#This Row],[id]]&amp;Tabla14[[#This Row],[Resposable]]</f>
        <v>69Carlos de Leon</v>
      </c>
      <c r="L386" t="str">
        <f>Tabla14[[#This Row],[id]]&amp;Tabla14[[#This Row],[Resposable]]</f>
        <v>69Carlos de Leon</v>
      </c>
      <c r="M386" t="s">
        <v>259</v>
      </c>
    </row>
    <row r="387" spans="1:13" x14ac:dyDescent="0.25">
      <c r="A387" t="s">
        <v>358</v>
      </c>
      <c r="B387">
        <v>69</v>
      </c>
      <c r="C387" t="s">
        <v>335</v>
      </c>
      <c r="D387" t="s">
        <v>344</v>
      </c>
      <c r="E387" s="13" t="s">
        <v>47</v>
      </c>
      <c r="F387" s="4" t="s">
        <v>345</v>
      </c>
      <c r="G387" s="13" t="s">
        <v>257</v>
      </c>
      <c r="H387" t="s">
        <v>259</v>
      </c>
      <c r="I387" t="s">
        <v>396</v>
      </c>
      <c r="J387" t="s">
        <v>363</v>
      </c>
      <c r="K387" t="str">
        <f>Tabla14[[#This Row],[id]]&amp;Tabla14[[#This Row],[Resposable]]</f>
        <v>69Carlos de Leon</v>
      </c>
      <c r="L387" t="str">
        <f>Tabla14[[#This Row],[id]]&amp;Tabla14[[#This Row],[Resposable]]</f>
        <v>69Carlos de Leon</v>
      </c>
      <c r="M387" t="s">
        <v>259</v>
      </c>
    </row>
    <row r="388" spans="1:13" x14ac:dyDescent="0.25">
      <c r="A388" t="s">
        <v>358</v>
      </c>
      <c r="B388">
        <v>69</v>
      </c>
      <c r="C388" t="s">
        <v>335</v>
      </c>
      <c r="D388" t="s">
        <v>343</v>
      </c>
      <c r="E388" s="13" t="s">
        <v>47</v>
      </c>
      <c r="F388" s="4" t="s">
        <v>48</v>
      </c>
      <c r="G388" s="13" t="s">
        <v>257</v>
      </c>
      <c r="H388" t="s">
        <v>259</v>
      </c>
      <c r="I388" t="s">
        <v>396</v>
      </c>
      <c r="J388" t="s">
        <v>363</v>
      </c>
      <c r="K388" t="str">
        <f>Tabla14[[#This Row],[id]]&amp;Tabla14[[#This Row],[Resposable]]</f>
        <v>69Carlos de Leon</v>
      </c>
      <c r="L388" t="str">
        <f>Tabla14[[#This Row],[id]]&amp;Tabla14[[#This Row],[Resposable]]</f>
        <v>69Carlos de Leon</v>
      </c>
      <c r="M388" t="s">
        <v>259</v>
      </c>
    </row>
    <row r="389" spans="1:13" x14ac:dyDescent="0.25">
      <c r="A389" t="s">
        <v>358</v>
      </c>
      <c r="B389">
        <v>69</v>
      </c>
      <c r="C389" t="s">
        <v>335</v>
      </c>
      <c r="D389" t="s">
        <v>342</v>
      </c>
      <c r="E389" s="13" t="s">
        <v>47</v>
      </c>
      <c r="F389" s="4" t="s">
        <v>48</v>
      </c>
      <c r="G389" s="13" t="s">
        <v>257</v>
      </c>
      <c r="H389" t="s">
        <v>259</v>
      </c>
      <c r="I389" t="s">
        <v>396</v>
      </c>
      <c r="J389" t="s">
        <v>363</v>
      </c>
      <c r="K389" t="str">
        <f>Tabla14[[#This Row],[id]]&amp;Tabla14[[#This Row],[Resposable]]</f>
        <v>69Carlos de Leon</v>
      </c>
      <c r="L389" t="str">
        <f>Tabla14[[#This Row],[id]]&amp;Tabla14[[#This Row],[Resposable]]</f>
        <v>69Carlos de Leon</v>
      </c>
      <c r="M389" t="s">
        <v>259</v>
      </c>
    </row>
    <row r="390" spans="1:13" x14ac:dyDescent="0.25">
      <c r="A390" t="s">
        <v>358</v>
      </c>
      <c r="B390">
        <v>69</v>
      </c>
      <c r="C390" t="s">
        <v>334</v>
      </c>
      <c r="D390" t="s">
        <v>340</v>
      </c>
      <c r="E390" s="13" t="s">
        <v>47</v>
      </c>
      <c r="F390" s="4" t="s">
        <v>341</v>
      </c>
      <c r="G390" s="13" t="s">
        <v>257</v>
      </c>
      <c r="H390" t="s">
        <v>259</v>
      </c>
      <c r="I390" t="s">
        <v>396</v>
      </c>
      <c r="J390" t="s">
        <v>363</v>
      </c>
      <c r="K390" t="str">
        <f>Tabla14[[#This Row],[id]]&amp;Tabla14[[#This Row],[Resposable]]</f>
        <v>69Carlos de Leon</v>
      </c>
      <c r="L390" t="str">
        <f>Tabla14[[#This Row],[id]]&amp;Tabla14[[#This Row],[Resposable]]</f>
        <v>69Carlos de Leon</v>
      </c>
      <c r="M390" t="s">
        <v>259</v>
      </c>
    </row>
    <row r="391" spans="1:13" x14ac:dyDescent="0.25">
      <c r="A391" t="s">
        <v>358</v>
      </c>
      <c r="B391">
        <v>69</v>
      </c>
      <c r="C391" t="s">
        <v>335</v>
      </c>
      <c r="D391" t="s">
        <v>339</v>
      </c>
      <c r="E391" s="13" t="s">
        <v>47</v>
      </c>
      <c r="F391" s="4" t="s">
        <v>48</v>
      </c>
      <c r="G391" s="13" t="s">
        <v>257</v>
      </c>
      <c r="H391" t="s">
        <v>259</v>
      </c>
      <c r="I391" t="s">
        <v>396</v>
      </c>
      <c r="J391" t="s">
        <v>363</v>
      </c>
      <c r="K391" t="str">
        <f>Tabla14[[#This Row],[id]]&amp;Tabla14[[#This Row],[Resposable]]</f>
        <v>69Carlos de Leon</v>
      </c>
      <c r="L391" t="str">
        <f>Tabla14[[#This Row],[id]]&amp;Tabla14[[#This Row],[Resposable]]</f>
        <v>69Carlos de Leon</v>
      </c>
      <c r="M391" t="s">
        <v>259</v>
      </c>
    </row>
    <row r="392" spans="1:13" x14ac:dyDescent="0.25">
      <c r="A392" t="s">
        <v>358</v>
      </c>
      <c r="B392">
        <v>69</v>
      </c>
      <c r="C392" t="s">
        <v>335</v>
      </c>
      <c r="D392" t="s">
        <v>338</v>
      </c>
      <c r="E392" s="13" t="s">
        <v>47</v>
      </c>
      <c r="F392" s="4" t="s">
        <v>71</v>
      </c>
      <c r="G392" s="13" t="s">
        <v>257</v>
      </c>
      <c r="H392" t="s">
        <v>259</v>
      </c>
      <c r="I392" t="s">
        <v>396</v>
      </c>
      <c r="J392" t="s">
        <v>363</v>
      </c>
      <c r="K392" t="str">
        <f>Tabla14[[#This Row],[id]]&amp;Tabla14[[#This Row],[Resposable]]</f>
        <v>69Carlos de Leon</v>
      </c>
      <c r="L392" t="str">
        <f>Tabla14[[#This Row],[id]]&amp;Tabla14[[#This Row],[Resposable]]</f>
        <v>69Carlos de Leon</v>
      </c>
      <c r="M392" t="s">
        <v>259</v>
      </c>
    </row>
    <row r="393" spans="1:13" x14ac:dyDescent="0.25">
      <c r="A393" t="s">
        <v>358</v>
      </c>
      <c r="B393">
        <v>69</v>
      </c>
      <c r="C393" t="s">
        <v>335</v>
      </c>
      <c r="D393" t="s">
        <v>356</v>
      </c>
      <c r="E393" s="13" t="s">
        <v>47</v>
      </c>
      <c r="F393" s="4" t="s">
        <v>71</v>
      </c>
      <c r="G393" s="13" t="s">
        <v>257</v>
      </c>
      <c r="H393" t="s">
        <v>259</v>
      </c>
      <c r="I393" t="s">
        <v>396</v>
      </c>
      <c r="J393" t="s">
        <v>363</v>
      </c>
      <c r="K393" t="str">
        <f>Tabla14[[#This Row],[id]]&amp;Tabla14[[#This Row],[Resposable]]</f>
        <v>69Carlos de Leon</v>
      </c>
      <c r="L393" t="str">
        <f>Tabla14[[#This Row],[id]]&amp;Tabla14[[#This Row],[Resposable]]</f>
        <v>69Carlos de Leon</v>
      </c>
      <c r="M393" t="s">
        <v>259</v>
      </c>
    </row>
    <row r="394" spans="1:13" x14ac:dyDescent="0.25">
      <c r="A394" t="s">
        <v>358</v>
      </c>
      <c r="B394">
        <v>69</v>
      </c>
      <c r="C394" t="s">
        <v>335</v>
      </c>
      <c r="D394" t="s">
        <v>355</v>
      </c>
      <c r="E394" s="13" t="s">
        <v>47</v>
      </c>
      <c r="F394" s="4" t="s">
        <v>48</v>
      </c>
      <c r="G394" s="13" t="s">
        <v>257</v>
      </c>
      <c r="H394" t="s">
        <v>259</v>
      </c>
      <c r="I394" t="s">
        <v>396</v>
      </c>
      <c r="J394" t="s">
        <v>363</v>
      </c>
      <c r="K394" t="str">
        <f>Tabla14[[#This Row],[id]]&amp;Tabla14[[#This Row],[Resposable]]</f>
        <v>69Carlos de Leon</v>
      </c>
      <c r="L394" t="str">
        <f>Tabla14[[#This Row],[id]]&amp;Tabla14[[#This Row],[Resposable]]</f>
        <v>69Carlos de Leon</v>
      </c>
      <c r="M394" t="s">
        <v>259</v>
      </c>
    </row>
    <row r="395" spans="1:13" x14ac:dyDescent="0.25">
      <c r="A395" t="s">
        <v>358</v>
      </c>
      <c r="B395">
        <v>69</v>
      </c>
      <c r="C395" t="s">
        <v>335</v>
      </c>
      <c r="D395" t="s">
        <v>354</v>
      </c>
      <c r="E395" s="13" t="s">
        <v>47</v>
      </c>
      <c r="F395" s="4" t="s">
        <v>48</v>
      </c>
      <c r="G395" s="13" t="s">
        <v>257</v>
      </c>
      <c r="H395" t="s">
        <v>259</v>
      </c>
      <c r="I395" t="s">
        <v>396</v>
      </c>
      <c r="J395" t="s">
        <v>363</v>
      </c>
      <c r="K395" t="str">
        <f>Tabla14[[#This Row],[id]]&amp;Tabla14[[#This Row],[Resposable]]</f>
        <v>69Carlos de Leon</v>
      </c>
      <c r="L395" t="str">
        <f>Tabla14[[#This Row],[id]]&amp;Tabla14[[#This Row],[Resposable]]</f>
        <v>69Carlos de Leon</v>
      </c>
      <c r="M395" t="s">
        <v>259</v>
      </c>
    </row>
    <row r="396" spans="1:13" x14ac:dyDescent="0.25">
      <c r="A396" t="s">
        <v>358</v>
      </c>
      <c r="B396">
        <v>69</v>
      </c>
      <c r="C396" t="s">
        <v>334</v>
      </c>
      <c r="D396" t="s">
        <v>353</v>
      </c>
      <c r="E396" s="13" t="s">
        <v>47</v>
      </c>
      <c r="F396" s="4" t="s">
        <v>58</v>
      </c>
      <c r="G396" s="13" t="s">
        <v>257</v>
      </c>
      <c r="H396" t="s">
        <v>259</v>
      </c>
      <c r="I396" t="s">
        <v>396</v>
      </c>
      <c r="J396" t="s">
        <v>363</v>
      </c>
      <c r="K396" t="str">
        <f>Tabla14[[#This Row],[id]]&amp;Tabla14[[#This Row],[Resposable]]</f>
        <v>69Carlos de Leon</v>
      </c>
      <c r="L396" t="str">
        <f>Tabla14[[#This Row],[id]]&amp;Tabla14[[#This Row],[Resposable]]</f>
        <v>69Carlos de Leon</v>
      </c>
      <c r="M396" t="s">
        <v>259</v>
      </c>
    </row>
    <row r="397" spans="1:13" x14ac:dyDescent="0.25">
      <c r="A397" t="s">
        <v>358</v>
      </c>
      <c r="B397">
        <v>69</v>
      </c>
      <c r="C397" t="s">
        <v>335</v>
      </c>
      <c r="D397" t="s">
        <v>352</v>
      </c>
      <c r="E397" s="13" t="s">
        <v>47</v>
      </c>
      <c r="F397" s="4" t="s">
        <v>345</v>
      </c>
      <c r="G397" s="13" t="s">
        <v>257</v>
      </c>
      <c r="H397" t="s">
        <v>259</v>
      </c>
      <c r="I397" t="s">
        <v>396</v>
      </c>
      <c r="J397" t="s">
        <v>363</v>
      </c>
      <c r="K397" t="str">
        <f>Tabla14[[#This Row],[id]]&amp;Tabla14[[#This Row],[Resposable]]</f>
        <v>69Carlos de Leon</v>
      </c>
      <c r="L397" t="str">
        <f>Tabla14[[#This Row],[id]]&amp;Tabla14[[#This Row],[Resposable]]</f>
        <v>69Carlos de Leon</v>
      </c>
      <c r="M397" t="s">
        <v>259</v>
      </c>
    </row>
    <row r="398" spans="1:13" x14ac:dyDescent="0.25">
      <c r="A398" t="s">
        <v>358</v>
      </c>
      <c r="B398">
        <v>69</v>
      </c>
      <c r="C398" t="s">
        <v>335</v>
      </c>
      <c r="D398" t="s">
        <v>351</v>
      </c>
      <c r="E398" s="13" t="s">
        <v>47</v>
      </c>
      <c r="F398" s="4" t="s">
        <v>48</v>
      </c>
      <c r="G398" s="13" t="s">
        <v>257</v>
      </c>
      <c r="H398" t="s">
        <v>259</v>
      </c>
      <c r="I398" t="s">
        <v>396</v>
      </c>
      <c r="J398" t="s">
        <v>363</v>
      </c>
      <c r="K398" t="str">
        <f>Tabla14[[#This Row],[id]]&amp;Tabla14[[#This Row],[Resposable]]</f>
        <v>69Carlos de Leon</v>
      </c>
      <c r="L398" t="str">
        <f>Tabla14[[#This Row],[id]]&amp;Tabla14[[#This Row],[Resposable]]</f>
        <v>69Carlos de Leon</v>
      </c>
      <c r="M398" t="s">
        <v>259</v>
      </c>
    </row>
    <row r="399" spans="1:13" x14ac:dyDescent="0.25">
      <c r="A399" t="s">
        <v>245</v>
      </c>
      <c r="B399">
        <v>2</v>
      </c>
      <c r="C399" t="s">
        <v>7</v>
      </c>
      <c r="D399" t="s">
        <v>51</v>
      </c>
      <c r="E399" t="s">
        <v>47</v>
      </c>
      <c r="F399" s="4" t="s">
        <v>50</v>
      </c>
      <c r="G399" t="s">
        <v>239</v>
      </c>
      <c r="H399" t="s">
        <v>241</v>
      </c>
      <c r="I399" t="s">
        <v>382</v>
      </c>
      <c r="J399" t="s">
        <v>364</v>
      </c>
      <c r="K399" t="str">
        <f>Tabla14[[#This Row],[id]]&amp;Tabla14[[#This Row],[Resposable]]</f>
        <v>2Cesar Roque</v>
      </c>
      <c r="L399" t="str">
        <f>Tabla14[[#This Row],[id]]&amp;Tabla14[[#This Row],[Resposable]]</f>
        <v>2Cesar Roque</v>
      </c>
      <c r="M399" t="s">
        <v>241</v>
      </c>
    </row>
    <row r="400" spans="1:13" x14ac:dyDescent="0.25">
      <c r="A400" t="s">
        <v>245</v>
      </c>
      <c r="B400">
        <v>2</v>
      </c>
      <c r="C400" t="s">
        <v>8</v>
      </c>
      <c r="D400" t="s">
        <v>55</v>
      </c>
      <c r="E400" t="s">
        <v>47</v>
      </c>
      <c r="F400" s="4" t="s">
        <v>50</v>
      </c>
      <c r="G400" t="s">
        <v>239</v>
      </c>
      <c r="H400" t="s">
        <v>241</v>
      </c>
      <c r="I400" t="s">
        <v>382</v>
      </c>
      <c r="J400" t="s">
        <v>363</v>
      </c>
      <c r="K400" t="str">
        <f>Tabla14[[#This Row],[id]]&amp;Tabla14[[#This Row],[Resposable]]</f>
        <v>2Cesar Roque</v>
      </c>
      <c r="L400" t="str">
        <f>Tabla14[[#This Row],[id]]&amp;Tabla14[[#This Row],[Resposable]]</f>
        <v>2Cesar Roque</v>
      </c>
      <c r="M400" t="s">
        <v>241</v>
      </c>
    </row>
    <row r="401" spans="1:13" x14ac:dyDescent="0.25">
      <c r="A401" t="s">
        <v>245</v>
      </c>
      <c r="B401">
        <v>2</v>
      </c>
      <c r="C401" t="s">
        <v>8</v>
      </c>
      <c r="D401" t="s">
        <v>57</v>
      </c>
      <c r="E401" t="s">
        <v>54</v>
      </c>
      <c r="F401" s="4" t="s">
        <v>50</v>
      </c>
      <c r="G401" t="s">
        <v>239</v>
      </c>
      <c r="H401" t="s">
        <v>241</v>
      </c>
      <c r="I401" t="s">
        <v>382</v>
      </c>
      <c r="J401" t="s">
        <v>363</v>
      </c>
      <c r="K401" t="str">
        <f>Tabla14[[#This Row],[id]]&amp;Tabla14[[#This Row],[Resposable]]</f>
        <v>2Cesar Roque</v>
      </c>
      <c r="L401" t="str">
        <f>Tabla14[[#This Row],[id]]&amp;Tabla14[[#This Row],[Resposable]]</f>
        <v>2Cesar Roque</v>
      </c>
      <c r="M401" t="s">
        <v>241</v>
      </c>
    </row>
    <row r="402" spans="1:13" x14ac:dyDescent="0.25">
      <c r="A402" t="s">
        <v>246</v>
      </c>
      <c r="B402">
        <v>7</v>
      </c>
      <c r="C402" t="s">
        <v>9</v>
      </c>
      <c r="D402" t="s">
        <v>61</v>
      </c>
      <c r="E402" t="s">
        <v>47</v>
      </c>
      <c r="F402" s="4" t="s">
        <v>58</v>
      </c>
      <c r="G402" t="s">
        <v>239</v>
      </c>
      <c r="H402" t="s">
        <v>241</v>
      </c>
      <c r="I402" t="s">
        <v>382</v>
      </c>
      <c r="J402" t="s">
        <v>364</v>
      </c>
      <c r="K402" t="str">
        <f>Tabla14[[#This Row],[id]]&amp;Tabla14[[#This Row],[Resposable]]</f>
        <v>7Cesar Roque</v>
      </c>
      <c r="L402" t="str">
        <f>Tabla14[[#This Row],[id]]&amp;Tabla14[[#This Row],[Resposable]]</f>
        <v>7Cesar Roque</v>
      </c>
      <c r="M402" t="s">
        <v>241</v>
      </c>
    </row>
    <row r="403" spans="1:13" x14ac:dyDescent="0.25">
      <c r="A403" t="s">
        <v>246</v>
      </c>
      <c r="B403">
        <v>7</v>
      </c>
      <c r="C403" t="s">
        <v>7</v>
      </c>
      <c r="D403" t="s">
        <v>62</v>
      </c>
      <c r="E403" t="s">
        <v>47</v>
      </c>
      <c r="F403" s="4" t="s">
        <v>48</v>
      </c>
      <c r="G403" t="s">
        <v>239</v>
      </c>
      <c r="H403" t="s">
        <v>241</v>
      </c>
      <c r="I403" t="s">
        <v>382</v>
      </c>
      <c r="J403" t="s">
        <v>363</v>
      </c>
      <c r="K403" t="str">
        <f>Tabla14[[#This Row],[id]]&amp;Tabla14[[#This Row],[Resposable]]</f>
        <v>7Cesar Roque</v>
      </c>
      <c r="L403" t="str">
        <f>Tabla14[[#This Row],[id]]&amp;Tabla14[[#This Row],[Resposable]]</f>
        <v>7Cesar Roque</v>
      </c>
      <c r="M403" t="s">
        <v>241</v>
      </c>
    </row>
    <row r="404" spans="1:13" x14ac:dyDescent="0.25">
      <c r="A404" t="s">
        <v>246</v>
      </c>
      <c r="B404">
        <v>7</v>
      </c>
      <c r="C404" t="s">
        <v>9</v>
      </c>
      <c r="D404" t="s">
        <v>63</v>
      </c>
      <c r="E404" t="s">
        <v>47</v>
      </c>
      <c r="F404" s="4" t="s">
        <v>58</v>
      </c>
      <c r="G404" t="s">
        <v>239</v>
      </c>
      <c r="H404" t="s">
        <v>241</v>
      </c>
      <c r="I404" t="s">
        <v>382</v>
      </c>
      <c r="J404" t="s">
        <v>364</v>
      </c>
      <c r="K404" t="str">
        <f>Tabla14[[#This Row],[id]]&amp;Tabla14[[#This Row],[Resposable]]</f>
        <v>7Cesar Roque</v>
      </c>
      <c r="L404" t="str">
        <f>Tabla14[[#This Row],[id]]&amp;Tabla14[[#This Row],[Resposable]]</f>
        <v>7Cesar Roque</v>
      </c>
      <c r="M404" t="s">
        <v>241</v>
      </c>
    </row>
    <row r="405" spans="1:13" x14ac:dyDescent="0.25">
      <c r="A405" t="s">
        <v>246</v>
      </c>
      <c r="B405">
        <v>7</v>
      </c>
      <c r="C405" t="s">
        <v>8</v>
      </c>
      <c r="D405" t="s">
        <v>57</v>
      </c>
      <c r="E405" t="s">
        <v>54</v>
      </c>
      <c r="F405" s="4" t="s">
        <v>48</v>
      </c>
      <c r="G405" t="s">
        <v>239</v>
      </c>
      <c r="H405" t="s">
        <v>241</v>
      </c>
      <c r="I405" t="s">
        <v>382</v>
      </c>
      <c r="J405" t="s">
        <v>363</v>
      </c>
      <c r="K405" t="str">
        <f>Tabla14[[#This Row],[id]]&amp;Tabla14[[#This Row],[Resposable]]</f>
        <v>7Cesar Roque</v>
      </c>
      <c r="L405" t="str">
        <f>Tabla14[[#This Row],[id]]&amp;Tabla14[[#This Row],[Resposable]]</f>
        <v>7Cesar Roque</v>
      </c>
      <c r="M405" t="s">
        <v>241</v>
      </c>
    </row>
    <row r="406" spans="1:13" x14ac:dyDescent="0.25">
      <c r="A406" t="s">
        <v>17</v>
      </c>
      <c r="B406">
        <v>50</v>
      </c>
      <c r="C406" t="s">
        <v>7</v>
      </c>
      <c r="D406" t="s">
        <v>92</v>
      </c>
      <c r="E406" t="s">
        <v>47</v>
      </c>
      <c r="F406" s="4" t="s">
        <v>48</v>
      </c>
      <c r="G406" t="s">
        <v>239</v>
      </c>
      <c r="H406" t="s">
        <v>241</v>
      </c>
      <c r="I406" t="s">
        <v>382</v>
      </c>
      <c r="J406" t="s">
        <v>363</v>
      </c>
      <c r="K406" t="str">
        <f>Tabla14[[#This Row],[id]]&amp;Tabla14[[#This Row],[Resposable]]</f>
        <v>50Cesar Roque</v>
      </c>
      <c r="L406" t="str">
        <f>Tabla14[[#This Row],[id]]&amp;Tabla14[[#This Row],[Resposable]]</f>
        <v>50Cesar Roque</v>
      </c>
      <c r="M406" t="s">
        <v>241</v>
      </c>
    </row>
    <row r="407" spans="1:13" x14ac:dyDescent="0.25">
      <c r="A407" t="s">
        <v>17</v>
      </c>
      <c r="B407">
        <v>50</v>
      </c>
      <c r="C407" t="s">
        <v>7</v>
      </c>
      <c r="D407" t="s">
        <v>93</v>
      </c>
      <c r="E407" t="s">
        <v>47</v>
      </c>
      <c r="F407" s="4" t="s">
        <v>48</v>
      </c>
      <c r="G407" t="s">
        <v>239</v>
      </c>
      <c r="H407" t="s">
        <v>241</v>
      </c>
      <c r="I407" t="s">
        <v>382</v>
      </c>
      <c r="J407" t="s">
        <v>363</v>
      </c>
      <c r="K407" t="str">
        <f>Tabla14[[#This Row],[id]]&amp;Tabla14[[#This Row],[Resposable]]</f>
        <v>50Cesar Roque</v>
      </c>
      <c r="L407" t="str">
        <f>Tabla14[[#This Row],[id]]&amp;Tabla14[[#This Row],[Resposable]]</f>
        <v>50Cesar Roque</v>
      </c>
      <c r="M407" t="s">
        <v>241</v>
      </c>
    </row>
    <row r="408" spans="1:13" x14ac:dyDescent="0.25">
      <c r="A408" t="s">
        <v>17</v>
      </c>
      <c r="B408">
        <v>50</v>
      </c>
      <c r="C408" t="s">
        <v>7</v>
      </c>
      <c r="D408" t="s">
        <v>94</v>
      </c>
      <c r="E408" t="s">
        <v>47</v>
      </c>
      <c r="F408" s="4" t="s">
        <v>48</v>
      </c>
      <c r="G408" t="s">
        <v>239</v>
      </c>
      <c r="H408" t="s">
        <v>241</v>
      </c>
      <c r="I408" t="s">
        <v>382</v>
      </c>
      <c r="J408" t="s">
        <v>363</v>
      </c>
      <c r="K408" t="str">
        <f>Tabla14[[#This Row],[id]]&amp;Tabla14[[#This Row],[Resposable]]</f>
        <v>50Cesar Roque</v>
      </c>
      <c r="L408" t="str">
        <f>Tabla14[[#This Row],[id]]&amp;Tabla14[[#This Row],[Resposable]]</f>
        <v>50Cesar Roque</v>
      </c>
      <c r="M408" t="s">
        <v>241</v>
      </c>
    </row>
    <row r="409" spans="1:13" x14ac:dyDescent="0.25">
      <c r="A409" t="s">
        <v>17</v>
      </c>
      <c r="B409">
        <v>50</v>
      </c>
      <c r="C409" t="s">
        <v>7</v>
      </c>
      <c r="D409" t="s">
        <v>95</v>
      </c>
      <c r="E409" t="s">
        <v>47</v>
      </c>
      <c r="F409" s="4" t="s">
        <v>96</v>
      </c>
      <c r="G409" t="s">
        <v>239</v>
      </c>
      <c r="H409" t="s">
        <v>241</v>
      </c>
      <c r="I409" t="s">
        <v>382</v>
      </c>
      <c r="J409" t="s">
        <v>363</v>
      </c>
      <c r="K409" t="str">
        <f>Tabla14[[#This Row],[id]]&amp;Tabla14[[#This Row],[Resposable]]</f>
        <v>50Cesar Roque</v>
      </c>
      <c r="L409" t="str">
        <f>Tabla14[[#This Row],[id]]&amp;Tabla14[[#This Row],[Resposable]]</f>
        <v>50Cesar Roque</v>
      </c>
      <c r="M409" t="s">
        <v>241</v>
      </c>
    </row>
    <row r="410" spans="1:13" x14ac:dyDescent="0.25">
      <c r="A410" t="s">
        <v>17</v>
      </c>
      <c r="B410">
        <v>50</v>
      </c>
      <c r="C410" t="s">
        <v>18</v>
      </c>
      <c r="D410" t="s">
        <v>97</v>
      </c>
      <c r="E410" t="s">
        <v>47</v>
      </c>
      <c r="F410" s="4" t="s">
        <v>48</v>
      </c>
      <c r="G410" t="s">
        <v>239</v>
      </c>
      <c r="H410" t="s">
        <v>241</v>
      </c>
      <c r="I410" t="s">
        <v>382</v>
      </c>
      <c r="J410" t="s">
        <v>363</v>
      </c>
      <c r="K410" t="str">
        <f>Tabla14[[#This Row],[id]]&amp;Tabla14[[#This Row],[Resposable]]</f>
        <v>50Cesar Roque</v>
      </c>
      <c r="L410" t="str">
        <f>Tabla14[[#This Row],[id]]&amp;Tabla14[[#This Row],[Resposable]]</f>
        <v>50Cesar Roque</v>
      </c>
      <c r="M410" t="s">
        <v>241</v>
      </c>
    </row>
    <row r="411" spans="1:13" x14ac:dyDescent="0.25">
      <c r="A411" t="s">
        <v>17</v>
      </c>
      <c r="B411">
        <v>50</v>
      </c>
      <c r="C411" t="s">
        <v>8</v>
      </c>
      <c r="D411" t="s">
        <v>57</v>
      </c>
      <c r="E411" t="s">
        <v>54</v>
      </c>
      <c r="F411" s="4" t="s">
        <v>77</v>
      </c>
      <c r="G411" t="s">
        <v>239</v>
      </c>
      <c r="H411" t="s">
        <v>241</v>
      </c>
      <c r="I411" t="s">
        <v>382</v>
      </c>
      <c r="J411" t="s">
        <v>363</v>
      </c>
      <c r="K411" t="str">
        <f>Tabla14[[#This Row],[id]]&amp;Tabla14[[#This Row],[Resposable]]</f>
        <v>50Cesar Roque</v>
      </c>
      <c r="L411" t="str">
        <f>Tabla14[[#This Row],[id]]&amp;Tabla14[[#This Row],[Resposable]]</f>
        <v>50Cesar Roque</v>
      </c>
      <c r="M411" t="s">
        <v>241</v>
      </c>
    </row>
    <row r="412" spans="1:13" x14ac:dyDescent="0.25">
      <c r="A412" t="s">
        <v>306</v>
      </c>
      <c r="B412">
        <v>63</v>
      </c>
      <c r="C412" t="s">
        <v>7</v>
      </c>
      <c r="D412" t="s">
        <v>99</v>
      </c>
      <c r="E412" t="s">
        <v>47</v>
      </c>
      <c r="F412" s="4" t="s">
        <v>48</v>
      </c>
      <c r="G412" t="s">
        <v>239</v>
      </c>
      <c r="H412" t="s">
        <v>241</v>
      </c>
      <c r="I412" t="s">
        <v>382</v>
      </c>
      <c r="J412" t="s">
        <v>363</v>
      </c>
      <c r="K412" t="str">
        <f>Tabla14[[#This Row],[id]]&amp;Tabla14[[#This Row],[Resposable]]</f>
        <v>63Cesar Roque</v>
      </c>
      <c r="L412" t="str">
        <f>Tabla14[[#This Row],[id]]&amp;Tabla14[[#This Row],[Resposable]]</f>
        <v>63Cesar Roque</v>
      </c>
      <c r="M412" t="s">
        <v>241</v>
      </c>
    </row>
    <row r="413" spans="1:13" x14ac:dyDescent="0.25">
      <c r="A413" t="s">
        <v>306</v>
      </c>
      <c r="B413">
        <v>63</v>
      </c>
      <c r="C413" t="s">
        <v>8</v>
      </c>
      <c r="D413" t="s">
        <v>100</v>
      </c>
      <c r="E413" t="s">
        <v>47</v>
      </c>
      <c r="F413" s="4" t="s">
        <v>82</v>
      </c>
      <c r="G413" t="s">
        <v>239</v>
      </c>
      <c r="H413" t="s">
        <v>241</v>
      </c>
      <c r="I413" t="s">
        <v>382</v>
      </c>
      <c r="J413" t="s">
        <v>363</v>
      </c>
      <c r="K413" t="str">
        <f>Tabla14[[#This Row],[id]]&amp;Tabla14[[#This Row],[Resposable]]</f>
        <v>63Cesar Roque</v>
      </c>
      <c r="L413" t="str">
        <f>Tabla14[[#This Row],[id]]&amp;Tabla14[[#This Row],[Resposable]]</f>
        <v>63Cesar Roque</v>
      </c>
      <c r="M413" t="s">
        <v>241</v>
      </c>
    </row>
    <row r="414" spans="1:13" x14ac:dyDescent="0.25">
      <c r="A414" t="s">
        <v>306</v>
      </c>
      <c r="B414">
        <v>63</v>
      </c>
      <c r="C414" t="s">
        <v>5</v>
      </c>
      <c r="D414" t="s">
        <v>102</v>
      </c>
      <c r="E414" t="s">
        <v>47</v>
      </c>
      <c r="F414" s="4" t="s">
        <v>65</v>
      </c>
      <c r="G414" t="s">
        <v>239</v>
      </c>
      <c r="H414" t="s">
        <v>241</v>
      </c>
      <c r="I414" t="s">
        <v>382</v>
      </c>
      <c r="J414" t="s">
        <v>363</v>
      </c>
      <c r="K414" t="str">
        <f>Tabla14[[#This Row],[id]]&amp;Tabla14[[#This Row],[Resposable]]</f>
        <v>63Cesar Roque</v>
      </c>
      <c r="L414" t="str">
        <f>Tabla14[[#This Row],[id]]&amp;Tabla14[[#This Row],[Resposable]]</f>
        <v>63Cesar Roque</v>
      </c>
      <c r="M414" t="s">
        <v>241</v>
      </c>
    </row>
    <row r="415" spans="1:13" x14ac:dyDescent="0.25">
      <c r="A415" t="s">
        <v>306</v>
      </c>
      <c r="B415">
        <v>63</v>
      </c>
      <c r="C415" t="s">
        <v>8</v>
      </c>
      <c r="D415" t="s">
        <v>80</v>
      </c>
      <c r="E415" t="s">
        <v>47</v>
      </c>
      <c r="F415" s="4" t="s">
        <v>82</v>
      </c>
      <c r="G415" t="s">
        <v>239</v>
      </c>
      <c r="H415" t="s">
        <v>241</v>
      </c>
      <c r="I415" t="s">
        <v>382</v>
      </c>
      <c r="J415" t="s">
        <v>363</v>
      </c>
      <c r="K415" t="str">
        <f>Tabla14[[#This Row],[id]]&amp;Tabla14[[#This Row],[Resposable]]</f>
        <v>63Cesar Roque</v>
      </c>
      <c r="L415" t="str">
        <f>Tabla14[[#This Row],[id]]&amp;Tabla14[[#This Row],[Resposable]]</f>
        <v>63Cesar Roque</v>
      </c>
      <c r="M415" t="s">
        <v>241</v>
      </c>
    </row>
    <row r="416" spans="1:13" x14ac:dyDescent="0.25">
      <c r="A416" t="s">
        <v>306</v>
      </c>
      <c r="B416">
        <v>63</v>
      </c>
      <c r="C416" t="s">
        <v>20</v>
      </c>
      <c r="D416" t="s">
        <v>103</v>
      </c>
      <c r="E416" t="s">
        <v>47</v>
      </c>
      <c r="F416" s="4" t="s">
        <v>48</v>
      </c>
      <c r="G416" t="s">
        <v>239</v>
      </c>
      <c r="H416" t="s">
        <v>241</v>
      </c>
      <c r="I416" t="s">
        <v>382</v>
      </c>
      <c r="J416" t="s">
        <v>363</v>
      </c>
      <c r="K416" t="str">
        <f>Tabla14[[#This Row],[id]]&amp;Tabla14[[#This Row],[Resposable]]</f>
        <v>63Cesar Roque</v>
      </c>
      <c r="L416" t="str">
        <f>Tabla14[[#This Row],[id]]&amp;Tabla14[[#This Row],[Resposable]]</f>
        <v>63Cesar Roque</v>
      </c>
      <c r="M416" t="s">
        <v>241</v>
      </c>
    </row>
    <row r="417" spans="1:13" x14ac:dyDescent="0.25">
      <c r="A417" t="s">
        <v>306</v>
      </c>
      <c r="B417">
        <v>63</v>
      </c>
      <c r="C417" t="s">
        <v>8</v>
      </c>
      <c r="D417" t="s">
        <v>57</v>
      </c>
      <c r="E417" t="s">
        <v>47</v>
      </c>
      <c r="F417" s="4" t="s">
        <v>82</v>
      </c>
      <c r="G417" t="s">
        <v>239</v>
      </c>
      <c r="H417" t="s">
        <v>241</v>
      </c>
      <c r="I417" t="s">
        <v>382</v>
      </c>
      <c r="J417" t="s">
        <v>363</v>
      </c>
      <c r="K417" t="str">
        <f>Tabla14[[#This Row],[id]]&amp;Tabla14[[#This Row],[Resposable]]</f>
        <v>63Cesar Roque</v>
      </c>
      <c r="L417" t="str">
        <f>Tabla14[[#This Row],[id]]&amp;Tabla14[[#This Row],[Resposable]]</f>
        <v>63Cesar Roque</v>
      </c>
      <c r="M417" t="s">
        <v>241</v>
      </c>
    </row>
    <row r="418" spans="1:13" x14ac:dyDescent="0.25">
      <c r="A418" t="s">
        <v>306</v>
      </c>
      <c r="B418">
        <v>63</v>
      </c>
      <c r="C418" t="s">
        <v>7</v>
      </c>
      <c r="D418" t="s">
        <v>104</v>
      </c>
      <c r="E418" t="s">
        <v>47</v>
      </c>
      <c r="F418" s="4" t="s">
        <v>48</v>
      </c>
      <c r="G418" t="s">
        <v>239</v>
      </c>
      <c r="H418" t="s">
        <v>241</v>
      </c>
      <c r="I418" t="s">
        <v>382</v>
      </c>
      <c r="J418" t="s">
        <v>363</v>
      </c>
      <c r="K418" t="str">
        <f>Tabla14[[#This Row],[id]]&amp;Tabla14[[#This Row],[Resposable]]</f>
        <v>63Cesar Roque</v>
      </c>
      <c r="L418" t="str">
        <f>Tabla14[[#This Row],[id]]&amp;Tabla14[[#This Row],[Resposable]]</f>
        <v>63Cesar Roque</v>
      </c>
      <c r="M418" t="s">
        <v>241</v>
      </c>
    </row>
    <row r="419" spans="1:13" x14ac:dyDescent="0.25">
      <c r="A419" t="s">
        <v>307</v>
      </c>
      <c r="B419">
        <v>64</v>
      </c>
      <c r="C419" t="s">
        <v>7</v>
      </c>
      <c r="D419" t="s">
        <v>99</v>
      </c>
      <c r="E419" t="s">
        <v>47</v>
      </c>
      <c r="F419" s="4" t="s">
        <v>48</v>
      </c>
      <c r="G419" t="s">
        <v>239</v>
      </c>
      <c r="H419" t="s">
        <v>241</v>
      </c>
      <c r="I419" t="s">
        <v>382</v>
      </c>
      <c r="J419" t="s">
        <v>363</v>
      </c>
      <c r="K419" t="str">
        <f>Tabla14[[#This Row],[id]]&amp;Tabla14[[#This Row],[Resposable]]</f>
        <v>64Cesar Roque</v>
      </c>
      <c r="L419" t="str">
        <f>Tabla14[[#This Row],[id]]&amp;Tabla14[[#This Row],[Resposable]]</f>
        <v>64Cesar Roque</v>
      </c>
      <c r="M419" t="s">
        <v>241</v>
      </c>
    </row>
    <row r="420" spans="1:13" x14ac:dyDescent="0.25">
      <c r="A420" t="s">
        <v>307</v>
      </c>
      <c r="B420">
        <v>64</v>
      </c>
      <c r="C420" t="s">
        <v>8</v>
      </c>
      <c r="D420" t="s">
        <v>100</v>
      </c>
      <c r="E420" t="s">
        <v>47</v>
      </c>
      <c r="F420" s="4" t="s">
        <v>82</v>
      </c>
      <c r="G420" t="s">
        <v>239</v>
      </c>
      <c r="H420" t="s">
        <v>241</v>
      </c>
      <c r="I420" t="s">
        <v>382</v>
      </c>
      <c r="J420" t="s">
        <v>363</v>
      </c>
      <c r="K420" t="str">
        <f>Tabla14[[#This Row],[id]]&amp;Tabla14[[#This Row],[Resposable]]</f>
        <v>64Cesar Roque</v>
      </c>
      <c r="L420" t="str">
        <f>Tabla14[[#This Row],[id]]&amp;Tabla14[[#This Row],[Resposable]]</f>
        <v>64Cesar Roque</v>
      </c>
      <c r="M420" t="s">
        <v>241</v>
      </c>
    </row>
    <row r="421" spans="1:13" x14ac:dyDescent="0.25">
      <c r="A421" t="s">
        <v>307</v>
      </c>
      <c r="B421">
        <v>64</v>
      </c>
      <c r="C421" t="s">
        <v>5</v>
      </c>
      <c r="D421" t="s">
        <v>102</v>
      </c>
      <c r="E421" t="s">
        <v>47</v>
      </c>
      <c r="F421" s="4" t="s">
        <v>65</v>
      </c>
      <c r="G421" t="s">
        <v>239</v>
      </c>
      <c r="H421" t="s">
        <v>241</v>
      </c>
      <c r="I421" t="s">
        <v>382</v>
      </c>
      <c r="J421" t="s">
        <v>363</v>
      </c>
      <c r="K421" t="str">
        <f>Tabla14[[#This Row],[id]]&amp;Tabla14[[#This Row],[Resposable]]</f>
        <v>64Cesar Roque</v>
      </c>
      <c r="L421" t="str">
        <f>Tabla14[[#This Row],[id]]&amp;Tabla14[[#This Row],[Resposable]]</f>
        <v>64Cesar Roque</v>
      </c>
      <c r="M421" t="s">
        <v>241</v>
      </c>
    </row>
    <row r="422" spans="1:13" x14ac:dyDescent="0.25">
      <c r="A422" t="s">
        <v>307</v>
      </c>
      <c r="B422">
        <v>64</v>
      </c>
      <c r="C422" t="s">
        <v>8</v>
      </c>
      <c r="D422" t="s">
        <v>80</v>
      </c>
      <c r="E422" t="s">
        <v>47</v>
      </c>
      <c r="F422" s="4" t="s">
        <v>82</v>
      </c>
      <c r="G422" t="s">
        <v>239</v>
      </c>
      <c r="H422" t="s">
        <v>241</v>
      </c>
      <c r="I422" t="s">
        <v>382</v>
      </c>
      <c r="J422" t="s">
        <v>363</v>
      </c>
      <c r="K422" t="str">
        <f>Tabla14[[#This Row],[id]]&amp;Tabla14[[#This Row],[Resposable]]</f>
        <v>64Cesar Roque</v>
      </c>
      <c r="L422" t="str">
        <f>Tabla14[[#This Row],[id]]&amp;Tabla14[[#This Row],[Resposable]]</f>
        <v>64Cesar Roque</v>
      </c>
      <c r="M422" t="s">
        <v>241</v>
      </c>
    </row>
    <row r="423" spans="1:13" x14ac:dyDescent="0.25">
      <c r="A423" t="s">
        <v>307</v>
      </c>
      <c r="B423">
        <v>64</v>
      </c>
      <c r="C423" t="s">
        <v>20</v>
      </c>
      <c r="D423" t="s">
        <v>103</v>
      </c>
      <c r="E423" t="s">
        <v>47</v>
      </c>
      <c r="F423" s="4" t="s">
        <v>48</v>
      </c>
      <c r="G423" t="s">
        <v>239</v>
      </c>
      <c r="H423" t="s">
        <v>241</v>
      </c>
      <c r="I423" t="s">
        <v>382</v>
      </c>
      <c r="J423" t="s">
        <v>363</v>
      </c>
      <c r="K423" t="str">
        <f>Tabla14[[#This Row],[id]]&amp;Tabla14[[#This Row],[Resposable]]</f>
        <v>64Cesar Roque</v>
      </c>
      <c r="L423" t="str">
        <f>Tabla14[[#This Row],[id]]&amp;Tabla14[[#This Row],[Resposable]]</f>
        <v>64Cesar Roque</v>
      </c>
      <c r="M423" t="s">
        <v>241</v>
      </c>
    </row>
    <row r="424" spans="1:13" x14ac:dyDescent="0.25">
      <c r="A424" t="s">
        <v>307</v>
      </c>
      <c r="B424">
        <v>64</v>
      </c>
      <c r="C424" t="s">
        <v>8</v>
      </c>
      <c r="D424" t="s">
        <v>57</v>
      </c>
      <c r="E424" t="s">
        <v>47</v>
      </c>
      <c r="F424" s="4" t="s">
        <v>82</v>
      </c>
      <c r="G424" t="s">
        <v>239</v>
      </c>
      <c r="H424" t="s">
        <v>241</v>
      </c>
      <c r="I424" t="s">
        <v>382</v>
      </c>
      <c r="J424" t="s">
        <v>363</v>
      </c>
      <c r="K424" t="str">
        <f>Tabla14[[#This Row],[id]]&amp;Tabla14[[#This Row],[Resposable]]</f>
        <v>64Cesar Roque</v>
      </c>
      <c r="L424" t="str">
        <f>Tabla14[[#This Row],[id]]&amp;Tabla14[[#This Row],[Resposable]]</f>
        <v>64Cesar Roque</v>
      </c>
      <c r="M424" t="s">
        <v>241</v>
      </c>
    </row>
    <row r="425" spans="1:13" x14ac:dyDescent="0.25">
      <c r="A425" t="s">
        <v>307</v>
      </c>
      <c r="B425">
        <v>64</v>
      </c>
      <c r="C425" t="s">
        <v>7</v>
      </c>
      <c r="D425" t="s">
        <v>104</v>
      </c>
      <c r="E425" t="s">
        <v>47</v>
      </c>
      <c r="F425" s="4" t="s">
        <v>48</v>
      </c>
      <c r="G425" t="s">
        <v>239</v>
      </c>
      <c r="H425" t="s">
        <v>241</v>
      </c>
      <c r="I425" t="s">
        <v>382</v>
      </c>
      <c r="J425" t="s">
        <v>363</v>
      </c>
      <c r="K425" t="str">
        <f>Tabla14[[#This Row],[id]]&amp;Tabla14[[#This Row],[Resposable]]</f>
        <v>64Cesar Roque</v>
      </c>
      <c r="L425" t="str">
        <f>Tabla14[[#This Row],[id]]&amp;Tabla14[[#This Row],[Resposable]]</f>
        <v>64Cesar Roque</v>
      </c>
      <c r="M425" t="s">
        <v>241</v>
      </c>
    </row>
    <row r="426" spans="1:13" x14ac:dyDescent="0.25">
      <c r="A426" t="s">
        <v>24</v>
      </c>
      <c r="B426">
        <v>104</v>
      </c>
      <c r="C426" t="s">
        <v>5</v>
      </c>
      <c r="D426" t="s">
        <v>115</v>
      </c>
      <c r="E426" t="s">
        <v>47</v>
      </c>
      <c r="F426" s="4" t="s">
        <v>58</v>
      </c>
      <c r="G426" t="s">
        <v>239</v>
      </c>
      <c r="H426" t="s">
        <v>241</v>
      </c>
      <c r="I426" t="s">
        <v>382</v>
      </c>
      <c r="J426" t="s">
        <v>363</v>
      </c>
      <c r="K426" t="str">
        <f>Tabla14[[#This Row],[id]]&amp;Tabla14[[#This Row],[Resposable]]</f>
        <v>104Cesar Roque</v>
      </c>
      <c r="L426" t="str">
        <f>Tabla14[[#This Row],[id]]&amp;Tabla14[[#This Row],[Resposable]]</f>
        <v>104Cesar Roque</v>
      </c>
      <c r="M426" t="s">
        <v>241</v>
      </c>
    </row>
    <row r="427" spans="1:13" x14ac:dyDescent="0.25">
      <c r="A427" t="s">
        <v>24</v>
      </c>
      <c r="B427">
        <v>104</v>
      </c>
      <c r="C427" t="s">
        <v>5</v>
      </c>
      <c r="D427" t="s">
        <v>117</v>
      </c>
      <c r="E427" t="s">
        <v>47</v>
      </c>
      <c r="F427" s="4" t="s">
        <v>96</v>
      </c>
      <c r="G427" t="s">
        <v>239</v>
      </c>
      <c r="H427" t="s">
        <v>241</v>
      </c>
      <c r="I427" t="s">
        <v>382</v>
      </c>
      <c r="J427" t="s">
        <v>363</v>
      </c>
      <c r="K427" t="str">
        <f>Tabla14[[#This Row],[id]]&amp;Tabla14[[#This Row],[Resposable]]</f>
        <v>104Cesar Roque</v>
      </c>
      <c r="L427" t="str">
        <f>Tabla14[[#This Row],[id]]&amp;Tabla14[[#This Row],[Resposable]]</f>
        <v>104Cesar Roque</v>
      </c>
      <c r="M427" t="s">
        <v>241</v>
      </c>
    </row>
    <row r="428" spans="1:13" x14ac:dyDescent="0.25">
      <c r="A428" t="s">
        <v>24</v>
      </c>
      <c r="B428">
        <v>104</v>
      </c>
      <c r="C428" t="s">
        <v>7</v>
      </c>
      <c r="D428" t="s">
        <v>118</v>
      </c>
      <c r="E428" t="s">
        <v>47</v>
      </c>
      <c r="F428" s="4" t="s">
        <v>71</v>
      </c>
      <c r="G428" t="s">
        <v>239</v>
      </c>
      <c r="H428" t="s">
        <v>241</v>
      </c>
      <c r="I428" t="s">
        <v>382</v>
      </c>
      <c r="J428" t="s">
        <v>363</v>
      </c>
      <c r="K428" t="str">
        <f>Tabla14[[#This Row],[id]]&amp;Tabla14[[#This Row],[Resposable]]</f>
        <v>104Cesar Roque</v>
      </c>
      <c r="L428" t="str">
        <f>Tabla14[[#This Row],[id]]&amp;Tabla14[[#This Row],[Resposable]]</f>
        <v>104Cesar Roque</v>
      </c>
      <c r="M428" t="s">
        <v>241</v>
      </c>
    </row>
    <row r="429" spans="1:13" x14ac:dyDescent="0.25">
      <c r="A429" t="s">
        <v>24</v>
      </c>
      <c r="B429">
        <v>104</v>
      </c>
      <c r="C429" t="s">
        <v>7</v>
      </c>
      <c r="D429" t="s">
        <v>119</v>
      </c>
      <c r="E429" t="s">
        <v>47</v>
      </c>
      <c r="F429" s="4" t="s">
        <v>71</v>
      </c>
      <c r="G429" t="s">
        <v>239</v>
      </c>
      <c r="H429" t="s">
        <v>241</v>
      </c>
      <c r="I429" t="s">
        <v>382</v>
      </c>
      <c r="J429" t="s">
        <v>363</v>
      </c>
      <c r="K429" t="str">
        <f>Tabla14[[#This Row],[id]]&amp;Tabla14[[#This Row],[Resposable]]</f>
        <v>104Cesar Roque</v>
      </c>
      <c r="L429" t="str">
        <f>Tabla14[[#This Row],[id]]&amp;Tabla14[[#This Row],[Resposable]]</f>
        <v>104Cesar Roque</v>
      </c>
      <c r="M429" t="s">
        <v>241</v>
      </c>
    </row>
    <row r="430" spans="1:13" x14ac:dyDescent="0.25">
      <c r="A430" t="s">
        <v>24</v>
      </c>
      <c r="B430">
        <v>104</v>
      </c>
      <c r="C430" t="s">
        <v>7</v>
      </c>
      <c r="D430" t="s">
        <v>120</v>
      </c>
      <c r="E430" t="s">
        <v>47</v>
      </c>
      <c r="F430" s="4" t="s">
        <v>96</v>
      </c>
      <c r="G430" t="s">
        <v>239</v>
      </c>
      <c r="H430" t="s">
        <v>241</v>
      </c>
      <c r="I430" t="s">
        <v>382</v>
      </c>
      <c r="J430" t="s">
        <v>363</v>
      </c>
      <c r="K430" t="str">
        <f>Tabla14[[#This Row],[id]]&amp;Tabla14[[#This Row],[Resposable]]</f>
        <v>104Cesar Roque</v>
      </c>
      <c r="L430" t="str">
        <f>Tabla14[[#This Row],[id]]&amp;Tabla14[[#This Row],[Resposable]]</f>
        <v>104Cesar Roque</v>
      </c>
      <c r="M430" t="s">
        <v>241</v>
      </c>
    </row>
    <row r="431" spans="1:13" x14ac:dyDescent="0.25">
      <c r="A431" t="s">
        <v>24</v>
      </c>
      <c r="B431">
        <v>104</v>
      </c>
      <c r="C431" t="s">
        <v>8</v>
      </c>
      <c r="D431" t="s">
        <v>121</v>
      </c>
      <c r="E431" t="s">
        <v>47</v>
      </c>
      <c r="F431" s="4" t="s">
        <v>50</v>
      </c>
      <c r="G431" t="s">
        <v>239</v>
      </c>
      <c r="H431" t="s">
        <v>241</v>
      </c>
      <c r="I431" t="s">
        <v>382</v>
      </c>
      <c r="J431" t="s">
        <v>363</v>
      </c>
      <c r="K431" t="str">
        <f>Tabla14[[#This Row],[id]]&amp;Tabla14[[#This Row],[Resposable]]</f>
        <v>104Cesar Roque</v>
      </c>
      <c r="L431" t="str">
        <f>Tabla14[[#This Row],[id]]&amp;Tabla14[[#This Row],[Resposable]]</f>
        <v>104Cesar Roque</v>
      </c>
      <c r="M431" t="s">
        <v>241</v>
      </c>
    </row>
    <row r="432" spans="1:13" x14ac:dyDescent="0.25">
      <c r="A432" t="s">
        <v>24</v>
      </c>
      <c r="B432">
        <v>104</v>
      </c>
      <c r="C432" t="s">
        <v>18</v>
      </c>
      <c r="D432" t="s">
        <v>122</v>
      </c>
      <c r="E432" t="s">
        <v>47</v>
      </c>
      <c r="F432" s="4" t="s">
        <v>48</v>
      </c>
      <c r="G432" t="s">
        <v>239</v>
      </c>
      <c r="H432" t="s">
        <v>241</v>
      </c>
      <c r="I432" t="s">
        <v>382</v>
      </c>
      <c r="J432" t="s">
        <v>363</v>
      </c>
      <c r="K432" t="str">
        <f>Tabla14[[#This Row],[id]]&amp;Tabla14[[#This Row],[Resposable]]</f>
        <v>104Cesar Roque</v>
      </c>
      <c r="L432" t="str">
        <f>Tabla14[[#This Row],[id]]&amp;Tabla14[[#This Row],[Resposable]]</f>
        <v>104Cesar Roque</v>
      </c>
      <c r="M432" t="s">
        <v>241</v>
      </c>
    </row>
    <row r="433" spans="1:13" x14ac:dyDescent="0.25">
      <c r="A433" t="s">
        <v>24</v>
      </c>
      <c r="B433">
        <v>104</v>
      </c>
      <c r="C433" t="s">
        <v>8</v>
      </c>
      <c r="D433" t="s">
        <v>123</v>
      </c>
      <c r="E433" t="s">
        <v>47</v>
      </c>
      <c r="F433" s="4" t="s">
        <v>50</v>
      </c>
      <c r="G433" t="s">
        <v>239</v>
      </c>
      <c r="H433" t="s">
        <v>241</v>
      </c>
      <c r="I433" t="s">
        <v>382</v>
      </c>
      <c r="J433" t="s">
        <v>363</v>
      </c>
      <c r="K433" t="str">
        <f>Tabla14[[#This Row],[id]]&amp;Tabla14[[#This Row],[Resposable]]</f>
        <v>104Cesar Roque</v>
      </c>
      <c r="L433" t="str">
        <f>Tabla14[[#This Row],[id]]&amp;Tabla14[[#This Row],[Resposable]]</f>
        <v>104Cesar Roque</v>
      </c>
      <c r="M433" t="s">
        <v>241</v>
      </c>
    </row>
    <row r="434" spans="1:13" x14ac:dyDescent="0.25">
      <c r="A434" t="s">
        <v>24</v>
      </c>
      <c r="B434">
        <v>104</v>
      </c>
      <c r="C434" t="s">
        <v>8</v>
      </c>
      <c r="D434" t="s">
        <v>124</v>
      </c>
      <c r="E434" t="s">
        <v>47</v>
      </c>
      <c r="F434" s="4" t="s">
        <v>50</v>
      </c>
      <c r="G434" t="s">
        <v>239</v>
      </c>
      <c r="H434" t="s">
        <v>241</v>
      </c>
      <c r="I434" t="s">
        <v>382</v>
      </c>
      <c r="J434" t="s">
        <v>363</v>
      </c>
      <c r="K434" t="str">
        <f>Tabla14[[#This Row],[id]]&amp;Tabla14[[#This Row],[Resposable]]</f>
        <v>104Cesar Roque</v>
      </c>
      <c r="L434" t="str">
        <f>Tabla14[[#This Row],[id]]&amp;Tabla14[[#This Row],[Resposable]]</f>
        <v>104Cesar Roque</v>
      </c>
      <c r="M434" t="s">
        <v>241</v>
      </c>
    </row>
    <row r="435" spans="1:13" x14ac:dyDescent="0.25">
      <c r="A435" t="s">
        <v>24</v>
      </c>
      <c r="B435">
        <v>104</v>
      </c>
      <c r="C435" t="s">
        <v>8</v>
      </c>
      <c r="D435" t="s">
        <v>125</v>
      </c>
      <c r="E435" t="s">
        <v>47</v>
      </c>
      <c r="F435" s="4" t="s">
        <v>50</v>
      </c>
      <c r="G435" t="s">
        <v>239</v>
      </c>
      <c r="H435" t="s">
        <v>241</v>
      </c>
      <c r="I435" t="s">
        <v>382</v>
      </c>
      <c r="J435" t="s">
        <v>363</v>
      </c>
      <c r="K435" t="str">
        <f>Tabla14[[#This Row],[id]]&amp;Tabla14[[#This Row],[Resposable]]</f>
        <v>104Cesar Roque</v>
      </c>
      <c r="L435" t="str">
        <f>Tabla14[[#This Row],[id]]&amp;Tabla14[[#This Row],[Resposable]]</f>
        <v>104Cesar Roque</v>
      </c>
      <c r="M435" t="s">
        <v>241</v>
      </c>
    </row>
    <row r="436" spans="1:13" x14ac:dyDescent="0.25">
      <c r="A436" t="s">
        <v>24</v>
      </c>
      <c r="B436">
        <v>104</v>
      </c>
      <c r="C436" t="s">
        <v>8</v>
      </c>
      <c r="D436" t="s">
        <v>126</v>
      </c>
      <c r="E436" t="s">
        <v>47</v>
      </c>
      <c r="F436" s="4" t="s">
        <v>50</v>
      </c>
      <c r="G436" t="s">
        <v>239</v>
      </c>
      <c r="H436" t="s">
        <v>241</v>
      </c>
      <c r="I436" t="s">
        <v>382</v>
      </c>
      <c r="J436" t="s">
        <v>363</v>
      </c>
      <c r="K436" t="str">
        <f>Tabla14[[#This Row],[id]]&amp;Tabla14[[#This Row],[Resposable]]</f>
        <v>104Cesar Roque</v>
      </c>
      <c r="L436" t="str">
        <f>Tabla14[[#This Row],[id]]&amp;Tabla14[[#This Row],[Resposable]]</f>
        <v>104Cesar Roque</v>
      </c>
      <c r="M436" t="s">
        <v>241</v>
      </c>
    </row>
    <row r="437" spans="1:13" x14ac:dyDescent="0.25">
      <c r="A437" t="s">
        <v>24</v>
      </c>
      <c r="B437">
        <v>104</v>
      </c>
      <c r="C437" t="s">
        <v>8</v>
      </c>
      <c r="D437" t="s">
        <v>127</v>
      </c>
      <c r="E437" t="s">
        <v>47</v>
      </c>
      <c r="F437" s="4" t="s">
        <v>50</v>
      </c>
      <c r="G437" t="s">
        <v>239</v>
      </c>
      <c r="H437" t="s">
        <v>241</v>
      </c>
      <c r="I437" t="s">
        <v>382</v>
      </c>
      <c r="J437" t="s">
        <v>363</v>
      </c>
      <c r="K437" t="str">
        <f>Tabla14[[#This Row],[id]]&amp;Tabla14[[#This Row],[Resposable]]</f>
        <v>104Cesar Roque</v>
      </c>
      <c r="L437" t="str">
        <f>Tabla14[[#This Row],[id]]&amp;Tabla14[[#This Row],[Resposable]]</f>
        <v>104Cesar Roque</v>
      </c>
      <c r="M437" t="s">
        <v>241</v>
      </c>
    </row>
    <row r="438" spans="1:13" x14ac:dyDescent="0.25">
      <c r="A438" t="s">
        <v>24</v>
      </c>
      <c r="B438">
        <v>104</v>
      </c>
      <c r="C438" t="s">
        <v>8</v>
      </c>
      <c r="D438" t="s">
        <v>128</v>
      </c>
      <c r="E438" t="s">
        <v>47</v>
      </c>
      <c r="F438" s="4" t="s">
        <v>50</v>
      </c>
      <c r="G438" t="s">
        <v>239</v>
      </c>
      <c r="H438" t="s">
        <v>241</v>
      </c>
      <c r="I438" t="s">
        <v>382</v>
      </c>
      <c r="J438" t="s">
        <v>363</v>
      </c>
      <c r="K438" t="str">
        <f>Tabla14[[#This Row],[id]]&amp;Tabla14[[#This Row],[Resposable]]</f>
        <v>104Cesar Roque</v>
      </c>
      <c r="L438" t="str">
        <f>Tabla14[[#This Row],[id]]&amp;Tabla14[[#This Row],[Resposable]]</f>
        <v>104Cesar Roque</v>
      </c>
      <c r="M438" t="s">
        <v>241</v>
      </c>
    </row>
    <row r="439" spans="1:13" x14ac:dyDescent="0.25">
      <c r="A439" t="s">
        <v>24</v>
      </c>
      <c r="B439">
        <v>104</v>
      </c>
      <c r="C439" t="s">
        <v>7</v>
      </c>
      <c r="D439" t="s">
        <v>129</v>
      </c>
      <c r="E439" t="s">
        <v>47</v>
      </c>
      <c r="F439" s="4" t="s">
        <v>71</v>
      </c>
      <c r="G439" t="s">
        <v>239</v>
      </c>
      <c r="H439" t="s">
        <v>241</v>
      </c>
      <c r="I439" t="s">
        <v>382</v>
      </c>
      <c r="J439" t="s">
        <v>363</v>
      </c>
      <c r="K439" t="str">
        <f>Tabla14[[#This Row],[id]]&amp;Tabla14[[#This Row],[Resposable]]</f>
        <v>104Cesar Roque</v>
      </c>
      <c r="L439" t="str">
        <f>Tabla14[[#This Row],[id]]&amp;Tabla14[[#This Row],[Resposable]]</f>
        <v>104Cesar Roque</v>
      </c>
      <c r="M439" t="s">
        <v>241</v>
      </c>
    </row>
    <row r="440" spans="1:13" x14ac:dyDescent="0.25">
      <c r="A440" t="s">
        <v>24</v>
      </c>
      <c r="B440">
        <v>104</v>
      </c>
      <c r="C440" t="s">
        <v>7</v>
      </c>
      <c r="D440" t="s">
        <v>130</v>
      </c>
      <c r="E440" t="s">
        <v>47</v>
      </c>
      <c r="F440" s="4" t="s">
        <v>71</v>
      </c>
      <c r="G440" t="s">
        <v>239</v>
      </c>
      <c r="H440" t="s">
        <v>241</v>
      </c>
      <c r="I440" t="s">
        <v>382</v>
      </c>
      <c r="J440" t="s">
        <v>363</v>
      </c>
      <c r="K440" t="str">
        <f>Tabla14[[#This Row],[id]]&amp;Tabla14[[#This Row],[Resposable]]</f>
        <v>104Cesar Roque</v>
      </c>
      <c r="L440" t="str">
        <f>Tabla14[[#This Row],[id]]&amp;Tabla14[[#This Row],[Resposable]]</f>
        <v>104Cesar Roque</v>
      </c>
      <c r="M440" t="s">
        <v>241</v>
      </c>
    </row>
    <row r="441" spans="1:13" x14ac:dyDescent="0.25">
      <c r="A441" t="s">
        <v>24</v>
      </c>
      <c r="B441">
        <v>104</v>
      </c>
      <c r="C441" t="s">
        <v>7</v>
      </c>
      <c r="D441" t="s">
        <v>131</v>
      </c>
      <c r="E441" t="s">
        <v>47</v>
      </c>
      <c r="F441" s="4" t="s">
        <v>71</v>
      </c>
      <c r="G441" t="s">
        <v>239</v>
      </c>
      <c r="H441" t="s">
        <v>241</v>
      </c>
      <c r="I441" t="s">
        <v>382</v>
      </c>
      <c r="J441" t="s">
        <v>363</v>
      </c>
      <c r="K441" t="str">
        <f>Tabla14[[#This Row],[id]]&amp;Tabla14[[#This Row],[Resposable]]</f>
        <v>104Cesar Roque</v>
      </c>
      <c r="L441" t="str">
        <f>Tabla14[[#This Row],[id]]&amp;Tabla14[[#This Row],[Resposable]]</f>
        <v>104Cesar Roque</v>
      </c>
      <c r="M441" t="s">
        <v>241</v>
      </c>
    </row>
    <row r="442" spans="1:13" x14ac:dyDescent="0.25">
      <c r="A442" t="s">
        <v>24</v>
      </c>
      <c r="B442">
        <v>104</v>
      </c>
      <c r="C442" t="s">
        <v>18</v>
      </c>
      <c r="D442" t="s">
        <v>132</v>
      </c>
      <c r="E442" t="s">
        <v>47</v>
      </c>
      <c r="F442" s="4" t="s">
        <v>48</v>
      </c>
      <c r="G442" t="s">
        <v>239</v>
      </c>
      <c r="H442" t="s">
        <v>241</v>
      </c>
      <c r="I442" t="s">
        <v>382</v>
      </c>
      <c r="J442" t="s">
        <v>363</v>
      </c>
      <c r="K442" t="str">
        <f>Tabla14[[#This Row],[id]]&amp;Tabla14[[#This Row],[Resposable]]</f>
        <v>104Cesar Roque</v>
      </c>
      <c r="L442" t="str">
        <f>Tabla14[[#This Row],[id]]&amp;Tabla14[[#This Row],[Resposable]]</f>
        <v>104Cesar Roque</v>
      </c>
      <c r="M442" t="s">
        <v>241</v>
      </c>
    </row>
    <row r="443" spans="1:13" x14ac:dyDescent="0.25">
      <c r="A443" t="s">
        <v>24</v>
      </c>
      <c r="B443">
        <v>104</v>
      </c>
      <c r="C443" t="s">
        <v>7</v>
      </c>
      <c r="D443" t="s">
        <v>133</v>
      </c>
      <c r="E443" t="s">
        <v>47</v>
      </c>
      <c r="F443" s="4" t="s">
        <v>71</v>
      </c>
      <c r="G443" t="s">
        <v>239</v>
      </c>
      <c r="H443" t="s">
        <v>241</v>
      </c>
      <c r="I443" t="s">
        <v>382</v>
      </c>
      <c r="J443" t="s">
        <v>363</v>
      </c>
      <c r="K443" t="str">
        <f>Tabla14[[#This Row],[id]]&amp;Tabla14[[#This Row],[Resposable]]</f>
        <v>104Cesar Roque</v>
      </c>
      <c r="L443" t="str">
        <f>Tabla14[[#This Row],[id]]&amp;Tabla14[[#This Row],[Resposable]]</f>
        <v>104Cesar Roque</v>
      </c>
      <c r="M443" t="s">
        <v>241</v>
      </c>
    </row>
    <row r="444" spans="1:13" x14ac:dyDescent="0.25">
      <c r="A444" t="s">
        <v>24</v>
      </c>
      <c r="B444">
        <v>104</v>
      </c>
      <c r="C444" t="s">
        <v>7</v>
      </c>
      <c r="D444" t="s">
        <v>134</v>
      </c>
      <c r="E444" t="s">
        <v>47</v>
      </c>
      <c r="F444" s="4" t="s">
        <v>71</v>
      </c>
      <c r="G444" t="s">
        <v>239</v>
      </c>
      <c r="H444" t="s">
        <v>241</v>
      </c>
      <c r="I444" t="s">
        <v>382</v>
      </c>
      <c r="J444" t="s">
        <v>363</v>
      </c>
      <c r="K444" t="str">
        <f>Tabla14[[#This Row],[id]]&amp;Tabla14[[#This Row],[Resposable]]</f>
        <v>104Cesar Roque</v>
      </c>
      <c r="L444" t="str">
        <f>Tabla14[[#This Row],[id]]&amp;Tabla14[[#This Row],[Resposable]]</f>
        <v>104Cesar Roque</v>
      </c>
      <c r="M444" t="s">
        <v>241</v>
      </c>
    </row>
    <row r="445" spans="1:13" x14ac:dyDescent="0.25">
      <c r="A445" t="s">
        <v>24</v>
      </c>
      <c r="B445">
        <v>104</v>
      </c>
      <c r="C445" t="s">
        <v>8</v>
      </c>
      <c r="D445" t="s">
        <v>135</v>
      </c>
      <c r="E445" t="s">
        <v>47</v>
      </c>
      <c r="F445" s="4" t="s">
        <v>50</v>
      </c>
      <c r="G445" t="s">
        <v>239</v>
      </c>
      <c r="H445" t="s">
        <v>241</v>
      </c>
      <c r="I445" t="s">
        <v>382</v>
      </c>
      <c r="J445" t="s">
        <v>363</v>
      </c>
      <c r="K445" t="str">
        <f>Tabla14[[#This Row],[id]]&amp;Tabla14[[#This Row],[Resposable]]</f>
        <v>104Cesar Roque</v>
      </c>
      <c r="L445" t="str">
        <f>Tabla14[[#This Row],[id]]&amp;Tabla14[[#This Row],[Resposable]]</f>
        <v>104Cesar Roque</v>
      </c>
      <c r="M445" t="s">
        <v>241</v>
      </c>
    </row>
    <row r="446" spans="1:13" x14ac:dyDescent="0.25">
      <c r="A446" t="s">
        <v>24</v>
      </c>
      <c r="B446">
        <v>104</v>
      </c>
      <c r="C446" t="s">
        <v>7</v>
      </c>
      <c r="D446" t="s">
        <v>137</v>
      </c>
      <c r="E446" t="s">
        <v>47</v>
      </c>
      <c r="F446" s="4" t="s">
        <v>71</v>
      </c>
      <c r="G446" t="s">
        <v>239</v>
      </c>
      <c r="H446" t="s">
        <v>241</v>
      </c>
      <c r="I446" t="s">
        <v>382</v>
      </c>
      <c r="J446" t="s">
        <v>363</v>
      </c>
      <c r="K446" t="str">
        <f>Tabla14[[#This Row],[id]]&amp;Tabla14[[#This Row],[Resposable]]</f>
        <v>104Cesar Roque</v>
      </c>
      <c r="L446" t="str">
        <f>Tabla14[[#This Row],[id]]&amp;Tabla14[[#This Row],[Resposable]]</f>
        <v>104Cesar Roque</v>
      </c>
      <c r="M446" t="s">
        <v>241</v>
      </c>
    </row>
    <row r="447" spans="1:13" x14ac:dyDescent="0.25">
      <c r="A447" t="s">
        <v>24</v>
      </c>
      <c r="B447">
        <v>104</v>
      </c>
      <c r="C447" t="s">
        <v>18</v>
      </c>
      <c r="D447" t="s">
        <v>138</v>
      </c>
      <c r="E447" t="s">
        <v>47</v>
      </c>
      <c r="F447" s="4" t="s">
        <v>48</v>
      </c>
      <c r="G447" t="s">
        <v>239</v>
      </c>
      <c r="H447" t="s">
        <v>241</v>
      </c>
      <c r="I447" t="s">
        <v>382</v>
      </c>
      <c r="J447" t="s">
        <v>363</v>
      </c>
      <c r="K447" t="str">
        <f>Tabla14[[#This Row],[id]]&amp;Tabla14[[#This Row],[Resposable]]</f>
        <v>104Cesar Roque</v>
      </c>
      <c r="L447" t="str">
        <f>Tabla14[[#This Row],[id]]&amp;Tabla14[[#This Row],[Resposable]]</f>
        <v>104Cesar Roque</v>
      </c>
      <c r="M447" t="s">
        <v>241</v>
      </c>
    </row>
    <row r="448" spans="1:13" x14ac:dyDescent="0.25">
      <c r="A448" t="s">
        <v>24</v>
      </c>
      <c r="B448">
        <v>104</v>
      </c>
      <c r="C448" t="s">
        <v>18</v>
      </c>
      <c r="D448" t="s">
        <v>140</v>
      </c>
      <c r="E448" t="s">
        <v>47</v>
      </c>
      <c r="F448" s="4" t="s">
        <v>48</v>
      </c>
      <c r="G448" t="s">
        <v>239</v>
      </c>
      <c r="H448" t="s">
        <v>241</v>
      </c>
      <c r="I448" t="s">
        <v>382</v>
      </c>
      <c r="J448" t="s">
        <v>363</v>
      </c>
      <c r="K448" t="str">
        <f>Tabla14[[#This Row],[id]]&amp;Tabla14[[#This Row],[Resposable]]</f>
        <v>104Cesar Roque</v>
      </c>
      <c r="L448" t="str">
        <f>Tabla14[[#This Row],[id]]&amp;Tabla14[[#This Row],[Resposable]]</f>
        <v>104Cesar Roque</v>
      </c>
      <c r="M448" t="s">
        <v>241</v>
      </c>
    </row>
    <row r="449" spans="1:13" x14ac:dyDescent="0.25">
      <c r="A449" t="s">
        <v>24</v>
      </c>
      <c r="B449">
        <v>104</v>
      </c>
      <c r="C449" t="s">
        <v>8</v>
      </c>
      <c r="D449" t="s">
        <v>141</v>
      </c>
      <c r="E449" t="s">
        <v>47</v>
      </c>
      <c r="F449" s="4" t="s">
        <v>50</v>
      </c>
      <c r="G449" t="s">
        <v>239</v>
      </c>
      <c r="H449" t="s">
        <v>241</v>
      </c>
      <c r="I449" t="s">
        <v>382</v>
      </c>
      <c r="J449" t="s">
        <v>363</v>
      </c>
      <c r="K449" t="str">
        <f>Tabla14[[#This Row],[id]]&amp;Tabla14[[#This Row],[Resposable]]</f>
        <v>104Cesar Roque</v>
      </c>
      <c r="L449" t="str">
        <f>Tabla14[[#This Row],[id]]&amp;Tabla14[[#This Row],[Resposable]]</f>
        <v>104Cesar Roque</v>
      </c>
      <c r="M449" t="s">
        <v>241</v>
      </c>
    </row>
    <row r="450" spans="1:13" x14ac:dyDescent="0.25">
      <c r="A450" t="s">
        <v>24</v>
      </c>
      <c r="B450">
        <v>104</v>
      </c>
      <c r="C450" t="s">
        <v>18</v>
      </c>
      <c r="D450" t="s">
        <v>142</v>
      </c>
      <c r="E450" t="s">
        <v>47</v>
      </c>
      <c r="F450" s="4" t="s">
        <v>48</v>
      </c>
      <c r="G450" t="s">
        <v>239</v>
      </c>
      <c r="H450" t="s">
        <v>241</v>
      </c>
      <c r="I450" t="s">
        <v>382</v>
      </c>
      <c r="J450" t="s">
        <v>363</v>
      </c>
      <c r="K450" t="str">
        <f>Tabla14[[#This Row],[id]]&amp;Tabla14[[#This Row],[Resposable]]</f>
        <v>104Cesar Roque</v>
      </c>
      <c r="L450" t="str">
        <f>Tabla14[[#This Row],[id]]&amp;Tabla14[[#This Row],[Resposable]]</f>
        <v>104Cesar Roque</v>
      </c>
      <c r="M450" t="s">
        <v>241</v>
      </c>
    </row>
    <row r="451" spans="1:13" x14ac:dyDescent="0.25">
      <c r="A451" t="s">
        <v>24</v>
      </c>
      <c r="B451">
        <v>104</v>
      </c>
      <c r="C451" t="s">
        <v>7</v>
      </c>
      <c r="D451" t="s">
        <v>143</v>
      </c>
      <c r="E451" t="s">
        <v>47</v>
      </c>
      <c r="F451" s="4" t="s">
        <v>71</v>
      </c>
      <c r="G451" t="s">
        <v>239</v>
      </c>
      <c r="H451" t="s">
        <v>241</v>
      </c>
      <c r="I451" t="s">
        <v>382</v>
      </c>
      <c r="J451" t="s">
        <v>363</v>
      </c>
      <c r="K451" t="str">
        <f>Tabla14[[#This Row],[id]]&amp;Tabla14[[#This Row],[Resposable]]</f>
        <v>104Cesar Roque</v>
      </c>
      <c r="L451" t="str">
        <f>Tabla14[[#This Row],[id]]&amp;Tabla14[[#This Row],[Resposable]]</f>
        <v>104Cesar Roque</v>
      </c>
      <c r="M451" t="s">
        <v>241</v>
      </c>
    </row>
    <row r="452" spans="1:13" x14ac:dyDescent="0.25">
      <c r="A452" t="s">
        <v>25</v>
      </c>
      <c r="B452">
        <v>104</v>
      </c>
      <c r="C452" t="s">
        <v>18</v>
      </c>
      <c r="D452" t="s">
        <v>145</v>
      </c>
      <c r="E452" t="s">
        <v>47</v>
      </c>
      <c r="F452" s="4" t="s">
        <v>48</v>
      </c>
      <c r="G452" t="s">
        <v>239</v>
      </c>
      <c r="H452" t="s">
        <v>241</v>
      </c>
      <c r="I452" t="s">
        <v>382</v>
      </c>
      <c r="J452" t="s">
        <v>363</v>
      </c>
      <c r="K452" t="str">
        <f>Tabla14[[#This Row],[id]]&amp;Tabla14[[#This Row],[Resposable]]</f>
        <v>104Cesar Roque</v>
      </c>
      <c r="L452" t="str">
        <f>Tabla14[[#This Row],[id]]&amp;Tabla14[[#This Row],[Resposable]]</f>
        <v>104Cesar Roque</v>
      </c>
      <c r="M452" t="s">
        <v>241</v>
      </c>
    </row>
    <row r="453" spans="1:13" x14ac:dyDescent="0.25">
      <c r="A453" t="s">
        <v>25</v>
      </c>
      <c r="B453">
        <v>104</v>
      </c>
      <c r="C453" t="s">
        <v>26</v>
      </c>
      <c r="D453" t="s">
        <v>146</v>
      </c>
      <c r="E453" t="s">
        <v>47</v>
      </c>
      <c r="F453" s="4" t="s">
        <v>82</v>
      </c>
      <c r="G453" t="s">
        <v>239</v>
      </c>
      <c r="H453" t="s">
        <v>241</v>
      </c>
      <c r="I453" t="s">
        <v>382</v>
      </c>
      <c r="J453" t="s">
        <v>363</v>
      </c>
      <c r="K453" t="str">
        <f>Tabla14[[#This Row],[id]]&amp;Tabla14[[#This Row],[Resposable]]</f>
        <v>104Cesar Roque</v>
      </c>
      <c r="L453" t="str">
        <f>Tabla14[[#This Row],[id]]&amp;Tabla14[[#This Row],[Resposable]]</f>
        <v>104Cesar Roque</v>
      </c>
      <c r="M453" t="s">
        <v>241</v>
      </c>
    </row>
    <row r="454" spans="1:13" x14ac:dyDescent="0.25">
      <c r="A454" t="s">
        <v>25</v>
      </c>
      <c r="B454">
        <v>104</v>
      </c>
      <c r="C454" t="s">
        <v>7</v>
      </c>
      <c r="D454" t="s">
        <v>148</v>
      </c>
      <c r="E454" t="s">
        <v>47</v>
      </c>
      <c r="F454" s="4" t="s">
        <v>48</v>
      </c>
      <c r="G454" t="s">
        <v>239</v>
      </c>
      <c r="H454" t="s">
        <v>241</v>
      </c>
      <c r="I454" t="s">
        <v>382</v>
      </c>
      <c r="J454" t="s">
        <v>363</v>
      </c>
      <c r="K454" t="str">
        <f>Tabla14[[#This Row],[id]]&amp;Tabla14[[#This Row],[Resposable]]</f>
        <v>104Cesar Roque</v>
      </c>
      <c r="L454" t="str">
        <f>Tabla14[[#This Row],[id]]&amp;Tabla14[[#This Row],[Resposable]]</f>
        <v>104Cesar Roque</v>
      </c>
      <c r="M454" t="s">
        <v>241</v>
      </c>
    </row>
    <row r="455" spans="1:13" x14ac:dyDescent="0.25">
      <c r="A455" t="s">
        <v>25</v>
      </c>
      <c r="B455">
        <v>104</v>
      </c>
      <c r="C455" t="s">
        <v>8</v>
      </c>
      <c r="D455" t="s">
        <v>149</v>
      </c>
      <c r="E455" t="s">
        <v>47</v>
      </c>
      <c r="F455" s="4" t="s">
        <v>150</v>
      </c>
      <c r="G455" t="s">
        <v>239</v>
      </c>
      <c r="H455" t="s">
        <v>241</v>
      </c>
      <c r="I455" t="s">
        <v>382</v>
      </c>
      <c r="J455" t="s">
        <v>363</v>
      </c>
      <c r="K455" t="str">
        <f>Tabla14[[#This Row],[id]]&amp;Tabla14[[#This Row],[Resposable]]</f>
        <v>104Cesar Roque</v>
      </c>
      <c r="L455" t="str">
        <f>Tabla14[[#This Row],[id]]&amp;Tabla14[[#This Row],[Resposable]]</f>
        <v>104Cesar Roque</v>
      </c>
      <c r="M455" t="s">
        <v>241</v>
      </c>
    </row>
    <row r="456" spans="1:13" x14ac:dyDescent="0.25">
      <c r="A456" t="s">
        <v>25</v>
      </c>
      <c r="B456">
        <v>104</v>
      </c>
      <c r="C456" t="s">
        <v>18</v>
      </c>
      <c r="D456" t="s">
        <v>151</v>
      </c>
      <c r="E456" t="s">
        <v>47</v>
      </c>
      <c r="F456" s="4" t="s">
        <v>58</v>
      </c>
      <c r="G456" t="s">
        <v>239</v>
      </c>
      <c r="H456" t="s">
        <v>241</v>
      </c>
      <c r="I456" t="s">
        <v>382</v>
      </c>
      <c r="J456" t="s">
        <v>363</v>
      </c>
      <c r="K456" t="str">
        <f>Tabla14[[#This Row],[id]]&amp;Tabla14[[#This Row],[Resposable]]</f>
        <v>104Cesar Roque</v>
      </c>
      <c r="L456" t="str">
        <f>Tabla14[[#This Row],[id]]&amp;Tabla14[[#This Row],[Resposable]]</f>
        <v>104Cesar Roque</v>
      </c>
      <c r="M456" t="s">
        <v>241</v>
      </c>
    </row>
    <row r="457" spans="1:13" x14ac:dyDescent="0.25">
      <c r="A457" t="s">
        <v>25</v>
      </c>
      <c r="B457">
        <v>104</v>
      </c>
      <c r="C457" t="s">
        <v>8</v>
      </c>
      <c r="D457" t="s">
        <v>152</v>
      </c>
      <c r="E457" t="s">
        <v>47</v>
      </c>
      <c r="F457" s="4" t="s">
        <v>150</v>
      </c>
      <c r="G457" t="s">
        <v>239</v>
      </c>
      <c r="H457" t="s">
        <v>241</v>
      </c>
      <c r="I457" t="s">
        <v>382</v>
      </c>
      <c r="J457" t="s">
        <v>363</v>
      </c>
      <c r="K457" t="str">
        <f>Tabla14[[#This Row],[id]]&amp;Tabla14[[#This Row],[Resposable]]</f>
        <v>104Cesar Roque</v>
      </c>
      <c r="L457" t="str">
        <f>Tabla14[[#This Row],[id]]&amp;Tabla14[[#This Row],[Resposable]]</f>
        <v>104Cesar Roque</v>
      </c>
      <c r="M457" t="s">
        <v>241</v>
      </c>
    </row>
    <row r="458" spans="1:13" x14ac:dyDescent="0.25">
      <c r="A458" t="s">
        <v>25</v>
      </c>
      <c r="B458">
        <v>104</v>
      </c>
      <c r="C458" t="s">
        <v>8</v>
      </c>
      <c r="D458" t="s">
        <v>153</v>
      </c>
      <c r="E458" t="s">
        <v>47</v>
      </c>
      <c r="F458" s="4" t="s">
        <v>150</v>
      </c>
      <c r="G458" t="s">
        <v>239</v>
      </c>
      <c r="H458" t="s">
        <v>241</v>
      </c>
      <c r="I458" t="s">
        <v>382</v>
      </c>
      <c r="J458" t="s">
        <v>363</v>
      </c>
      <c r="K458" t="str">
        <f>Tabla14[[#This Row],[id]]&amp;Tabla14[[#This Row],[Resposable]]</f>
        <v>104Cesar Roque</v>
      </c>
      <c r="L458" t="str">
        <f>Tabla14[[#This Row],[id]]&amp;Tabla14[[#This Row],[Resposable]]</f>
        <v>104Cesar Roque</v>
      </c>
      <c r="M458" t="s">
        <v>241</v>
      </c>
    </row>
    <row r="459" spans="1:13" x14ac:dyDescent="0.25">
      <c r="A459" t="s">
        <v>25</v>
      </c>
      <c r="B459">
        <v>104</v>
      </c>
      <c r="C459" t="s">
        <v>8</v>
      </c>
      <c r="D459" t="s">
        <v>154</v>
      </c>
      <c r="E459" t="s">
        <v>47</v>
      </c>
      <c r="F459" s="4" t="s">
        <v>150</v>
      </c>
      <c r="G459" t="s">
        <v>239</v>
      </c>
      <c r="H459" t="s">
        <v>241</v>
      </c>
      <c r="I459" t="s">
        <v>382</v>
      </c>
      <c r="J459" t="s">
        <v>363</v>
      </c>
      <c r="K459" t="str">
        <f>Tabla14[[#This Row],[id]]&amp;Tabla14[[#This Row],[Resposable]]</f>
        <v>104Cesar Roque</v>
      </c>
      <c r="L459" t="str">
        <f>Tabla14[[#This Row],[id]]&amp;Tabla14[[#This Row],[Resposable]]</f>
        <v>104Cesar Roque</v>
      </c>
      <c r="M459" t="s">
        <v>241</v>
      </c>
    </row>
    <row r="460" spans="1:13" x14ac:dyDescent="0.25">
      <c r="A460" t="s">
        <v>25</v>
      </c>
      <c r="B460">
        <v>104</v>
      </c>
      <c r="C460" t="s">
        <v>8</v>
      </c>
      <c r="D460" t="s">
        <v>155</v>
      </c>
      <c r="E460" t="s">
        <v>47</v>
      </c>
      <c r="F460" s="4" t="s">
        <v>150</v>
      </c>
      <c r="G460" t="s">
        <v>239</v>
      </c>
      <c r="H460" t="s">
        <v>241</v>
      </c>
      <c r="I460" t="s">
        <v>382</v>
      </c>
      <c r="J460" t="s">
        <v>363</v>
      </c>
      <c r="K460" t="str">
        <f>Tabla14[[#This Row],[id]]&amp;Tabla14[[#This Row],[Resposable]]</f>
        <v>104Cesar Roque</v>
      </c>
      <c r="L460" t="str">
        <f>Tabla14[[#This Row],[id]]&amp;Tabla14[[#This Row],[Resposable]]</f>
        <v>104Cesar Roque</v>
      </c>
      <c r="M460" t="s">
        <v>241</v>
      </c>
    </row>
    <row r="461" spans="1:13" x14ac:dyDescent="0.25">
      <c r="A461" t="s">
        <v>25</v>
      </c>
      <c r="B461">
        <v>104</v>
      </c>
      <c r="C461" t="s">
        <v>8</v>
      </c>
      <c r="D461" t="s">
        <v>156</v>
      </c>
      <c r="E461" t="s">
        <v>47</v>
      </c>
      <c r="F461" s="4" t="s">
        <v>150</v>
      </c>
      <c r="G461" t="s">
        <v>239</v>
      </c>
      <c r="H461" t="s">
        <v>241</v>
      </c>
      <c r="I461" t="s">
        <v>382</v>
      </c>
      <c r="J461" t="s">
        <v>363</v>
      </c>
      <c r="K461" t="str">
        <f>Tabla14[[#This Row],[id]]&amp;Tabla14[[#This Row],[Resposable]]</f>
        <v>104Cesar Roque</v>
      </c>
      <c r="L461" t="str">
        <f>Tabla14[[#This Row],[id]]&amp;Tabla14[[#This Row],[Resposable]]</f>
        <v>104Cesar Roque</v>
      </c>
      <c r="M461" t="s">
        <v>241</v>
      </c>
    </row>
    <row r="462" spans="1:13" x14ac:dyDescent="0.25">
      <c r="A462" t="s">
        <v>25</v>
      </c>
      <c r="B462">
        <v>104</v>
      </c>
      <c r="C462" t="s">
        <v>20</v>
      </c>
      <c r="D462" t="s">
        <v>157</v>
      </c>
      <c r="E462" t="s">
        <v>47</v>
      </c>
      <c r="F462" s="4" t="s">
        <v>58</v>
      </c>
      <c r="G462" t="s">
        <v>239</v>
      </c>
      <c r="H462" t="s">
        <v>241</v>
      </c>
      <c r="I462" t="s">
        <v>382</v>
      </c>
      <c r="J462" t="s">
        <v>363</v>
      </c>
      <c r="K462" t="str">
        <f>Tabla14[[#This Row],[id]]&amp;Tabla14[[#This Row],[Resposable]]</f>
        <v>104Cesar Roque</v>
      </c>
      <c r="L462" t="str">
        <f>Tabla14[[#This Row],[id]]&amp;Tabla14[[#This Row],[Resposable]]</f>
        <v>104Cesar Roque</v>
      </c>
      <c r="M462" t="s">
        <v>241</v>
      </c>
    </row>
    <row r="463" spans="1:13" x14ac:dyDescent="0.25">
      <c r="A463" t="s">
        <v>25</v>
      </c>
      <c r="B463">
        <v>104</v>
      </c>
      <c r="C463" t="s">
        <v>18</v>
      </c>
      <c r="D463" t="s">
        <v>158</v>
      </c>
      <c r="E463" t="s">
        <v>47</v>
      </c>
      <c r="F463" s="4" t="s">
        <v>58</v>
      </c>
      <c r="G463" t="s">
        <v>239</v>
      </c>
      <c r="H463" t="s">
        <v>241</v>
      </c>
      <c r="I463" t="s">
        <v>382</v>
      </c>
      <c r="J463" t="s">
        <v>363</v>
      </c>
      <c r="K463" t="str">
        <f>Tabla14[[#This Row],[id]]&amp;Tabla14[[#This Row],[Resposable]]</f>
        <v>104Cesar Roque</v>
      </c>
      <c r="L463" t="str">
        <f>Tabla14[[#This Row],[id]]&amp;Tabla14[[#This Row],[Resposable]]</f>
        <v>104Cesar Roque</v>
      </c>
      <c r="M463" t="s">
        <v>241</v>
      </c>
    </row>
    <row r="464" spans="1:13" x14ac:dyDescent="0.25">
      <c r="A464" t="s">
        <v>25</v>
      </c>
      <c r="B464">
        <v>104</v>
      </c>
      <c r="C464" t="s">
        <v>5</v>
      </c>
      <c r="D464" t="s">
        <v>159</v>
      </c>
      <c r="E464" t="s">
        <v>47</v>
      </c>
      <c r="F464" s="4" t="s">
        <v>96</v>
      </c>
      <c r="G464" t="s">
        <v>239</v>
      </c>
      <c r="H464" t="s">
        <v>241</v>
      </c>
      <c r="I464" t="s">
        <v>382</v>
      </c>
      <c r="J464" t="s">
        <v>363</v>
      </c>
      <c r="K464" t="str">
        <f>Tabla14[[#This Row],[id]]&amp;Tabla14[[#This Row],[Resposable]]</f>
        <v>104Cesar Roque</v>
      </c>
      <c r="L464" t="str">
        <f>Tabla14[[#This Row],[id]]&amp;Tabla14[[#This Row],[Resposable]]</f>
        <v>104Cesar Roque</v>
      </c>
      <c r="M464" t="s">
        <v>241</v>
      </c>
    </row>
    <row r="465" spans="1:13" x14ac:dyDescent="0.25">
      <c r="A465" t="s">
        <v>25</v>
      </c>
      <c r="B465">
        <v>104</v>
      </c>
      <c r="C465" t="s">
        <v>8</v>
      </c>
      <c r="D465" t="s">
        <v>57</v>
      </c>
      <c r="E465" t="s">
        <v>47</v>
      </c>
      <c r="F465" s="4" t="s">
        <v>71</v>
      </c>
      <c r="G465" t="s">
        <v>239</v>
      </c>
      <c r="H465" t="s">
        <v>241</v>
      </c>
      <c r="I465" t="s">
        <v>382</v>
      </c>
      <c r="J465" t="s">
        <v>363</v>
      </c>
      <c r="K465" t="str">
        <f>Tabla14[[#This Row],[id]]&amp;Tabla14[[#This Row],[Resposable]]</f>
        <v>104Cesar Roque</v>
      </c>
      <c r="L465" t="str">
        <f>Tabla14[[#This Row],[id]]&amp;Tabla14[[#This Row],[Resposable]]</f>
        <v>104Cesar Roque</v>
      </c>
      <c r="M465" t="s">
        <v>241</v>
      </c>
    </row>
    <row r="466" spans="1:13" x14ac:dyDescent="0.25">
      <c r="A466" t="s">
        <v>25</v>
      </c>
      <c r="B466">
        <v>104</v>
      </c>
      <c r="C466" t="s">
        <v>5</v>
      </c>
      <c r="D466" t="s">
        <v>160</v>
      </c>
      <c r="E466" t="s">
        <v>47</v>
      </c>
      <c r="F466" s="4" t="s">
        <v>48</v>
      </c>
      <c r="G466" t="s">
        <v>239</v>
      </c>
      <c r="H466" t="s">
        <v>241</v>
      </c>
      <c r="I466" t="s">
        <v>382</v>
      </c>
      <c r="J466" t="s">
        <v>363</v>
      </c>
      <c r="K466" t="str">
        <f>Tabla14[[#This Row],[id]]&amp;Tabla14[[#This Row],[Resposable]]</f>
        <v>104Cesar Roque</v>
      </c>
      <c r="L466" t="str">
        <f>Tabla14[[#This Row],[id]]&amp;Tabla14[[#This Row],[Resposable]]</f>
        <v>104Cesar Roque</v>
      </c>
      <c r="M466" t="s">
        <v>241</v>
      </c>
    </row>
    <row r="467" spans="1:13" x14ac:dyDescent="0.25">
      <c r="A467" t="s">
        <v>28</v>
      </c>
      <c r="B467">
        <v>104</v>
      </c>
      <c r="C467" t="s">
        <v>7</v>
      </c>
      <c r="D467" t="s">
        <v>169</v>
      </c>
      <c r="E467" t="s">
        <v>54</v>
      </c>
      <c r="F467" s="4" t="s">
        <v>89</v>
      </c>
      <c r="G467" t="s">
        <v>239</v>
      </c>
      <c r="H467" t="s">
        <v>241</v>
      </c>
      <c r="I467" t="s">
        <v>382</v>
      </c>
      <c r="J467" t="s">
        <v>363</v>
      </c>
      <c r="K467" t="str">
        <f>Tabla14[[#This Row],[id]]&amp;Tabla14[[#This Row],[Resposable]]</f>
        <v>104Cesar Roque</v>
      </c>
      <c r="L467" t="str">
        <f>Tabla14[[#This Row],[id]]&amp;Tabla14[[#This Row],[Resposable]]</f>
        <v>104Cesar Roque</v>
      </c>
      <c r="M467" t="s">
        <v>241</v>
      </c>
    </row>
    <row r="468" spans="1:13" x14ac:dyDescent="0.25">
      <c r="A468" t="s">
        <v>27</v>
      </c>
      <c r="B468">
        <v>109</v>
      </c>
      <c r="C468" t="s">
        <v>7</v>
      </c>
      <c r="D468" t="s">
        <v>66</v>
      </c>
      <c r="E468" t="s">
        <v>47</v>
      </c>
      <c r="F468" s="4" t="s">
        <v>82</v>
      </c>
      <c r="G468" t="s">
        <v>239</v>
      </c>
      <c r="H468" t="s">
        <v>241</v>
      </c>
      <c r="I468" t="s">
        <v>382</v>
      </c>
      <c r="J468" t="s">
        <v>363</v>
      </c>
      <c r="K468" t="str">
        <f>Tabla14[[#This Row],[id]]&amp;Tabla14[[#This Row],[Resposable]]</f>
        <v>109Cesar Roque</v>
      </c>
      <c r="L468" t="str">
        <f>Tabla14[[#This Row],[id]]&amp;Tabla14[[#This Row],[Resposable]]</f>
        <v>109Cesar Roque</v>
      </c>
      <c r="M468" t="s">
        <v>241</v>
      </c>
    </row>
    <row r="469" spans="1:13" x14ac:dyDescent="0.25">
      <c r="A469" t="s">
        <v>27</v>
      </c>
      <c r="B469">
        <v>109</v>
      </c>
      <c r="C469" t="s">
        <v>7</v>
      </c>
      <c r="D469" t="s">
        <v>161</v>
      </c>
      <c r="E469" t="s">
        <v>47</v>
      </c>
      <c r="F469" s="4" t="s">
        <v>82</v>
      </c>
      <c r="G469" t="s">
        <v>239</v>
      </c>
      <c r="H469" t="s">
        <v>241</v>
      </c>
      <c r="I469" t="s">
        <v>382</v>
      </c>
      <c r="J469" t="s">
        <v>363</v>
      </c>
      <c r="K469" t="str">
        <f>Tabla14[[#This Row],[id]]&amp;Tabla14[[#This Row],[Resposable]]</f>
        <v>109Cesar Roque</v>
      </c>
      <c r="L469" t="str">
        <f>Tabla14[[#This Row],[id]]&amp;Tabla14[[#This Row],[Resposable]]</f>
        <v>109Cesar Roque</v>
      </c>
      <c r="M469" t="s">
        <v>241</v>
      </c>
    </row>
    <row r="470" spans="1:13" x14ac:dyDescent="0.25">
      <c r="A470" t="s">
        <v>27</v>
      </c>
      <c r="B470">
        <v>109</v>
      </c>
      <c r="C470" t="s">
        <v>7</v>
      </c>
      <c r="D470" t="s">
        <v>134</v>
      </c>
      <c r="E470" t="s">
        <v>47</v>
      </c>
      <c r="F470" s="4" t="s">
        <v>71</v>
      </c>
      <c r="G470" t="s">
        <v>239</v>
      </c>
      <c r="H470" t="s">
        <v>241</v>
      </c>
      <c r="I470" t="s">
        <v>382</v>
      </c>
      <c r="J470" t="s">
        <v>363</v>
      </c>
      <c r="K470" t="str">
        <f>Tabla14[[#This Row],[id]]&amp;Tabla14[[#This Row],[Resposable]]</f>
        <v>109Cesar Roque</v>
      </c>
      <c r="L470" t="str">
        <f>Tabla14[[#This Row],[id]]&amp;Tabla14[[#This Row],[Resposable]]</f>
        <v>109Cesar Roque</v>
      </c>
      <c r="M470" t="s">
        <v>241</v>
      </c>
    </row>
    <row r="471" spans="1:13" x14ac:dyDescent="0.25">
      <c r="A471" t="s">
        <v>27</v>
      </c>
      <c r="B471">
        <v>109</v>
      </c>
      <c r="C471" t="s">
        <v>7</v>
      </c>
      <c r="D471" t="s">
        <v>164</v>
      </c>
      <c r="E471" t="s">
        <v>47</v>
      </c>
      <c r="F471" s="4" t="s">
        <v>82</v>
      </c>
      <c r="G471" t="s">
        <v>239</v>
      </c>
      <c r="H471" t="s">
        <v>241</v>
      </c>
      <c r="I471" t="s">
        <v>382</v>
      </c>
      <c r="J471" t="s">
        <v>363</v>
      </c>
      <c r="K471" t="str">
        <f>Tabla14[[#This Row],[id]]&amp;Tabla14[[#This Row],[Resposable]]</f>
        <v>109Cesar Roque</v>
      </c>
      <c r="L471" t="str">
        <f>Tabla14[[#This Row],[id]]&amp;Tabla14[[#This Row],[Resposable]]</f>
        <v>109Cesar Roque</v>
      </c>
      <c r="M471" t="s">
        <v>241</v>
      </c>
    </row>
    <row r="472" spans="1:13" x14ac:dyDescent="0.25">
      <c r="A472" t="s">
        <v>27</v>
      </c>
      <c r="B472">
        <v>109</v>
      </c>
      <c r="C472" t="s">
        <v>8</v>
      </c>
      <c r="D472" t="s">
        <v>80</v>
      </c>
      <c r="E472" t="s">
        <v>47</v>
      </c>
      <c r="F472" s="4" t="s">
        <v>82</v>
      </c>
      <c r="G472" t="s">
        <v>239</v>
      </c>
      <c r="H472" t="s">
        <v>241</v>
      </c>
      <c r="I472" t="s">
        <v>382</v>
      </c>
      <c r="J472" t="s">
        <v>363</v>
      </c>
      <c r="K472" t="str">
        <f>Tabla14[[#This Row],[id]]&amp;Tabla14[[#This Row],[Resposable]]</f>
        <v>109Cesar Roque</v>
      </c>
      <c r="L472" t="str">
        <f>Tabla14[[#This Row],[id]]&amp;Tabla14[[#This Row],[Resposable]]</f>
        <v>109Cesar Roque</v>
      </c>
      <c r="M472" t="s">
        <v>241</v>
      </c>
    </row>
    <row r="473" spans="1:13" x14ac:dyDescent="0.25">
      <c r="A473" t="s">
        <v>27</v>
      </c>
      <c r="B473">
        <v>109</v>
      </c>
      <c r="C473" t="s">
        <v>20</v>
      </c>
      <c r="D473" t="s">
        <v>166</v>
      </c>
      <c r="E473" t="s">
        <v>47</v>
      </c>
      <c r="F473" s="4" t="s">
        <v>167</v>
      </c>
      <c r="G473" t="s">
        <v>239</v>
      </c>
      <c r="H473" t="s">
        <v>241</v>
      </c>
      <c r="I473" t="s">
        <v>382</v>
      </c>
      <c r="J473" t="s">
        <v>363</v>
      </c>
      <c r="K473" t="str">
        <f>Tabla14[[#This Row],[id]]&amp;Tabla14[[#This Row],[Resposable]]</f>
        <v>109Cesar Roque</v>
      </c>
      <c r="L473" t="str">
        <f>Tabla14[[#This Row],[id]]&amp;Tabla14[[#This Row],[Resposable]]</f>
        <v>109Cesar Roque</v>
      </c>
      <c r="M473" t="s">
        <v>241</v>
      </c>
    </row>
    <row r="474" spans="1:13" x14ac:dyDescent="0.25">
      <c r="A474" t="s">
        <v>27</v>
      </c>
      <c r="B474">
        <v>109</v>
      </c>
      <c r="C474" t="s">
        <v>7</v>
      </c>
      <c r="D474" t="s">
        <v>168</v>
      </c>
      <c r="E474" t="s">
        <v>47</v>
      </c>
      <c r="F474" s="4" t="s">
        <v>71</v>
      </c>
      <c r="G474" t="s">
        <v>239</v>
      </c>
      <c r="H474" t="s">
        <v>241</v>
      </c>
      <c r="I474" t="s">
        <v>382</v>
      </c>
      <c r="J474" t="s">
        <v>363</v>
      </c>
      <c r="K474" t="str">
        <f>Tabla14[[#This Row],[id]]&amp;Tabla14[[#This Row],[Resposable]]</f>
        <v>109Cesar Roque</v>
      </c>
      <c r="L474" t="str">
        <f>Tabla14[[#This Row],[id]]&amp;Tabla14[[#This Row],[Resposable]]</f>
        <v>109Cesar Roque</v>
      </c>
      <c r="M474" t="s">
        <v>241</v>
      </c>
    </row>
    <row r="475" spans="1:13" x14ac:dyDescent="0.25">
      <c r="A475" t="s">
        <v>27</v>
      </c>
      <c r="B475">
        <v>109</v>
      </c>
      <c r="C475" t="s">
        <v>8</v>
      </c>
      <c r="D475" t="s">
        <v>57</v>
      </c>
      <c r="E475" t="s">
        <v>47</v>
      </c>
      <c r="F475" s="4" t="s">
        <v>82</v>
      </c>
      <c r="G475" t="s">
        <v>239</v>
      </c>
      <c r="H475" t="s">
        <v>241</v>
      </c>
      <c r="I475" t="s">
        <v>382</v>
      </c>
      <c r="J475" t="s">
        <v>363</v>
      </c>
      <c r="K475" t="str">
        <f>Tabla14[[#This Row],[id]]&amp;Tabla14[[#This Row],[Resposable]]</f>
        <v>109Cesar Roque</v>
      </c>
      <c r="L475" t="str">
        <f>Tabla14[[#This Row],[id]]&amp;Tabla14[[#This Row],[Resposable]]</f>
        <v>109Cesar Roque</v>
      </c>
      <c r="M475" t="s">
        <v>241</v>
      </c>
    </row>
    <row r="476" spans="1:13" x14ac:dyDescent="0.25">
      <c r="A476" t="s">
        <v>31</v>
      </c>
      <c r="B476">
        <v>133</v>
      </c>
      <c r="C476" t="s">
        <v>18</v>
      </c>
      <c r="D476" t="s">
        <v>187</v>
      </c>
      <c r="E476" t="s">
        <v>47</v>
      </c>
      <c r="F476" s="4" t="s">
        <v>48</v>
      </c>
      <c r="G476" t="s">
        <v>239</v>
      </c>
      <c r="H476" t="s">
        <v>241</v>
      </c>
      <c r="I476" t="s">
        <v>382</v>
      </c>
      <c r="J476" t="s">
        <v>363</v>
      </c>
      <c r="K476" t="str">
        <f>Tabla14[[#This Row],[id]]&amp;Tabla14[[#This Row],[Resposable]]</f>
        <v>133Cesar Roque</v>
      </c>
      <c r="L476" t="str">
        <f>Tabla14[[#This Row],[id]]&amp;Tabla14[[#This Row],[Resposable]]</f>
        <v>133Cesar Roque</v>
      </c>
      <c r="M476" t="s">
        <v>241</v>
      </c>
    </row>
    <row r="477" spans="1:13" x14ac:dyDescent="0.25">
      <c r="A477" t="s">
        <v>31</v>
      </c>
      <c r="B477">
        <v>133</v>
      </c>
      <c r="C477" t="s">
        <v>8</v>
      </c>
      <c r="D477" t="s">
        <v>188</v>
      </c>
      <c r="E477" t="s">
        <v>47</v>
      </c>
      <c r="F477" s="4" t="s">
        <v>71</v>
      </c>
      <c r="G477" t="s">
        <v>239</v>
      </c>
      <c r="H477" t="s">
        <v>241</v>
      </c>
      <c r="I477" t="s">
        <v>382</v>
      </c>
      <c r="J477" t="s">
        <v>363</v>
      </c>
      <c r="K477" t="str">
        <f>Tabla14[[#This Row],[id]]&amp;Tabla14[[#This Row],[Resposable]]</f>
        <v>133Cesar Roque</v>
      </c>
      <c r="L477" t="str">
        <f>Tabla14[[#This Row],[id]]&amp;Tabla14[[#This Row],[Resposable]]</f>
        <v>133Cesar Roque</v>
      </c>
      <c r="M477" t="s">
        <v>241</v>
      </c>
    </row>
    <row r="478" spans="1:13" x14ac:dyDescent="0.25">
      <c r="A478" t="s">
        <v>31</v>
      </c>
      <c r="B478">
        <v>133</v>
      </c>
      <c r="C478" t="s">
        <v>7</v>
      </c>
      <c r="D478" t="s">
        <v>189</v>
      </c>
      <c r="E478" t="s">
        <v>47</v>
      </c>
      <c r="F478" s="4" t="s">
        <v>77</v>
      </c>
      <c r="G478" t="s">
        <v>239</v>
      </c>
      <c r="H478" t="s">
        <v>241</v>
      </c>
      <c r="I478" t="s">
        <v>382</v>
      </c>
      <c r="J478" t="s">
        <v>363</v>
      </c>
      <c r="K478" t="str">
        <f>Tabla14[[#This Row],[id]]&amp;Tabla14[[#This Row],[Resposable]]</f>
        <v>133Cesar Roque</v>
      </c>
      <c r="L478" t="str">
        <f>Tabla14[[#This Row],[id]]&amp;Tabla14[[#This Row],[Resposable]]</f>
        <v>133Cesar Roque</v>
      </c>
      <c r="M478" t="s">
        <v>241</v>
      </c>
    </row>
    <row r="479" spans="1:13" x14ac:dyDescent="0.25">
      <c r="A479" t="s">
        <v>31</v>
      </c>
      <c r="B479">
        <v>133</v>
      </c>
      <c r="C479" t="s">
        <v>7</v>
      </c>
      <c r="D479" t="s">
        <v>190</v>
      </c>
      <c r="E479" t="s">
        <v>47</v>
      </c>
      <c r="F479" s="4" t="s">
        <v>71</v>
      </c>
      <c r="G479" t="s">
        <v>239</v>
      </c>
      <c r="H479" t="s">
        <v>241</v>
      </c>
      <c r="I479" t="s">
        <v>382</v>
      </c>
      <c r="J479" t="s">
        <v>363</v>
      </c>
      <c r="K479" t="str">
        <f>Tabla14[[#This Row],[id]]&amp;Tabla14[[#This Row],[Resposable]]</f>
        <v>133Cesar Roque</v>
      </c>
      <c r="L479" t="str">
        <f>Tabla14[[#This Row],[id]]&amp;Tabla14[[#This Row],[Resposable]]</f>
        <v>133Cesar Roque</v>
      </c>
      <c r="M479" t="s">
        <v>241</v>
      </c>
    </row>
    <row r="480" spans="1:13" x14ac:dyDescent="0.25">
      <c r="A480" t="s">
        <v>31</v>
      </c>
      <c r="B480">
        <v>133</v>
      </c>
      <c r="C480" t="s">
        <v>7</v>
      </c>
      <c r="D480" t="s">
        <v>191</v>
      </c>
      <c r="E480" t="s">
        <v>47</v>
      </c>
      <c r="F480" s="4" t="s">
        <v>77</v>
      </c>
      <c r="G480" t="s">
        <v>239</v>
      </c>
      <c r="H480" t="s">
        <v>241</v>
      </c>
      <c r="I480" t="s">
        <v>382</v>
      </c>
      <c r="J480" t="s">
        <v>363</v>
      </c>
      <c r="K480" t="str">
        <f>Tabla14[[#This Row],[id]]&amp;Tabla14[[#This Row],[Resposable]]</f>
        <v>133Cesar Roque</v>
      </c>
      <c r="L480" t="str">
        <f>Tabla14[[#This Row],[id]]&amp;Tabla14[[#This Row],[Resposable]]</f>
        <v>133Cesar Roque</v>
      </c>
      <c r="M480" t="s">
        <v>241</v>
      </c>
    </row>
    <row r="481" spans="1:13" x14ac:dyDescent="0.25">
      <c r="A481" t="s">
        <v>31</v>
      </c>
      <c r="B481">
        <v>133</v>
      </c>
      <c r="C481" t="s">
        <v>20</v>
      </c>
      <c r="D481" t="s">
        <v>192</v>
      </c>
      <c r="E481" t="s">
        <v>47</v>
      </c>
      <c r="F481" s="4" t="s">
        <v>82</v>
      </c>
      <c r="G481" t="s">
        <v>239</v>
      </c>
      <c r="H481" t="s">
        <v>241</v>
      </c>
      <c r="I481" t="s">
        <v>382</v>
      </c>
      <c r="J481" t="s">
        <v>363</v>
      </c>
      <c r="K481" t="str">
        <f>Tabla14[[#This Row],[id]]&amp;Tabla14[[#This Row],[Resposable]]</f>
        <v>133Cesar Roque</v>
      </c>
      <c r="L481" t="str">
        <f>Tabla14[[#This Row],[id]]&amp;Tabla14[[#This Row],[Resposable]]</f>
        <v>133Cesar Roque</v>
      </c>
      <c r="M481" t="s">
        <v>241</v>
      </c>
    </row>
    <row r="482" spans="1:13" x14ac:dyDescent="0.25">
      <c r="A482" t="s">
        <v>369</v>
      </c>
      <c r="B482">
        <v>179</v>
      </c>
      <c r="C482" t="s">
        <v>7</v>
      </c>
      <c r="D482" t="s">
        <v>73</v>
      </c>
      <c r="E482" s="18" t="s">
        <v>47</v>
      </c>
      <c r="F482" s="4" t="s">
        <v>48</v>
      </c>
      <c r="G482" s="18" t="s">
        <v>239</v>
      </c>
      <c r="H482" t="s">
        <v>241</v>
      </c>
      <c r="I482" t="s">
        <v>382</v>
      </c>
      <c r="J482" t="s">
        <v>363</v>
      </c>
      <c r="K482" t="str">
        <f>Tabla14[[#This Row],[id]]&amp;Tabla14[[#This Row],[Resposable]]</f>
        <v>179Cesar Roque</v>
      </c>
      <c r="L482" t="str">
        <f>Tabla14[[#This Row],[id]]&amp;Tabla14[[#This Row],[Resposable]]</f>
        <v>179Cesar Roque</v>
      </c>
      <c r="M482" t="s">
        <v>241</v>
      </c>
    </row>
    <row r="483" spans="1:13" x14ac:dyDescent="0.25">
      <c r="A483" t="s">
        <v>369</v>
      </c>
      <c r="B483">
        <v>179</v>
      </c>
      <c r="C483" t="s">
        <v>7</v>
      </c>
      <c r="D483" t="s">
        <v>74</v>
      </c>
      <c r="E483" s="18" t="s">
        <v>47</v>
      </c>
      <c r="F483" s="4" t="s">
        <v>48</v>
      </c>
      <c r="G483" s="18" t="s">
        <v>239</v>
      </c>
      <c r="H483" t="s">
        <v>241</v>
      </c>
      <c r="I483" t="s">
        <v>382</v>
      </c>
      <c r="J483" t="s">
        <v>363</v>
      </c>
      <c r="K483" t="str">
        <f>Tabla14[[#This Row],[id]]&amp;Tabla14[[#This Row],[Resposable]]</f>
        <v>179Cesar Roque</v>
      </c>
      <c r="L483" t="str">
        <f>Tabla14[[#This Row],[id]]&amp;Tabla14[[#This Row],[Resposable]]</f>
        <v>179Cesar Roque</v>
      </c>
      <c r="M483" t="s">
        <v>241</v>
      </c>
    </row>
    <row r="484" spans="1:13" x14ac:dyDescent="0.25">
      <c r="A484" t="s">
        <v>369</v>
      </c>
      <c r="B484">
        <v>179</v>
      </c>
      <c r="C484" t="s">
        <v>7</v>
      </c>
      <c r="D484" t="s">
        <v>75</v>
      </c>
      <c r="E484" s="18" t="s">
        <v>47</v>
      </c>
      <c r="F484" s="4" t="s">
        <v>48</v>
      </c>
      <c r="G484" s="18" t="s">
        <v>239</v>
      </c>
      <c r="H484" t="s">
        <v>241</v>
      </c>
      <c r="I484" t="s">
        <v>382</v>
      </c>
      <c r="J484" t="s">
        <v>363</v>
      </c>
      <c r="K484" t="str">
        <f>Tabla14[[#This Row],[id]]&amp;Tabla14[[#This Row],[Resposable]]</f>
        <v>179Cesar Roque</v>
      </c>
      <c r="L484" t="str">
        <f>Tabla14[[#This Row],[id]]&amp;Tabla14[[#This Row],[Resposable]]</f>
        <v>179Cesar Roque</v>
      </c>
      <c r="M484" t="s">
        <v>241</v>
      </c>
    </row>
    <row r="485" spans="1:13" x14ac:dyDescent="0.25">
      <c r="A485" t="s">
        <v>369</v>
      </c>
      <c r="B485">
        <v>179</v>
      </c>
      <c r="C485" t="s">
        <v>7</v>
      </c>
      <c r="D485" t="s">
        <v>76</v>
      </c>
      <c r="E485" s="18" t="s">
        <v>47</v>
      </c>
      <c r="F485" s="4" t="s">
        <v>77</v>
      </c>
      <c r="G485" s="18" t="s">
        <v>239</v>
      </c>
      <c r="H485" t="s">
        <v>241</v>
      </c>
      <c r="I485" t="s">
        <v>382</v>
      </c>
      <c r="J485" t="s">
        <v>363</v>
      </c>
      <c r="K485" t="str">
        <f>Tabla14[[#This Row],[id]]&amp;Tabla14[[#This Row],[Resposable]]</f>
        <v>179Cesar Roque</v>
      </c>
      <c r="L485" t="str">
        <f>Tabla14[[#This Row],[id]]&amp;Tabla14[[#This Row],[Resposable]]</f>
        <v>179Cesar Roque</v>
      </c>
      <c r="M485" t="s">
        <v>241</v>
      </c>
    </row>
    <row r="486" spans="1:13" x14ac:dyDescent="0.25">
      <c r="A486" t="s">
        <v>10</v>
      </c>
      <c r="B486">
        <v>16</v>
      </c>
      <c r="C486" t="s">
        <v>7</v>
      </c>
      <c r="D486" t="s">
        <v>66</v>
      </c>
      <c r="E486" t="s">
        <v>47</v>
      </c>
      <c r="F486" s="4" t="s">
        <v>58</v>
      </c>
      <c r="G486" t="s">
        <v>239</v>
      </c>
      <c r="H486" t="s">
        <v>300</v>
      </c>
      <c r="I486" t="s">
        <v>382</v>
      </c>
      <c r="J486" t="s">
        <v>363</v>
      </c>
      <c r="K486" t="str">
        <f>Tabla14[[#This Row],[id]]&amp;Tabla14[[#This Row],[Resposable]]</f>
        <v>16Cesar Roque</v>
      </c>
      <c r="L486" t="str">
        <f>Tabla14[[#This Row],[id]]&amp;Tabla14[[#This Row],[Resposable]]</f>
        <v>16Cesar Roque</v>
      </c>
      <c r="M486" t="s">
        <v>300</v>
      </c>
    </row>
    <row r="487" spans="1:13" x14ac:dyDescent="0.25">
      <c r="A487" t="s">
        <v>10</v>
      </c>
      <c r="B487">
        <v>16</v>
      </c>
      <c r="C487" t="s">
        <v>8</v>
      </c>
      <c r="D487" t="s">
        <v>57</v>
      </c>
      <c r="E487" t="s">
        <v>47</v>
      </c>
      <c r="F487" s="4" t="s">
        <v>71</v>
      </c>
      <c r="G487" t="s">
        <v>239</v>
      </c>
      <c r="H487" t="s">
        <v>300</v>
      </c>
      <c r="I487" t="s">
        <v>382</v>
      </c>
      <c r="J487" t="s">
        <v>363</v>
      </c>
      <c r="K487" t="str">
        <f>Tabla14[[#This Row],[id]]&amp;Tabla14[[#This Row],[Resposable]]</f>
        <v>16Cesar Roque</v>
      </c>
      <c r="L487" t="str">
        <f>Tabla14[[#This Row],[id]]&amp;Tabla14[[#This Row],[Resposable]]</f>
        <v>16Cesar Roque</v>
      </c>
      <c r="M487" t="s">
        <v>300</v>
      </c>
    </row>
    <row r="488" spans="1:13" x14ac:dyDescent="0.25">
      <c r="A488" t="s">
        <v>309</v>
      </c>
      <c r="B488">
        <v>66</v>
      </c>
      <c r="C488" t="s">
        <v>7</v>
      </c>
      <c r="D488" t="s">
        <v>99</v>
      </c>
      <c r="E488" t="s">
        <v>47</v>
      </c>
      <c r="F488" s="4" t="s">
        <v>48</v>
      </c>
      <c r="G488" t="s">
        <v>239</v>
      </c>
      <c r="H488" t="s">
        <v>300</v>
      </c>
      <c r="I488" t="s">
        <v>382</v>
      </c>
      <c r="J488" t="s">
        <v>363</v>
      </c>
      <c r="K488" t="str">
        <f>Tabla14[[#This Row],[id]]&amp;Tabla14[[#This Row],[Resposable]]</f>
        <v>66Cesar Roque</v>
      </c>
      <c r="L488" t="str">
        <f>Tabla14[[#This Row],[id]]&amp;Tabla14[[#This Row],[Resposable]]</f>
        <v>66Cesar Roque</v>
      </c>
      <c r="M488" t="s">
        <v>300</v>
      </c>
    </row>
    <row r="489" spans="1:13" x14ac:dyDescent="0.25">
      <c r="A489" t="s">
        <v>309</v>
      </c>
      <c r="B489">
        <v>66</v>
      </c>
      <c r="C489" t="s">
        <v>8</v>
      </c>
      <c r="D489" t="s">
        <v>100</v>
      </c>
      <c r="E489" t="s">
        <v>47</v>
      </c>
      <c r="F489" s="4" t="s">
        <v>82</v>
      </c>
      <c r="G489" t="s">
        <v>239</v>
      </c>
      <c r="H489" t="s">
        <v>300</v>
      </c>
      <c r="I489" t="s">
        <v>382</v>
      </c>
      <c r="J489" t="s">
        <v>363</v>
      </c>
      <c r="K489" t="str">
        <f>Tabla14[[#This Row],[id]]&amp;Tabla14[[#This Row],[Resposable]]</f>
        <v>66Cesar Roque</v>
      </c>
      <c r="L489" t="str">
        <f>Tabla14[[#This Row],[id]]&amp;Tabla14[[#This Row],[Resposable]]</f>
        <v>66Cesar Roque</v>
      </c>
      <c r="M489" t="s">
        <v>300</v>
      </c>
    </row>
    <row r="490" spans="1:13" x14ac:dyDescent="0.25">
      <c r="A490" t="s">
        <v>309</v>
      </c>
      <c r="B490">
        <v>66</v>
      </c>
      <c r="C490" t="s">
        <v>5</v>
      </c>
      <c r="D490" t="s">
        <v>102</v>
      </c>
      <c r="E490" t="s">
        <v>47</v>
      </c>
      <c r="F490" s="4" t="s">
        <v>65</v>
      </c>
      <c r="G490" t="s">
        <v>239</v>
      </c>
      <c r="H490" t="s">
        <v>300</v>
      </c>
      <c r="I490" t="s">
        <v>382</v>
      </c>
      <c r="J490" t="s">
        <v>363</v>
      </c>
      <c r="K490" t="str">
        <f>Tabla14[[#This Row],[id]]&amp;Tabla14[[#This Row],[Resposable]]</f>
        <v>66Cesar Roque</v>
      </c>
      <c r="L490" t="str">
        <f>Tabla14[[#This Row],[id]]&amp;Tabla14[[#This Row],[Resposable]]</f>
        <v>66Cesar Roque</v>
      </c>
      <c r="M490" t="s">
        <v>300</v>
      </c>
    </row>
    <row r="491" spans="1:13" x14ac:dyDescent="0.25">
      <c r="A491" t="s">
        <v>309</v>
      </c>
      <c r="B491">
        <v>66</v>
      </c>
      <c r="C491" t="s">
        <v>8</v>
      </c>
      <c r="D491" t="s">
        <v>80</v>
      </c>
      <c r="E491" t="s">
        <v>47</v>
      </c>
      <c r="F491" s="4" t="s">
        <v>82</v>
      </c>
      <c r="G491" t="s">
        <v>239</v>
      </c>
      <c r="H491" t="s">
        <v>300</v>
      </c>
      <c r="I491" t="s">
        <v>382</v>
      </c>
      <c r="J491" t="s">
        <v>363</v>
      </c>
      <c r="K491" t="str">
        <f>Tabla14[[#This Row],[id]]&amp;Tabla14[[#This Row],[Resposable]]</f>
        <v>66Cesar Roque</v>
      </c>
      <c r="L491" t="str">
        <f>Tabla14[[#This Row],[id]]&amp;Tabla14[[#This Row],[Resposable]]</f>
        <v>66Cesar Roque</v>
      </c>
      <c r="M491" t="s">
        <v>300</v>
      </c>
    </row>
    <row r="492" spans="1:13" x14ac:dyDescent="0.25">
      <c r="A492" t="s">
        <v>309</v>
      </c>
      <c r="B492">
        <v>66</v>
      </c>
      <c r="C492" t="s">
        <v>20</v>
      </c>
      <c r="D492" t="s">
        <v>103</v>
      </c>
      <c r="E492" t="s">
        <v>47</v>
      </c>
      <c r="F492" s="4" t="s">
        <v>48</v>
      </c>
      <c r="G492" t="s">
        <v>239</v>
      </c>
      <c r="H492" t="s">
        <v>300</v>
      </c>
      <c r="I492" t="s">
        <v>382</v>
      </c>
      <c r="J492" t="s">
        <v>363</v>
      </c>
      <c r="K492" t="str">
        <f>Tabla14[[#This Row],[id]]&amp;Tabla14[[#This Row],[Resposable]]</f>
        <v>66Cesar Roque</v>
      </c>
      <c r="L492" t="str">
        <f>Tabla14[[#This Row],[id]]&amp;Tabla14[[#This Row],[Resposable]]</f>
        <v>66Cesar Roque</v>
      </c>
      <c r="M492" t="s">
        <v>300</v>
      </c>
    </row>
    <row r="493" spans="1:13" x14ac:dyDescent="0.25">
      <c r="A493" t="s">
        <v>309</v>
      </c>
      <c r="B493">
        <v>66</v>
      </c>
      <c r="C493" t="s">
        <v>8</v>
      </c>
      <c r="D493" t="s">
        <v>57</v>
      </c>
      <c r="E493" t="s">
        <v>47</v>
      </c>
      <c r="F493" s="4" t="s">
        <v>82</v>
      </c>
      <c r="G493" t="s">
        <v>239</v>
      </c>
      <c r="H493" t="s">
        <v>300</v>
      </c>
      <c r="I493" t="s">
        <v>382</v>
      </c>
      <c r="J493" t="s">
        <v>363</v>
      </c>
      <c r="K493" t="str">
        <f>Tabla14[[#This Row],[id]]&amp;Tabla14[[#This Row],[Resposable]]</f>
        <v>66Cesar Roque</v>
      </c>
      <c r="L493" t="str">
        <f>Tabla14[[#This Row],[id]]&amp;Tabla14[[#This Row],[Resposable]]</f>
        <v>66Cesar Roque</v>
      </c>
      <c r="M493" t="s">
        <v>300</v>
      </c>
    </row>
    <row r="494" spans="1:13" x14ac:dyDescent="0.25">
      <c r="A494" t="s">
        <v>309</v>
      </c>
      <c r="B494">
        <v>66</v>
      </c>
      <c r="C494" t="s">
        <v>7</v>
      </c>
      <c r="D494" t="s">
        <v>104</v>
      </c>
      <c r="E494" t="s">
        <v>47</v>
      </c>
      <c r="F494" s="4" t="s">
        <v>48</v>
      </c>
      <c r="G494" t="s">
        <v>239</v>
      </c>
      <c r="H494" t="s">
        <v>300</v>
      </c>
      <c r="I494" t="s">
        <v>382</v>
      </c>
      <c r="J494" t="s">
        <v>363</v>
      </c>
      <c r="K494" t="str">
        <f>Tabla14[[#This Row],[id]]&amp;Tabla14[[#This Row],[Resposable]]</f>
        <v>66Cesar Roque</v>
      </c>
      <c r="L494" t="str">
        <f>Tabla14[[#This Row],[id]]&amp;Tabla14[[#This Row],[Resposable]]</f>
        <v>66Cesar Roque</v>
      </c>
      <c r="M494" t="s">
        <v>300</v>
      </c>
    </row>
    <row r="495" spans="1:13" x14ac:dyDescent="0.25">
      <c r="A495" t="s">
        <v>31</v>
      </c>
      <c r="B495">
        <v>134</v>
      </c>
      <c r="C495" t="s">
        <v>18</v>
      </c>
      <c r="D495" t="s">
        <v>187</v>
      </c>
      <c r="E495" t="s">
        <v>47</v>
      </c>
      <c r="F495" s="4" t="s">
        <v>48</v>
      </c>
      <c r="G495" t="s">
        <v>239</v>
      </c>
      <c r="H495" t="s">
        <v>300</v>
      </c>
      <c r="I495" t="s">
        <v>382</v>
      </c>
      <c r="J495" t="s">
        <v>363</v>
      </c>
      <c r="K495" t="str">
        <f>Tabla14[[#This Row],[id]]&amp;Tabla14[[#This Row],[Resposable]]</f>
        <v>134Cesar Roque</v>
      </c>
      <c r="L495" t="str">
        <f>Tabla14[[#This Row],[id]]&amp;Tabla14[[#This Row],[Resposable]]</f>
        <v>134Cesar Roque</v>
      </c>
      <c r="M495" t="s">
        <v>300</v>
      </c>
    </row>
    <row r="496" spans="1:13" x14ac:dyDescent="0.25">
      <c r="A496" t="s">
        <v>31</v>
      </c>
      <c r="B496">
        <v>134</v>
      </c>
      <c r="C496" t="s">
        <v>8</v>
      </c>
      <c r="D496" t="s">
        <v>188</v>
      </c>
      <c r="E496" t="s">
        <v>47</v>
      </c>
      <c r="F496" s="4" t="s">
        <v>71</v>
      </c>
      <c r="G496" t="s">
        <v>239</v>
      </c>
      <c r="H496" t="s">
        <v>300</v>
      </c>
      <c r="I496" t="s">
        <v>382</v>
      </c>
      <c r="J496" t="s">
        <v>363</v>
      </c>
      <c r="K496" t="str">
        <f>Tabla14[[#This Row],[id]]&amp;Tabla14[[#This Row],[Resposable]]</f>
        <v>134Cesar Roque</v>
      </c>
      <c r="L496" t="str">
        <f>Tabla14[[#This Row],[id]]&amp;Tabla14[[#This Row],[Resposable]]</f>
        <v>134Cesar Roque</v>
      </c>
      <c r="M496" t="s">
        <v>300</v>
      </c>
    </row>
    <row r="497" spans="1:13" x14ac:dyDescent="0.25">
      <c r="A497" t="s">
        <v>31</v>
      </c>
      <c r="B497">
        <v>134</v>
      </c>
      <c r="C497" t="s">
        <v>7</v>
      </c>
      <c r="D497" t="s">
        <v>189</v>
      </c>
      <c r="E497" t="s">
        <v>47</v>
      </c>
      <c r="F497" s="4" t="s">
        <v>77</v>
      </c>
      <c r="G497" t="s">
        <v>239</v>
      </c>
      <c r="H497" t="s">
        <v>300</v>
      </c>
      <c r="I497" t="s">
        <v>382</v>
      </c>
      <c r="J497" t="s">
        <v>363</v>
      </c>
      <c r="K497" t="str">
        <f>Tabla14[[#This Row],[id]]&amp;Tabla14[[#This Row],[Resposable]]</f>
        <v>134Cesar Roque</v>
      </c>
      <c r="L497" t="str">
        <f>Tabla14[[#This Row],[id]]&amp;Tabla14[[#This Row],[Resposable]]</f>
        <v>134Cesar Roque</v>
      </c>
      <c r="M497" t="s">
        <v>300</v>
      </c>
    </row>
    <row r="498" spans="1:13" x14ac:dyDescent="0.25">
      <c r="A498" t="s">
        <v>31</v>
      </c>
      <c r="B498">
        <v>134</v>
      </c>
      <c r="C498" t="s">
        <v>7</v>
      </c>
      <c r="D498" t="s">
        <v>190</v>
      </c>
      <c r="E498" t="s">
        <v>47</v>
      </c>
      <c r="F498" s="4" t="s">
        <v>71</v>
      </c>
      <c r="G498" t="s">
        <v>239</v>
      </c>
      <c r="H498" t="s">
        <v>300</v>
      </c>
      <c r="I498" t="s">
        <v>382</v>
      </c>
      <c r="J498" t="s">
        <v>363</v>
      </c>
      <c r="K498" t="str">
        <f>Tabla14[[#This Row],[id]]&amp;Tabla14[[#This Row],[Resposable]]</f>
        <v>134Cesar Roque</v>
      </c>
      <c r="L498" t="str">
        <f>Tabla14[[#This Row],[id]]&amp;Tabla14[[#This Row],[Resposable]]</f>
        <v>134Cesar Roque</v>
      </c>
      <c r="M498" t="s">
        <v>300</v>
      </c>
    </row>
    <row r="499" spans="1:13" x14ac:dyDescent="0.25">
      <c r="A499" t="s">
        <v>31</v>
      </c>
      <c r="B499">
        <v>134</v>
      </c>
      <c r="C499" t="s">
        <v>7</v>
      </c>
      <c r="D499" t="s">
        <v>191</v>
      </c>
      <c r="E499" t="s">
        <v>47</v>
      </c>
      <c r="F499" s="4" t="s">
        <v>77</v>
      </c>
      <c r="G499" t="s">
        <v>239</v>
      </c>
      <c r="H499" t="s">
        <v>300</v>
      </c>
      <c r="I499" t="s">
        <v>382</v>
      </c>
      <c r="J499" t="s">
        <v>363</v>
      </c>
      <c r="K499" t="str">
        <f>Tabla14[[#This Row],[id]]&amp;Tabla14[[#This Row],[Resposable]]</f>
        <v>134Cesar Roque</v>
      </c>
      <c r="L499" t="str">
        <f>Tabla14[[#This Row],[id]]&amp;Tabla14[[#This Row],[Resposable]]</f>
        <v>134Cesar Roque</v>
      </c>
      <c r="M499" t="s">
        <v>300</v>
      </c>
    </row>
    <row r="500" spans="1:13" x14ac:dyDescent="0.25">
      <c r="A500" t="s">
        <v>31</v>
      </c>
      <c r="B500">
        <v>134</v>
      </c>
      <c r="C500" t="s">
        <v>20</v>
      </c>
      <c r="D500" t="s">
        <v>192</v>
      </c>
      <c r="E500" t="s">
        <v>47</v>
      </c>
      <c r="F500" s="4" t="s">
        <v>82</v>
      </c>
      <c r="G500" t="s">
        <v>239</v>
      </c>
      <c r="H500" t="s">
        <v>300</v>
      </c>
      <c r="I500" t="s">
        <v>382</v>
      </c>
      <c r="J500" t="s">
        <v>363</v>
      </c>
      <c r="K500" t="str">
        <f>Tabla14[[#This Row],[id]]&amp;Tabla14[[#This Row],[Resposable]]</f>
        <v>134Cesar Roque</v>
      </c>
      <c r="L500" t="str">
        <f>Tabla14[[#This Row],[id]]&amp;Tabla14[[#This Row],[Resposable]]</f>
        <v>134Cesar Roque</v>
      </c>
      <c r="M500" t="s">
        <v>300</v>
      </c>
    </row>
    <row r="501" spans="1:13" x14ac:dyDescent="0.25">
      <c r="A501" t="s">
        <v>245</v>
      </c>
      <c r="B501">
        <v>1</v>
      </c>
      <c r="C501" t="s">
        <v>7</v>
      </c>
      <c r="D501" t="s">
        <v>51</v>
      </c>
      <c r="E501" t="s">
        <v>47</v>
      </c>
      <c r="F501" s="4" t="s">
        <v>50</v>
      </c>
      <c r="G501" t="s">
        <v>239</v>
      </c>
      <c r="H501" t="s">
        <v>240</v>
      </c>
      <c r="I501" t="s">
        <v>382</v>
      </c>
      <c r="J501" t="s">
        <v>363</v>
      </c>
      <c r="K501" t="str">
        <f>Tabla14[[#This Row],[id]]&amp;Tabla14[[#This Row],[Resposable]]</f>
        <v>1Cesar Roque</v>
      </c>
      <c r="L501" t="str">
        <f>Tabla14[[#This Row],[id]]&amp;Tabla14[[#This Row],[Resposable]]</f>
        <v>1Cesar Roque</v>
      </c>
      <c r="M501" t="s">
        <v>240</v>
      </c>
    </row>
    <row r="502" spans="1:13" x14ac:dyDescent="0.25">
      <c r="A502" t="s">
        <v>245</v>
      </c>
      <c r="B502">
        <v>1</v>
      </c>
      <c r="C502" t="s">
        <v>8</v>
      </c>
      <c r="D502" t="s">
        <v>55</v>
      </c>
      <c r="E502" t="s">
        <v>47</v>
      </c>
      <c r="F502" s="4" t="s">
        <v>50</v>
      </c>
      <c r="G502" t="s">
        <v>239</v>
      </c>
      <c r="H502" t="s">
        <v>240</v>
      </c>
      <c r="I502" t="s">
        <v>382</v>
      </c>
      <c r="J502" t="s">
        <v>363</v>
      </c>
      <c r="K502" t="str">
        <f>Tabla14[[#This Row],[id]]&amp;Tabla14[[#This Row],[Resposable]]</f>
        <v>1Cesar Roque</v>
      </c>
      <c r="L502" t="str">
        <f>Tabla14[[#This Row],[id]]&amp;Tabla14[[#This Row],[Resposable]]</f>
        <v>1Cesar Roque</v>
      </c>
      <c r="M502" t="s">
        <v>240</v>
      </c>
    </row>
    <row r="503" spans="1:13" x14ac:dyDescent="0.25">
      <c r="A503" t="s">
        <v>245</v>
      </c>
      <c r="B503">
        <v>1</v>
      </c>
      <c r="C503" t="s">
        <v>8</v>
      </c>
      <c r="D503" t="s">
        <v>57</v>
      </c>
      <c r="E503" t="s">
        <v>54</v>
      </c>
      <c r="F503" s="4" t="s">
        <v>50</v>
      </c>
      <c r="G503" t="s">
        <v>239</v>
      </c>
      <c r="H503" t="s">
        <v>240</v>
      </c>
      <c r="I503" t="s">
        <v>382</v>
      </c>
      <c r="J503" t="s">
        <v>363</v>
      </c>
      <c r="K503" t="str">
        <f>Tabla14[[#This Row],[id]]&amp;Tabla14[[#This Row],[Resposable]]</f>
        <v>1Cesar Roque</v>
      </c>
      <c r="L503" t="str">
        <f>Tabla14[[#This Row],[id]]&amp;Tabla14[[#This Row],[Resposable]]</f>
        <v>1Cesar Roque</v>
      </c>
      <c r="M503" t="s">
        <v>240</v>
      </c>
    </row>
    <row r="504" spans="1:13" x14ac:dyDescent="0.25">
      <c r="A504" t="s">
        <v>246</v>
      </c>
      <c r="B504">
        <v>6</v>
      </c>
      <c r="C504" t="s">
        <v>9</v>
      </c>
      <c r="D504" t="s">
        <v>61</v>
      </c>
      <c r="E504" t="s">
        <v>47</v>
      </c>
      <c r="F504" s="4" t="s">
        <v>58</v>
      </c>
      <c r="G504" t="s">
        <v>239</v>
      </c>
      <c r="H504" t="s">
        <v>240</v>
      </c>
      <c r="I504" t="s">
        <v>382</v>
      </c>
      <c r="J504" t="s">
        <v>363</v>
      </c>
      <c r="K504" t="str">
        <f>Tabla14[[#This Row],[id]]&amp;Tabla14[[#This Row],[Resposable]]</f>
        <v>6Cesar Roque</v>
      </c>
      <c r="L504" t="str">
        <f>Tabla14[[#This Row],[id]]&amp;Tabla14[[#This Row],[Resposable]]</f>
        <v>6Cesar Roque</v>
      </c>
      <c r="M504" t="s">
        <v>240</v>
      </c>
    </row>
    <row r="505" spans="1:13" x14ac:dyDescent="0.25">
      <c r="A505" t="s">
        <v>246</v>
      </c>
      <c r="B505">
        <v>6</v>
      </c>
      <c r="C505" t="s">
        <v>7</v>
      </c>
      <c r="D505" t="s">
        <v>62</v>
      </c>
      <c r="E505" t="s">
        <v>47</v>
      </c>
      <c r="F505" s="4" t="s">
        <v>48</v>
      </c>
      <c r="G505" t="s">
        <v>239</v>
      </c>
      <c r="H505" t="s">
        <v>240</v>
      </c>
      <c r="I505" t="s">
        <v>382</v>
      </c>
      <c r="J505" t="s">
        <v>363</v>
      </c>
      <c r="K505" t="str">
        <f>Tabla14[[#This Row],[id]]&amp;Tabla14[[#This Row],[Resposable]]</f>
        <v>6Cesar Roque</v>
      </c>
      <c r="L505" t="str">
        <f>Tabla14[[#This Row],[id]]&amp;Tabla14[[#This Row],[Resposable]]</f>
        <v>6Cesar Roque</v>
      </c>
      <c r="M505" t="s">
        <v>240</v>
      </c>
    </row>
    <row r="506" spans="1:13" x14ac:dyDescent="0.25">
      <c r="A506" t="s">
        <v>246</v>
      </c>
      <c r="B506">
        <v>6</v>
      </c>
      <c r="C506" t="s">
        <v>9</v>
      </c>
      <c r="D506" t="s">
        <v>63</v>
      </c>
      <c r="E506" t="s">
        <v>47</v>
      </c>
      <c r="F506" s="4" t="s">
        <v>58</v>
      </c>
      <c r="G506" t="s">
        <v>239</v>
      </c>
      <c r="H506" t="s">
        <v>240</v>
      </c>
      <c r="I506" t="s">
        <v>382</v>
      </c>
      <c r="J506" t="s">
        <v>363</v>
      </c>
      <c r="K506" t="str">
        <f>Tabla14[[#This Row],[id]]&amp;Tabla14[[#This Row],[Resposable]]</f>
        <v>6Cesar Roque</v>
      </c>
      <c r="L506" t="str">
        <f>Tabla14[[#This Row],[id]]&amp;Tabla14[[#This Row],[Resposable]]</f>
        <v>6Cesar Roque</v>
      </c>
      <c r="M506" t="s">
        <v>240</v>
      </c>
    </row>
    <row r="507" spans="1:13" x14ac:dyDescent="0.25">
      <c r="A507" t="s">
        <v>246</v>
      </c>
      <c r="B507">
        <v>6</v>
      </c>
      <c r="C507" t="s">
        <v>8</v>
      </c>
      <c r="D507" t="s">
        <v>57</v>
      </c>
      <c r="E507" t="s">
        <v>54</v>
      </c>
      <c r="F507" s="4" t="s">
        <v>48</v>
      </c>
      <c r="G507" t="s">
        <v>239</v>
      </c>
      <c r="H507" t="s">
        <v>240</v>
      </c>
      <c r="I507" t="s">
        <v>382</v>
      </c>
      <c r="J507" t="s">
        <v>363</v>
      </c>
      <c r="K507" t="str">
        <f>Tabla14[[#This Row],[id]]&amp;Tabla14[[#This Row],[Resposable]]</f>
        <v>6Cesar Roque</v>
      </c>
      <c r="L507" t="str">
        <f>Tabla14[[#This Row],[id]]&amp;Tabla14[[#This Row],[Resposable]]</f>
        <v>6Cesar Roque</v>
      </c>
      <c r="M507" t="s">
        <v>240</v>
      </c>
    </row>
    <row r="508" spans="1:13" x14ac:dyDescent="0.25">
      <c r="A508" t="s">
        <v>10</v>
      </c>
      <c r="B508">
        <v>12</v>
      </c>
      <c r="C508" t="s">
        <v>7</v>
      </c>
      <c r="D508" t="s">
        <v>66</v>
      </c>
      <c r="E508" t="s">
        <v>47</v>
      </c>
      <c r="F508" s="4" t="s">
        <v>58</v>
      </c>
      <c r="G508" t="s">
        <v>239</v>
      </c>
      <c r="H508" t="s">
        <v>240</v>
      </c>
      <c r="I508" t="s">
        <v>382</v>
      </c>
      <c r="J508" t="s">
        <v>363</v>
      </c>
      <c r="K508" t="str">
        <f>Tabla14[[#This Row],[id]]&amp;Tabla14[[#This Row],[Resposable]]</f>
        <v>12Cesar Roque</v>
      </c>
      <c r="L508" t="str">
        <f>Tabla14[[#This Row],[id]]&amp;Tabla14[[#This Row],[Resposable]]</f>
        <v>12Cesar Roque</v>
      </c>
      <c r="M508" t="s">
        <v>240</v>
      </c>
    </row>
    <row r="509" spans="1:13" x14ac:dyDescent="0.25">
      <c r="A509" t="s">
        <v>10</v>
      </c>
      <c r="B509">
        <v>12</v>
      </c>
      <c r="C509" t="s">
        <v>8</v>
      </c>
      <c r="D509" t="s">
        <v>57</v>
      </c>
      <c r="E509" t="s">
        <v>47</v>
      </c>
      <c r="F509" s="4" t="s">
        <v>71</v>
      </c>
      <c r="G509" t="s">
        <v>239</v>
      </c>
      <c r="H509" t="s">
        <v>240</v>
      </c>
      <c r="I509" t="s">
        <v>382</v>
      </c>
      <c r="J509" t="s">
        <v>363</v>
      </c>
      <c r="K509" t="str">
        <f>Tabla14[[#This Row],[id]]&amp;Tabla14[[#This Row],[Resposable]]</f>
        <v>12Cesar Roque</v>
      </c>
      <c r="L509" t="str">
        <f>Tabla14[[#This Row],[id]]&amp;Tabla14[[#This Row],[Resposable]]</f>
        <v>12Cesar Roque</v>
      </c>
      <c r="M509" t="s">
        <v>240</v>
      </c>
    </row>
    <row r="510" spans="1:13" x14ac:dyDescent="0.25">
      <c r="A510" t="s">
        <v>302</v>
      </c>
      <c r="B510">
        <v>42</v>
      </c>
      <c r="C510" t="s">
        <v>7</v>
      </c>
      <c r="D510" t="s">
        <v>66</v>
      </c>
      <c r="E510" t="s">
        <v>47</v>
      </c>
      <c r="F510" s="4" t="s">
        <v>77</v>
      </c>
      <c r="G510" t="s">
        <v>239</v>
      </c>
      <c r="H510" t="s">
        <v>240</v>
      </c>
      <c r="I510" t="s">
        <v>382</v>
      </c>
      <c r="J510" t="s">
        <v>363</v>
      </c>
      <c r="K510" t="str">
        <f>Tabla14[[#This Row],[id]]&amp;Tabla14[[#This Row],[Resposable]]</f>
        <v>42Cesar Roque</v>
      </c>
      <c r="L510" t="str">
        <f>Tabla14[[#This Row],[id]]&amp;Tabla14[[#This Row],[Resposable]]</f>
        <v>42Cesar Roque</v>
      </c>
      <c r="M510" t="s">
        <v>240</v>
      </c>
    </row>
    <row r="511" spans="1:13" x14ac:dyDescent="0.25">
      <c r="A511" t="s">
        <v>302</v>
      </c>
      <c r="B511">
        <v>42</v>
      </c>
      <c r="C511" t="s">
        <v>6</v>
      </c>
      <c r="D511" t="s">
        <v>78</v>
      </c>
      <c r="E511" t="s">
        <v>47</v>
      </c>
      <c r="F511" s="4" t="s">
        <v>50</v>
      </c>
      <c r="G511" t="s">
        <v>239</v>
      </c>
      <c r="H511" t="s">
        <v>240</v>
      </c>
      <c r="I511" t="s">
        <v>382</v>
      </c>
      <c r="J511" t="s">
        <v>363</v>
      </c>
      <c r="K511" t="str">
        <f>Tabla14[[#This Row],[id]]&amp;Tabla14[[#This Row],[Resposable]]</f>
        <v>42Cesar Roque</v>
      </c>
      <c r="L511" t="str">
        <f>Tabla14[[#This Row],[id]]&amp;Tabla14[[#This Row],[Resposable]]</f>
        <v>42Cesar Roque</v>
      </c>
      <c r="M511" t="s">
        <v>240</v>
      </c>
    </row>
    <row r="512" spans="1:13" x14ac:dyDescent="0.25">
      <c r="A512" t="s">
        <v>302</v>
      </c>
      <c r="B512">
        <v>42</v>
      </c>
      <c r="C512" t="s">
        <v>7</v>
      </c>
      <c r="D512" t="s">
        <v>79</v>
      </c>
      <c r="E512" t="s">
        <v>47</v>
      </c>
      <c r="F512" s="4" t="s">
        <v>48</v>
      </c>
      <c r="G512" t="s">
        <v>239</v>
      </c>
      <c r="H512" t="s">
        <v>240</v>
      </c>
      <c r="I512" t="s">
        <v>382</v>
      </c>
      <c r="J512" t="s">
        <v>363</v>
      </c>
      <c r="K512" t="str">
        <f>Tabla14[[#This Row],[id]]&amp;Tabla14[[#This Row],[Resposable]]</f>
        <v>42Cesar Roque</v>
      </c>
      <c r="L512" t="str">
        <f>Tabla14[[#This Row],[id]]&amp;Tabla14[[#This Row],[Resposable]]</f>
        <v>42Cesar Roque</v>
      </c>
      <c r="M512" t="s">
        <v>240</v>
      </c>
    </row>
    <row r="513" spans="1:13" x14ac:dyDescent="0.25">
      <c r="A513" t="s">
        <v>302</v>
      </c>
      <c r="B513">
        <v>42</v>
      </c>
      <c r="C513" t="s">
        <v>8</v>
      </c>
      <c r="D513" t="s">
        <v>80</v>
      </c>
      <c r="E513" t="s">
        <v>47</v>
      </c>
      <c r="F513" s="4" t="s">
        <v>48</v>
      </c>
      <c r="G513" t="s">
        <v>239</v>
      </c>
      <c r="H513" t="s">
        <v>240</v>
      </c>
      <c r="I513" t="s">
        <v>382</v>
      </c>
      <c r="J513" t="s">
        <v>363</v>
      </c>
      <c r="K513" t="str">
        <f>Tabla14[[#This Row],[id]]&amp;Tabla14[[#This Row],[Resposable]]</f>
        <v>42Cesar Roque</v>
      </c>
      <c r="L513" t="str">
        <f>Tabla14[[#This Row],[id]]&amp;Tabla14[[#This Row],[Resposable]]</f>
        <v>42Cesar Roque</v>
      </c>
      <c r="M513" t="s">
        <v>240</v>
      </c>
    </row>
    <row r="514" spans="1:13" x14ac:dyDescent="0.25">
      <c r="A514" t="s">
        <v>302</v>
      </c>
      <c r="B514">
        <v>42</v>
      </c>
      <c r="C514" t="s">
        <v>8</v>
      </c>
      <c r="D514" t="s">
        <v>81</v>
      </c>
      <c r="E514" t="s">
        <v>47</v>
      </c>
      <c r="F514" s="4" t="s">
        <v>77</v>
      </c>
      <c r="G514" t="s">
        <v>239</v>
      </c>
      <c r="H514" t="s">
        <v>240</v>
      </c>
      <c r="I514" t="s">
        <v>382</v>
      </c>
      <c r="J514" t="s">
        <v>363</v>
      </c>
      <c r="K514" t="str">
        <f>Tabla14[[#This Row],[id]]&amp;Tabla14[[#This Row],[Resposable]]</f>
        <v>42Cesar Roque</v>
      </c>
      <c r="L514" t="str">
        <f>Tabla14[[#This Row],[id]]&amp;Tabla14[[#This Row],[Resposable]]</f>
        <v>42Cesar Roque</v>
      </c>
      <c r="M514" t="s">
        <v>240</v>
      </c>
    </row>
    <row r="515" spans="1:13" x14ac:dyDescent="0.25">
      <c r="A515" t="s">
        <v>302</v>
      </c>
      <c r="B515">
        <v>42</v>
      </c>
      <c r="C515" t="s">
        <v>8</v>
      </c>
      <c r="D515" t="s">
        <v>57</v>
      </c>
      <c r="E515" t="s">
        <v>47</v>
      </c>
      <c r="F515" s="4" t="s">
        <v>77</v>
      </c>
      <c r="G515" t="s">
        <v>239</v>
      </c>
      <c r="H515" t="s">
        <v>240</v>
      </c>
      <c r="I515" t="s">
        <v>382</v>
      </c>
      <c r="J515" t="s">
        <v>363</v>
      </c>
      <c r="K515" t="str">
        <f>Tabla14[[#This Row],[id]]&amp;Tabla14[[#This Row],[Resposable]]</f>
        <v>42Cesar Roque</v>
      </c>
      <c r="L515" t="str">
        <f>Tabla14[[#This Row],[id]]&amp;Tabla14[[#This Row],[Resposable]]</f>
        <v>42Cesar Roque</v>
      </c>
      <c r="M515" t="s">
        <v>240</v>
      </c>
    </row>
    <row r="516" spans="1:13" x14ac:dyDescent="0.25">
      <c r="A516" t="s">
        <v>305</v>
      </c>
      <c r="B516">
        <v>43</v>
      </c>
      <c r="C516" t="s">
        <v>7</v>
      </c>
      <c r="D516" t="s">
        <v>66</v>
      </c>
      <c r="E516" t="s">
        <v>47</v>
      </c>
      <c r="F516" s="4" t="s">
        <v>77</v>
      </c>
      <c r="G516" t="s">
        <v>239</v>
      </c>
      <c r="H516" t="s">
        <v>240</v>
      </c>
      <c r="I516" t="s">
        <v>382</v>
      </c>
      <c r="J516" t="s">
        <v>363</v>
      </c>
      <c r="K516" t="str">
        <f>Tabla14[[#This Row],[id]]&amp;Tabla14[[#This Row],[Resposable]]</f>
        <v>43Cesar Roque</v>
      </c>
      <c r="L516" t="str">
        <f>Tabla14[[#This Row],[id]]&amp;Tabla14[[#This Row],[Resposable]]</f>
        <v>43Cesar Roque</v>
      </c>
      <c r="M516" t="s">
        <v>240</v>
      </c>
    </row>
    <row r="517" spans="1:13" x14ac:dyDescent="0.25">
      <c r="A517" t="s">
        <v>305</v>
      </c>
      <c r="B517">
        <v>43</v>
      </c>
      <c r="C517" t="s">
        <v>6</v>
      </c>
      <c r="D517" t="s">
        <v>78</v>
      </c>
      <c r="E517" t="s">
        <v>47</v>
      </c>
      <c r="F517" s="4" t="s">
        <v>50</v>
      </c>
      <c r="G517" t="s">
        <v>239</v>
      </c>
      <c r="H517" t="s">
        <v>240</v>
      </c>
      <c r="I517" t="s">
        <v>382</v>
      </c>
      <c r="J517" t="s">
        <v>363</v>
      </c>
      <c r="K517" t="str">
        <f>Tabla14[[#This Row],[id]]&amp;Tabla14[[#This Row],[Resposable]]</f>
        <v>43Cesar Roque</v>
      </c>
      <c r="L517" t="str">
        <f>Tabla14[[#This Row],[id]]&amp;Tabla14[[#This Row],[Resposable]]</f>
        <v>43Cesar Roque</v>
      </c>
      <c r="M517" t="s">
        <v>240</v>
      </c>
    </row>
    <row r="518" spans="1:13" x14ac:dyDescent="0.25">
      <c r="A518" t="s">
        <v>305</v>
      </c>
      <c r="B518">
        <v>43</v>
      </c>
      <c r="C518" t="s">
        <v>7</v>
      </c>
      <c r="D518" t="s">
        <v>79</v>
      </c>
      <c r="E518" t="s">
        <v>47</v>
      </c>
      <c r="F518" s="4" t="s">
        <v>48</v>
      </c>
      <c r="G518" t="s">
        <v>239</v>
      </c>
      <c r="H518" t="s">
        <v>240</v>
      </c>
      <c r="I518" t="s">
        <v>382</v>
      </c>
      <c r="J518" t="s">
        <v>363</v>
      </c>
      <c r="K518" t="str">
        <f>Tabla14[[#This Row],[id]]&amp;Tabla14[[#This Row],[Resposable]]</f>
        <v>43Cesar Roque</v>
      </c>
      <c r="L518" t="str">
        <f>Tabla14[[#This Row],[id]]&amp;Tabla14[[#This Row],[Resposable]]</f>
        <v>43Cesar Roque</v>
      </c>
      <c r="M518" t="s">
        <v>240</v>
      </c>
    </row>
    <row r="519" spans="1:13" x14ac:dyDescent="0.25">
      <c r="A519" t="s">
        <v>305</v>
      </c>
      <c r="B519">
        <v>43</v>
      </c>
      <c r="C519" t="s">
        <v>8</v>
      </c>
      <c r="D519" t="s">
        <v>80</v>
      </c>
      <c r="E519" t="s">
        <v>47</v>
      </c>
      <c r="F519" s="4" t="s">
        <v>48</v>
      </c>
      <c r="G519" t="s">
        <v>239</v>
      </c>
      <c r="H519" t="s">
        <v>240</v>
      </c>
      <c r="I519" t="s">
        <v>382</v>
      </c>
      <c r="J519" t="s">
        <v>363</v>
      </c>
      <c r="K519" t="str">
        <f>Tabla14[[#This Row],[id]]&amp;Tabla14[[#This Row],[Resposable]]</f>
        <v>43Cesar Roque</v>
      </c>
      <c r="L519" t="str">
        <f>Tabla14[[#This Row],[id]]&amp;Tabla14[[#This Row],[Resposable]]</f>
        <v>43Cesar Roque</v>
      </c>
      <c r="M519" t="s">
        <v>240</v>
      </c>
    </row>
    <row r="520" spans="1:13" x14ac:dyDescent="0.25">
      <c r="A520" t="s">
        <v>305</v>
      </c>
      <c r="B520">
        <v>43</v>
      </c>
      <c r="C520" t="s">
        <v>8</v>
      </c>
      <c r="D520" t="s">
        <v>81</v>
      </c>
      <c r="E520" t="s">
        <v>47</v>
      </c>
      <c r="F520" s="4" t="s">
        <v>77</v>
      </c>
      <c r="G520" t="s">
        <v>239</v>
      </c>
      <c r="H520" t="s">
        <v>240</v>
      </c>
      <c r="I520" t="s">
        <v>382</v>
      </c>
      <c r="J520" t="s">
        <v>363</v>
      </c>
      <c r="K520" t="str">
        <f>Tabla14[[#This Row],[id]]&amp;Tabla14[[#This Row],[Resposable]]</f>
        <v>43Cesar Roque</v>
      </c>
      <c r="L520" t="str">
        <f>Tabla14[[#This Row],[id]]&amp;Tabla14[[#This Row],[Resposable]]</f>
        <v>43Cesar Roque</v>
      </c>
      <c r="M520" t="s">
        <v>240</v>
      </c>
    </row>
    <row r="521" spans="1:13" x14ac:dyDescent="0.25">
      <c r="A521" t="s">
        <v>305</v>
      </c>
      <c r="B521">
        <v>43</v>
      </c>
      <c r="C521" t="s">
        <v>8</v>
      </c>
      <c r="D521" t="s">
        <v>57</v>
      </c>
      <c r="E521" t="s">
        <v>47</v>
      </c>
      <c r="F521" s="4" t="s">
        <v>77</v>
      </c>
      <c r="G521" t="s">
        <v>239</v>
      </c>
      <c r="H521" t="s">
        <v>240</v>
      </c>
      <c r="I521" t="s">
        <v>382</v>
      </c>
      <c r="J521" t="s">
        <v>363</v>
      </c>
      <c r="K521" t="str">
        <f>Tabla14[[#This Row],[id]]&amp;Tabla14[[#This Row],[Resposable]]</f>
        <v>43Cesar Roque</v>
      </c>
      <c r="L521" t="str">
        <f>Tabla14[[#This Row],[id]]&amp;Tabla14[[#This Row],[Resposable]]</f>
        <v>43Cesar Roque</v>
      </c>
      <c r="M521" t="s">
        <v>240</v>
      </c>
    </row>
    <row r="522" spans="1:13" x14ac:dyDescent="0.25">
      <c r="A522" t="s">
        <v>17</v>
      </c>
      <c r="B522">
        <v>49</v>
      </c>
      <c r="C522" t="s">
        <v>7</v>
      </c>
      <c r="D522" t="s">
        <v>92</v>
      </c>
      <c r="E522" t="s">
        <v>47</v>
      </c>
      <c r="F522" s="4" t="s">
        <v>48</v>
      </c>
      <c r="G522" t="s">
        <v>239</v>
      </c>
      <c r="H522" t="s">
        <v>240</v>
      </c>
      <c r="I522" t="s">
        <v>382</v>
      </c>
      <c r="J522" t="s">
        <v>363</v>
      </c>
      <c r="K522" t="str">
        <f>Tabla14[[#This Row],[id]]&amp;Tabla14[[#This Row],[Resposable]]</f>
        <v>49Cesar Roque</v>
      </c>
      <c r="L522" t="str">
        <f>Tabla14[[#This Row],[id]]&amp;Tabla14[[#This Row],[Resposable]]</f>
        <v>49Cesar Roque</v>
      </c>
      <c r="M522" t="s">
        <v>240</v>
      </c>
    </row>
    <row r="523" spans="1:13" x14ac:dyDescent="0.25">
      <c r="A523" t="s">
        <v>17</v>
      </c>
      <c r="B523">
        <v>49</v>
      </c>
      <c r="C523" t="s">
        <v>7</v>
      </c>
      <c r="D523" t="s">
        <v>93</v>
      </c>
      <c r="E523" t="s">
        <v>47</v>
      </c>
      <c r="F523" s="4" t="s">
        <v>48</v>
      </c>
      <c r="G523" t="s">
        <v>239</v>
      </c>
      <c r="H523" t="s">
        <v>240</v>
      </c>
      <c r="I523" t="s">
        <v>382</v>
      </c>
      <c r="J523" t="s">
        <v>363</v>
      </c>
      <c r="K523" t="str">
        <f>Tabla14[[#This Row],[id]]&amp;Tabla14[[#This Row],[Resposable]]</f>
        <v>49Cesar Roque</v>
      </c>
      <c r="L523" t="str">
        <f>Tabla14[[#This Row],[id]]&amp;Tabla14[[#This Row],[Resposable]]</f>
        <v>49Cesar Roque</v>
      </c>
      <c r="M523" t="s">
        <v>240</v>
      </c>
    </row>
    <row r="524" spans="1:13" x14ac:dyDescent="0.25">
      <c r="A524" t="s">
        <v>17</v>
      </c>
      <c r="B524">
        <v>49</v>
      </c>
      <c r="C524" t="s">
        <v>7</v>
      </c>
      <c r="D524" t="s">
        <v>94</v>
      </c>
      <c r="E524" t="s">
        <v>47</v>
      </c>
      <c r="F524" s="4" t="s">
        <v>48</v>
      </c>
      <c r="G524" t="s">
        <v>239</v>
      </c>
      <c r="H524" t="s">
        <v>240</v>
      </c>
      <c r="I524" t="s">
        <v>382</v>
      </c>
      <c r="J524" t="s">
        <v>363</v>
      </c>
      <c r="K524" t="str">
        <f>Tabla14[[#This Row],[id]]&amp;Tabla14[[#This Row],[Resposable]]</f>
        <v>49Cesar Roque</v>
      </c>
      <c r="L524" t="str">
        <f>Tabla14[[#This Row],[id]]&amp;Tabla14[[#This Row],[Resposable]]</f>
        <v>49Cesar Roque</v>
      </c>
      <c r="M524" t="s">
        <v>240</v>
      </c>
    </row>
    <row r="525" spans="1:13" x14ac:dyDescent="0.25">
      <c r="A525" t="s">
        <v>17</v>
      </c>
      <c r="B525">
        <v>49</v>
      </c>
      <c r="C525" t="s">
        <v>7</v>
      </c>
      <c r="D525" t="s">
        <v>95</v>
      </c>
      <c r="E525" t="s">
        <v>47</v>
      </c>
      <c r="F525" s="4" t="s">
        <v>96</v>
      </c>
      <c r="G525" t="s">
        <v>239</v>
      </c>
      <c r="H525" t="s">
        <v>240</v>
      </c>
      <c r="I525" t="s">
        <v>382</v>
      </c>
      <c r="J525" t="s">
        <v>363</v>
      </c>
      <c r="K525" t="str">
        <f>Tabla14[[#This Row],[id]]&amp;Tabla14[[#This Row],[Resposable]]</f>
        <v>49Cesar Roque</v>
      </c>
      <c r="L525" t="str">
        <f>Tabla14[[#This Row],[id]]&amp;Tabla14[[#This Row],[Resposable]]</f>
        <v>49Cesar Roque</v>
      </c>
      <c r="M525" t="s">
        <v>240</v>
      </c>
    </row>
    <row r="526" spans="1:13" x14ac:dyDescent="0.25">
      <c r="A526" t="s">
        <v>17</v>
      </c>
      <c r="B526">
        <v>49</v>
      </c>
      <c r="C526" t="s">
        <v>18</v>
      </c>
      <c r="D526" t="s">
        <v>97</v>
      </c>
      <c r="E526" t="s">
        <v>47</v>
      </c>
      <c r="F526" s="4" t="s">
        <v>48</v>
      </c>
      <c r="G526" t="s">
        <v>239</v>
      </c>
      <c r="H526" t="s">
        <v>240</v>
      </c>
      <c r="I526" t="s">
        <v>382</v>
      </c>
      <c r="J526" t="s">
        <v>363</v>
      </c>
      <c r="K526" t="str">
        <f>Tabla14[[#This Row],[id]]&amp;Tabla14[[#This Row],[Resposable]]</f>
        <v>49Cesar Roque</v>
      </c>
      <c r="L526" t="str">
        <f>Tabla14[[#This Row],[id]]&amp;Tabla14[[#This Row],[Resposable]]</f>
        <v>49Cesar Roque</v>
      </c>
      <c r="M526" t="s">
        <v>240</v>
      </c>
    </row>
    <row r="527" spans="1:13" x14ac:dyDescent="0.25">
      <c r="A527" t="s">
        <v>17</v>
      </c>
      <c r="B527">
        <v>49</v>
      </c>
      <c r="C527" t="s">
        <v>8</v>
      </c>
      <c r="D527" t="s">
        <v>57</v>
      </c>
      <c r="E527" t="s">
        <v>54</v>
      </c>
      <c r="F527" s="4" t="s">
        <v>77</v>
      </c>
      <c r="G527" t="s">
        <v>239</v>
      </c>
      <c r="H527" t="s">
        <v>240</v>
      </c>
      <c r="I527" t="s">
        <v>382</v>
      </c>
      <c r="J527" t="s">
        <v>363</v>
      </c>
      <c r="K527" t="str">
        <f>Tabla14[[#This Row],[id]]&amp;Tabla14[[#This Row],[Resposable]]</f>
        <v>49Cesar Roque</v>
      </c>
      <c r="L527" t="str">
        <f>Tabla14[[#This Row],[id]]&amp;Tabla14[[#This Row],[Resposable]]</f>
        <v>49Cesar Roque</v>
      </c>
      <c r="M527" t="s">
        <v>240</v>
      </c>
    </row>
    <row r="528" spans="1:13" x14ac:dyDescent="0.25">
      <c r="A528" t="s">
        <v>24</v>
      </c>
      <c r="B528">
        <v>49</v>
      </c>
      <c r="C528" t="s">
        <v>5</v>
      </c>
      <c r="D528" t="s">
        <v>115</v>
      </c>
      <c r="E528" t="s">
        <v>47</v>
      </c>
      <c r="F528" s="4" t="s">
        <v>58</v>
      </c>
      <c r="G528" t="s">
        <v>239</v>
      </c>
      <c r="H528" t="s">
        <v>240</v>
      </c>
      <c r="I528" t="s">
        <v>382</v>
      </c>
      <c r="J528" t="s">
        <v>363</v>
      </c>
      <c r="K528" t="str">
        <f>Tabla14[[#This Row],[id]]&amp;Tabla14[[#This Row],[Resposable]]</f>
        <v>49Cesar Roque</v>
      </c>
      <c r="L528" t="str">
        <f>Tabla14[[#This Row],[id]]&amp;Tabla14[[#This Row],[Resposable]]</f>
        <v>49Cesar Roque</v>
      </c>
      <c r="M528" t="s">
        <v>240</v>
      </c>
    </row>
    <row r="529" spans="1:13" x14ac:dyDescent="0.25">
      <c r="A529" t="s">
        <v>24</v>
      </c>
      <c r="B529">
        <v>49</v>
      </c>
      <c r="C529" t="s">
        <v>5</v>
      </c>
      <c r="D529" t="s">
        <v>117</v>
      </c>
      <c r="E529" t="s">
        <v>47</v>
      </c>
      <c r="F529" s="4" t="s">
        <v>96</v>
      </c>
      <c r="G529" t="s">
        <v>239</v>
      </c>
      <c r="H529" t="s">
        <v>240</v>
      </c>
      <c r="I529" t="s">
        <v>382</v>
      </c>
      <c r="J529" t="s">
        <v>363</v>
      </c>
      <c r="K529" t="str">
        <f>Tabla14[[#This Row],[id]]&amp;Tabla14[[#This Row],[Resposable]]</f>
        <v>49Cesar Roque</v>
      </c>
      <c r="L529" t="str">
        <f>Tabla14[[#This Row],[id]]&amp;Tabla14[[#This Row],[Resposable]]</f>
        <v>49Cesar Roque</v>
      </c>
      <c r="M529" t="s">
        <v>240</v>
      </c>
    </row>
    <row r="530" spans="1:13" x14ac:dyDescent="0.25">
      <c r="A530" t="s">
        <v>24</v>
      </c>
      <c r="B530">
        <v>49</v>
      </c>
      <c r="C530" t="s">
        <v>7</v>
      </c>
      <c r="D530" t="s">
        <v>118</v>
      </c>
      <c r="E530" t="s">
        <v>47</v>
      </c>
      <c r="F530" s="4" t="s">
        <v>71</v>
      </c>
      <c r="G530" t="s">
        <v>239</v>
      </c>
      <c r="H530" t="s">
        <v>240</v>
      </c>
      <c r="I530" t="s">
        <v>382</v>
      </c>
      <c r="J530" t="s">
        <v>363</v>
      </c>
      <c r="K530" t="str">
        <f>Tabla14[[#This Row],[id]]&amp;Tabla14[[#This Row],[Resposable]]</f>
        <v>49Cesar Roque</v>
      </c>
      <c r="L530" t="str">
        <f>Tabla14[[#This Row],[id]]&amp;Tabla14[[#This Row],[Resposable]]</f>
        <v>49Cesar Roque</v>
      </c>
      <c r="M530" t="s">
        <v>240</v>
      </c>
    </row>
    <row r="531" spans="1:13" x14ac:dyDescent="0.25">
      <c r="A531" t="s">
        <v>24</v>
      </c>
      <c r="B531">
        <v>49</v>
      </c>
      <c r="C531" t="s">
        <v>7</v>
      </c>
      <c r="D531" t="s">
        <v>119</v>
      </c>
      <c r="E531" t="s">
        <v>47</v>
      </c>
      <c r="F531" s="4" t="s">
        <v>71</v>
      </c>
      <c r="G531" t="s">
        <v>239</v>
      </c>
      <c r="H531" t="s">
        <v>240</v>
      </c>
      <c r="I531" t="s">
        <v>382</v>
      </c>
      <c r="J531" t="s">
        <v>363</v>
      </c>
      <c r="K531" t="str">
        <f>Tabla14[[#This Row],[id]]&amp;Tabla14[[#This Row],[Resposable]]</f>
        <v>49Cesar Roque</v>
      </c>
      <c r="L531" t="str">
        <f>Tabla14[[#This Row],[id]]&amp;Tabla14[[#This Row],[Resposable]]</f>
        <v>49Cesar Roque</v>
      </c>
      <c r="M531" t="s">
        <v>240</v>
      </c>
    </row>
    <row r="532" spans="1:13" x14ac:dyDescent="0.25">
      <c r="A532" t="s">
        <v>24</v>
      </c>
      <c r="B532">
        <v>49</v>
      </c>
      <c r="C532" t="s">
        <v>7</v>
      </c>
      <c r="D532" t="s">
        <v>120</v>
      </c>
      <c r="E532" t="s">
        <v>47</v>
      </c>
      <c r="F532" s="4" t="s">
        <v>96</v>
      </c>
      <c r="G532" t="s">
        <v>239</v>
      </c>
      <c r="H532" t="s">
        <v>240</v>
      </c>
      <c r="I532" t="s">
        <v>382</v>
      </c>
      <c r="J532" t="s">
        <v>363</v>
      </c>
      <c r="K532" t="str">
        <f>Tabla14[[#This Row],[id]]&amp;Tabla14[[#This Row],[Resposable]]</f>
        <v>49Cesar Roque</v>
      </c>
      <c r="L532" t="str">
        <f>Tabla14[[#This Row],[id]]&amp;Tabla14[[#This Row],[Resposable]]</f>
        <v>49Cesar Roque</v>
      </c>
      <c r="M532" t="s">
        <v>240</v>
      </c>
    </row>
    <row r="533" spans="1:13" x14ac:dyDescent="0.25">
      <c r="A533" t="s">
        <v>24</v>
      </c>
      <c r="B533">
        <v>49</v>
      </c>
      <c r="C533" t="s">
        <v>8</v>
      </c>
      <c r="D533" t="s">
        <v>121</v>
      </c>
      <c r="E533" t="s">
        <v>47</v>
      </c>
      <c r="F533" s="4" t="s">
        <v>50</v>
      </c>
      <c r="G533" t="s">
        <v>239</v>
      </c>
      <c r="H533" t="s">
        <v>240</v>
      </c>
      <c r="I533" t="s">
        <v>382</v>
      </c>
      <c r="J533" t="s">
        <v>363</v>
      </c>
      <c r="K533" t="str">
        <f>Tabla14[[#This Row],[id]]&amp;Tabla14[[#This Row],[Resposable]]</f>
        <v>49Cesar Roque</v>
      </c>
      <c r="L533" t="str">
        <f>Tabla14[[#This Row],[id]]&amp;Tabla14[[#This Row],[Resposable]]</f>
        <v>49Cesar Roque</v>
      </c>
      <c r="M533" t="s">
        <v>240</v>
      </c>
    </row>
    <row r="534" spans="1:13" x14ac:dyDescent="0.25">
      <c r="A534" t="s">
        <v>24</v>
      </c>
      <c r="B534">
        <v>49</v>
      </c>
      <c r="C534" t="s">
        <v>18</v>
      </c>
      <c r="D534" t="s">
        <v>122</v>
      </c>
      <c r="E534" t="s">
        <v>47</v>
      </c>
      <c r="F534" s="4" t="s">
        <v>48</v>
      </c>
      <c r="G534" t="s">
        <v>239</v>
      </c>
      <c r="H534" t="s">
        <v>240</v>
      </c>
      <c r="I534" t="s">
        <v>382</v>
      </c>
      <c r="J534" t="s">
        <v>363</v>
      </c>
      <c r="K534" t="str">
        <f>Tabla14[[#This Row],[id]]&amp;Tabla14[[#This Row],[Resposable]]</f>
        <v>49Cesar Roque</v>
      </c>
      <c r="L534" t="str">
        <f>Tabla14[[#This Row],[id]]&amp;Tabla14[[#This Row],[Resposable]]</f>
        <v>49Cesar Roque</v>
      </c>
      <c r="M534" t="s">
        <v>240</v>
      </c>
    </row>
    <row r="535" spans="1:13" x14ac:dyDescent="0.25">
      <c r="A535" t="s">
        <v>24</v>
      </c>
      <c r="B535">
        <v>49</v>
      </c>
      <c r="C535" t="s">
        <v>8</v>
      </c>
      <c r="D535" t="s">
        <v>123</v>
      </c>
      <c r="E535" t="s">
        <v>47</v>
      </c>
      <c r="F535" s="4" t="s">
        <v>50</v>
      </c>
      <c r="G535" t="s">
        <v>239</v>
      </c>
      <c r="H535" t="s">
        <v>240</v>
      </c>
      <c r="I535" t="s">
        <v>382</v>
      </c>
      <c r="J535" t="s">
        <v>363</v>
      </c>
      <c r="K535" t="str">
        <f>Tabla14[[#This Row],[id]]&amp;Tabla14[[#This Row],[Resposable]]</f>
        <v>49Cesar Roque</v>
      </c>
      <c r="L535" t="str">
        <f>Tabla14[[#This Row],[id]]&amp;Tabla14[[#This Row],[Resposable]]</f>
        <v>49Cesar Roque</v>
      </c>
      <c r="M535" t="s">
        <v>240</v>
      </c>
    </row>
    <row r="536" spans="1:13" x14ac:dyDescent="0.25">
      <c r="A536" t="s">
        <v>24</v>
      </c>
      <c r="B536">
        <v>49</v>
      </c>
      <c r="C536" t="s">
        <v>8</v>
      </c>
      <c r="D536" t="s">
        <v>124</v>
      </c>
      <c r="E536" t="s">
        <v>47</v>
      </c>
      <c r="F536" s="4" t="s">
        <v>50</v>
      </c>
      <c r="G536" t="s">
        <v>239</v>
      </c>
      <c r="H536" t="s">
        <v>240</v>
      </c>
      <c r="I536" t="s">
        <v>382</v>
      </c>
      <c r="J536" t="s">
        <v>363</v>
      </c>
      <c r="K536" t="str">
        <f>Tabla14[[#This Row],[id]]&amp;Tabla14[[#This Row],[Resposable]]</f>
        <v>49Cesar Roque</v>
      </c>
      <c r="L536" t="str">
        <f>Tabla14[[#This Row],[id]]&amp;Tabla14[[#This Row],[Resposable]]</f>
        <v>49Cesar Roque</v>
      </c>
      <c r="M536" t="s">
        <v>240</v>
      </c>
    </row>
    <row r="537" spans="1:13" x14ac:dyDescent="0.25">
      <c r="A537" t="s">
        <v>24</v>
      </c>
      <c r="B537">
        <v>49</v>
      </c>
      <c r="C537" t="s">
        <v>8</v>
      </c>
      <c r="D537" t="s">
        <v>125</v>
      </c>
      <c r="E537" t="s">
        <v>47</v>
      </c>
      <c r="F537" s="4" t="s">
        <v>50</v>
      </c>
      <c r="G537" t="s">
        <v>239</v>
      </c>
      <c r="H537" t="s">
        <v>240</v>
      </c>
      <c r="I537" t="s">
        <v>382</v>
      </c>
      <c r="J537" t="s">
        <v>363</v>
      </c>
      <c r="K537" t="str">
        <f>Tabla14[[#This Row],[id]]&amp;Tabla14[[#This Row],[Resposable]]</f>
        <v>49Cesar Roque</v>
      </c>
      <c r="L537" t="str">
        <f>Tabla14[[#This Row],[id]]&amp;Tabla14[[#This Row],[Resposable]]</f>
        <v>49Cesar Roque</v>
      </c>
      <c r="M537" t="s">
        <v>240</v>
      </c>
    </row>
    <row r="538" spans="1:13" x14ac:dyDescent="0.25">
      <c r="A538" t="s">
        <v>24</v>
      </c>
      <c r="B538">
        <v>49</v>
      </c>
      <c r="C538" t="s">
        <v>8</v>
      </c>
      <c r="D538" t="s">
        <v>126</v>
      </c>
      <c r="E538" t="s">
        <v>47</v>
      </c>
      <c r="F538" s="4" t="s">
        <v>50</v>
      </c>
      <c r="G538" t="s">
        <v>239</v>
      </c>
      <c r="H538" t="s">
        <v>240</v>
      </c>
      <c r="I538" t="s">
        <v>382</v>
      </c>
      <c r="J538" t="s">
        <v>363</v>
      </c>
      <c r="K538" t="str">
        <f>Tabla14[[#This Row],[id]]&amp;Tabla14[[#This Row],[Resposable]]</f>
        <v>49Cesar Roque</v>
      </c>
      <c r="L538" t="str">
        <f>Tabla14[[#This Row],[id]]&amp;Tabla14[[#This Row],[Resposable]]</f>
        <v>49Cesar Roque</v>
      </c>
      <c r="M538" t="s">
        <v>240</v>
      </c>
    </row>
    <row r="539" spans="1:13" x14ac:dyDescent="0.25">
      <c r="A539" t="s">
        <v>24</v>
      </c>
      <c r="B539">
        <v>49</v>
      </c>
      <c r="C539" t="s">
        <v>8</v>
      </c>
      <c r="D539" t="s">
        <v>127</v>
      </c>
      <c r="E539" t="s">
        <v>47</v>
      </c>
      <c r="F539" s="4" t="s">
        <v>50</v>
      </c>
      <c r="G539" t="s">
        <v>239</v>
      </c>
      <c r="H539" t="s">
        <v>240</v>
      </c>
      <c r="I539" t="s">
        <v>382</v>
      </c>
      <c r="J539" t="s">
        <v>363</v>
      </c>
      <c r="K539" t="str">
        <f>Tabla14[[#This Row],[id]]&amp;Tabla14[[#This Row],[Resposable]]</f>
        <v>49Cesar Roque</v>
      </c>
      <c r="L539" t="str">
        <f>Tabla14[[#This Row],[id]]&amp;Tabla14[[#This Row],[Resposable]]</f>
        <v>49Cesar Roque</v>
      </c>
      <c r="M539" t="s">
        <v>240</v>
      </c>
    </row>
    <row r="540" spans="1:13" x14ac:dyDescent="0.25">
      <c r="A540" t="s">
        <v>24</v>
      </c>
      <c r="B540">
        <v>49</v>
      </c>
      <c r="C540" t="s">
        <v>8</v>
      </c>
      <c r="D540" t="s">
        <v>128</v>
      </c>
      <c r="E540" t="s">
        <v>47</v>
      </c>
      <c r="F540" s="4" t="s">
        <v>50</v>
      </c>
      <c r="G540" t="s">
        <v>239</v>
      </c>
      <c r="H540" t="s">
        <v>240</v>
      </c>
      <c r="I540" t="s">
        <v>382</v>
      </c>
      <c r="J540" t="s">
        <v>363</v>
      </c>
      <c r="K540" t="str">
        <f>Tabla14[[#This Row],[id]]&amp;Tabla14[[#This Row],[Resposable]]</f>
        <v>49Cesar Roque</v>
      </c>
      <c r="L540" t="str">
        <f>Tabla14[[#This Row],[id]]&amp;Tabla14[[#This Row],[Resposable]]</f>
        <v>49Cesar Roque</v>
      </c>
      <c r="M540" t="s">
        <v>240</v>
      </c>
    </row>
    <row r="541" spans="1:13" x14ac:dyDescent="0.25">
      <c r="A541" t="s">
        <v>24</v>
      </c>
      <c r="B541">
        <v>49</v>
      </c>
      <c r="C541" t="s">
        <v>7</v>
      </c>
      <c r="D541" t="s">
        <v>129</v>
      </c>
      <c r="E541" t="s">
        <v>47</v>
      </c>
      <c r="F541" s="4" t="s">
        <v>71</v>
      </c>
      <c r="G541" t="s">
        <v>239</v>
      </c>
      <c r="H541" t="s">
        <v>240</v>
      </c>
      <c r="I541" t="s">
        <v>382</v>
      </c>
      <c r="J541" t="s">
        <v>363</v>
      </c>
      <c r="K541" t="str">
        <f>Tabla14[[#This Row],[id]]&amp;Tabla14[[#This Row],[Resposable]]</f>
        <v>49Cesar Roque</v>
      </c>
      <c r="L541" t="str">
        <f>Tabla14[[#This Row],[id]]&amp;Tabla14[[#This Row],[Resposable]]</f>
        <v>49Cesar Roque</v>
      </c>
      <c r="M541" t="s">
        <v>240</v>
      </c>
    </row>
    <row r="542" spans="1:13" x14ac:dyDescent="0.25">
      <c r="A542" t="s">
        <v>24</v>
      </c>
      <c r="B542">
        <v>49</v>
      </c>
      <c r="C542" t="s">
        <v>7</v>
      </c>
      <c r="D542" t="s">
        <v>130</v>
      </c>
      <c r="E542" t="s">
        <v>47</v>
      </c>
      <c r="F542" s="4" t="s">
        <v>71</v>
      </c>
      <c r="G542" t="s">
        <v>239</v>
      </c>
      <c r="H542" t="s">
        <v>240</v>
      </c>
      <c r="I542" t="s">
        <v>382</v>
      </c>
      <c r="J542" t="s">
        <v>363</v>
      </c>
      <c r="K542" t="str">
        <f>Tabla14[[#This Row],[id]]&amp;Tabla14[[#This Row],[Resposable]]</f>
        <v>49Cesar Roque</v>
      </c>
      <c r="L542" t="str">
        <f>Tabla14[[#This Row],[id]]&amp;Tabla14[[#This Row],[Resposable]]</f>
        <v>49Cesar Roque</v>
      </c>
      <c r="M542" t="s">
        <v>240</v>
      </c>
    </row>
    <row r="543" spans="1:13" x14ac:dyDescent="0.25">
      <c r="A543" t="s">
        <v>24</v>
      </c>
      <c r="B543">
        <v>49</v>
      </c>
      <c r="C543" t="s">
        <v>7</v>
      </c>
      <c r="D543" t="s">
        <v>131</v>
      </c>
      <c r="E543" t="s">
        <v>47</v>
      </c>
      <c r="F543" s="4" t="s">
        <v>71</v>
      </c>
      <c r="G543" t="s">
        <v>239</v>
      </c>
      <c r="H543" t="s">
        <v>240</v>
      </c>
      <c r="I543" t="s">
        <v>382</v>
      </c>
      <c r="J543" t="s">
        <v>363</v>
      </c>
      <c r="K543" t="str">
        <f>Tabla14[[#This Row],[id]]&amp;Tabla14[[#This Row],[Resposable]]</f>
        <v>49Cesar Roque</v>
      </c>
      <c r="L543" t="str">
        <f>Tabla14[[#This Row],[id]]&amp;Tabla14[[#This Row],[Resposable]]</f>
        <v>49Cesar Roque</v>
      </c>
      <c r="M543" t="s">
        <v>240</v>
      </c>
    </row>
    <row r="544" spans="1:13" x14ac:dyDescent="0.25">
      <c r="A544" t="s">
        <v>24</v>
      </c>
      <c r="B544">
        <v>49</v>
      </c>
      <c r="C544" t="s">
        <v>18</v>
      </c>
      <c r="D544" t="s">
        <v>132</v>
      </c>
      <c r="E544" t="s">
        <v>47</v>
      </c>
      <c r="F544" s="4" t="s">
        <v>48</v>
      </c>
      <c r="G544" t="s">
        <v>239</v>
      </c>
      <c r="H544" t="s">
        <v>240</v>
      </c>
      <c r="I544" t="s">
        <v>382</v>
      </c>
      <c r="J544" t="s">
        <v>363</v>
      </c>
      <c r="K544" t="str">
        <f>Tabla14[[#This Row],[id]]&amp;Tabla14[[#This Row],[Resposable]]</f>
        <v>49Cesar Roque</v>
      </c>
      <c r="L544" t="str">
        <f>Tabla14[[#This Row],[id]]&amp;Tabla14[[#This Row],[Resposable]]</f>
        <v>49Cesar Roque</v>
      </c>
      <c r="M544" t="s">
        <v>240</v>
      </c>
    </row>
    <row r="545" spans="1:13" x14ac:dyDescent="0.25">
      <c r="A545" t="s">
        <v>24</v>
      </c>
      <c r="B545">
        <v>49</v>
      </c>
      <c r="C545" t="s">
        <v>7</v>
      </c>
      <c r="D545" t="s">
        <v>133</v>
      </c>
      <c r="E545" t="s">
        <v>47</v>
      </c>
      <c r="F545" s="4" t="s">
        <v>71</v>
      </c>
      <c r="G545" t="s">
        <v>239</v>
      </c>
      <c r="H545" t="s">
        <v>240</v>
      </c>
      <c r="I545" t="s">
        <v>382</v>
      </c>
      <c r="J545" t="s">
        <v>363</v>
      </c>
      <c r="K545" t="str">
        <f>Tabla14[[#This Row],[id]]&amp;Tabla14[[#This Row],[Resposable]]</f>
        <v>49Cesar Roque</v>
      </c>
      <c r="L545" t="str">
        <f>Tabla14[[#This Row],[id]]&amp;Tabla14[[#This Row],[Resposable]]</f>
        <v>49Cesar Roque</v>
      </c>
      <c r="M545" t="s">
        <v>240</v>
      </c>
    </row>
    <row r="546" spans="1:13" x14ac:dyDescent="0.25">
      <c r="A546" t="s">
        <v>24</v>
      </c>
      <c r="B546">
        <v>49</v>
      </c>
      <c r="C546" t="s">
        <v>7</v>
      </c>
      <c r="D546" t="s">
        <v>134</v>
      </c>
      <c r="E546" t="s">
        <v>47</v>
      </c>
      <c r="F546" s="4" t="s">
        <v>71</v>
      </c>
      <c r="G546" t="s">
        <v>239</v>
      </c>
      <c r="H546" t="s">
        <v>240</v>
      </c>
      <c r="I546" t="s">
        <v>382</v>
      </c>
      <c r="J546" t="s">
        <v>363</v>
      </c>
      <c r="K546" t="str">
        <f>Tabla14[[#This Row],[id]]&amp;Tabla14[[#This Row],[Resposable]]</f>
        <v>49Cesar Roque</v>
      </c>
      <c r="L546" t="str">
        <f>Tabla14[[#This Row],[id]]&amp;Tabla14[[#This Row],[Resposable]]</f>
        <v>49Cesar Roque</v>
      </c>
      <c r="M546" t="s">
        <v>240</v>
      </c>
    </row>
    <row r="547" spans="1:13" x14ac:dyDescent="0.25">
      <c r="A547" t="s">
        <v>24</v>
      </c>
      <c r="B547">
        <v>49</v>
      </c>
      <c r="C547" t="s">
        <v>8</v>
      </c>
      <c r="D547" t="s">
        <v>135</v>
      </c>
      <c r="E547" t="s">
        <v>47</v>
      </c>
      <c r="F547" s="4" t="s">
        <v>50</v>
      </c>
      <c r="G547" t="s">
        <v>239</v>
      </c>
      <c r="H547" t="s">
        <v>240</v>
      </c>
      <c r="I547" t="s">
        <v>382</v>
      </c>
      <c r="J547" t="s">
        <v>363</v>
      </c>
      <c r="K547" t="str">
        <f>Tabla14[[#This Row],[id]]&amp;Tabla14[[#This Row],[Resposable]]</f>
        <v>49Cesar Roque</v>
      </c>
      <c r="L547" t="str">
        <f>Tabla14[[#This Row],[id]]&amp;Tabla14[[#This Row],[Resposable]]</f>
        <v>49Cesar Roque</v>
      </c>
      <c r="M547" t="s">
        <v>240</v>
      </c>
    </row>
    <row r="548" spans="1:13" x14ac:dyDescent="0.25">
      <c r="A548" t="s">
        <v>24</v>
      </c>
      <c r="B548">
        <v>49</v>
      </c>
      <c r="C548" t="s">
        <v>7</v>
      </c>
      <c r="D548" t="s">
        <v>137</v>
      </c>
      <c r="E548" t="s">
        <v>47</v>
      </c>
      <c r="F548" s="4" t="s">
        <v>71</v>
      </c>
      <c r="G548" t="s">
        <v>239</v>
      </c>
      <c r="H548" t="s">
        <v>240</v>
      </c>
      <c r="I548" t="s">
        <v>382</v>
      </c>
      <c r="J548" t="s">
        <v>363</v>
      </c>
      <c r="K548" t="str">
        <f>Tabla14[[#This Row],[id]]&amp;Tabla14[[#This Row],[Resposable]]</f>
        <v>49Cesar Roque</v>
      </c>
      <c r="L548" t="str">
        <f>Tabla14[[#This Row],[id]]&amp;Tabla14[[#This Row],[Resposable]]</f>
        <v>49Cesar Roque</v>
      </c>
      <c r="M548" t="s">
        <v>240</v>
      </c>
    </row>
    <row r="549" spans="1:13" x14ac:dyDescent="0.25">
      <c r="A549" t="s">
        <v>24</v>
      </c>
      <c r="B549">
        <v>49</v>
      </c>
      <c r="C549" t="s">
        <v>18</v>
      </c>
      <c r="D549" t="s">
        <v>138</v>
      </c>
      <c r="E549" t="s">
        <v>47</v>
      </c>
      <c r="F549" s="4" t="s">
        <v>48</v>
      </c>
      <c r="G549" t="s">
        <v>239</v>
      </c>
      <c r="H549" t="s">
        <v>240</v>
      </c>
      <c r="I549" t="s">
        <v>382</v>
      </c>
      <c r="J549" t="s">
        <v>363</v>
      </c>
      <c r="K549" t="str">
        <f>Tabla14[[#This Row],[id]]&amp;Tabla14[[#This Row],[Resposable]]</f>
        <v>49Cesar Roque</v>
      </c>
      <c r="L549" t="str">
        <f>Tabla14[[#This Row],[id]]&amp;Tabla14[[#This Row],[Resposable]]</f>
        <v>49Cesar Roque</v>
      </c>
      <c r="M549" t="s">
        <v>240</v>
      </c>
    </row>
    <row r="550" spans="1:13" x14ac:dyDescent="0.25">
      <c r="A550" t="s">
        <v>24</v>
      </c>
      <c r="B550">
        <v>49</v>
      </c>
      <c r="C550" t="s">
        <v>18</v>
      </c>
      <c r="D550" t="s">
        <v>140</v>
      </c>
      <c r="E550" t="s">
        <v>47</v>
      </c>
      <c r="F550" s="4" t="s">
        <v>48</v>
      </c>
      <c r="G550" t="s">
        <v>239</v>
      </c>
      <c r="H550" t="s">
        <v>240</v>
      </c>
      <c r="I550" t="s">
        <v>382</v>
      </c>
      <c r="J550" t="s">
        <v>363</v>
      </c>
      <c r="K550" t="str">
        <f>Tabla14[[#This Row],[id]]&amp;Tabla14[[#This Row],[Resposable]]</f>
        <v>49Cesar Roque</v>
      </c>
      <c r="L550" t="str">
        <f>Tabla14[[#This Row],[id]]&amp;Tabla14[[#This Row],[Resposable]]</f>
        <v>49Cesar Roque</v>
      </c>
      <c r="M550" t="s">
        <v>240</v>
      </c>
    </row>
    <row r="551" spans="1:13" x14ac:dyDescent="0.25">
      <c r="A551" t="s">
        <v>24</v>
      </c>
      <c r="B551">
        <v>49</v>
      </c>
      <c r="C551" t="s">
        <v>8</v>
      </c>
      <c r="D551" t="s">
        <v>141</v>
      </c>
      <c r="E551" t="s">
        <v>47</v>
      </c>
      <c r="F551" s="4" t="s">
        <v>50</v>
      </c>
      <c r="G551" t="s">
        <v>239</v>
      </c>
      <c r="H551" t="s">
        <v>240</v>
      </c>
      <c r="I551" t="s">
        <v>382</v>
      </c>
      <c r="J551" t="s">
        <v>363</v>
      </c>
      <c r="K551" t="str">
        <f>Tabla14[[#This Row],[id]]&amp;Tabla14[[#This Row],[Resposable]]</f>
        <v>49Cesar Roque</v>
      </c>
      <c r="L551" t="str">
        <f>Tabla14[[#This Row],[id]]&amp;Tabla14[[#This Row],[Resposable]]</f>
        <v>49Cesar Roque</v>
      </c>
      <c r="M551" t="s">
        <v>240</v>
      </c>
    </row>
    <row r="552" spans="1:13" x14ac:dyDescent="0.25">
      <c r="A552" t="s">
        <v>24</v>
      </c>
      <c r="B552">
        <v>49</v>
      </c>
      <c r="C552" t="s">
        <v>18</v>
      </c>
      <c r="D552" t="s">
        <v>142</v>
      </c>
      <c r="E552" t="s">
        <v>47</v>
      </c>
      <c r="F552" s="4" t="s">
        <v>48</v>
      </c>
      <c r="G552" t="s">
        <v>239</v>
      </c>
      <c r="H552" t="s">
        <v>240</v>
      </c>
      <c r="I552" t="s">
        <v>382</v>
      </c>
      <c r="J552" t="s">
        <v>363</v>
      </c>
      <c r="K552" t="str">
        <f>Tabla14[[#This Row],[id]]&amp;Tabla14[[#This Row],[Resposable]]</f>
        <v>49Cesar Roque</v>
      </c>
      <c r="L552" t="str">
        <f>Tabla14[[#This Row],[id]]&amp;Tabla14[[#This Row],[Resposable]]</f>
        <v>49Cesar Roque</v>
      </c>
      <c r="M552" t="s">
        <v>240</v>
      </c>
    </row>
    <row r="553" spans="1:13" x14ac:dyDescent="0.25">
      <c r="A553" t="s">
        <v>24</v>
      </c>
      <c r="B553">
        <v>49</v>
      </c>
      <c r="C553" t="s">
        <v>7</v>
      </c>
      <c r="D553" t="s">
        <v>143</v>
      </c>
      <c r="E553" t="s">
        <v>47</v>
      </c>
      <c r="F553" s="4" t="s">
        <v>71</v>
      </c>
      <c r="G553" t="s">
        <v>239</v>
      </c>
      <c r="H553" t="s">
        <v>240</v>
      </c>
      <c r="I553" t="s">
        <v>382</v>
      </c>
      <c r="J553" t="s">
        <v>363</v>
      </c>
      <c r="K553" t="str">
        <f>Tabla14[[#This Row],[id]]&amp;Tabla14[[#This Row],[Resposable]]</f>
        <v>49Cesar Roque</v>
      </c>
      <c r="L553" t="str">
        <f>Tabla14[[#This Row],[id]]&amp;Tabla14[[#This Row],[Resposable]]</f>
        <v>49Cesar Roque</v>
      </c>
      <c r="M553" t="s">
        <v>240</v>
      </c>
    </row>
    <row r="554" spans="1:13" x14ac:dyDescent="0.25">
      <c r="A554" t="s">
        <v>25</v>
      </c>
      <c r="B554">
        <v>49</v>
      </c>
      <c r="C554" t="s">
        <v>18</v>
      </c>
      <c r="D554" t="s">
        <v>145</v>
      </c>
      <c r="E554" t="s">
        <v>47</v>
      </c>
      <c r="F554" s="4" t="s">
        <v>48</v>
      </c>
      <c r="G554" t="s">
        <v>239</v>
      </c>
      <c r="H554" t="s">
        <v>240</v>
      </c>
      <c r="I554" t="s">
        <v>382</v>
      </c>
      <c r="J554" t="s">
        <v>363</v>
      </c>
      <c r="K554" t="str">
        <f>Tabla14[[#This Row],[id]]&amp;Tabla14[[#This Row],[Resposable]]</f>
        <v>49Cesar Roque</v>
      </c>
      <c r="L554" t="str">
        <f>Tabla14[[#This Row],[id]]&amp;Tabla14[[#This Row],[Resposable]]</f>
        <v>49Cesar Roque</v>
      </c>
      <c r="M554" t="s">
        <v>240</v>
      </c>
    </row>
    <row r="555" spans="1:13" x14ac:dyDescent="0.25">
      <c r="A555" t="s">
        <v>25</v>
      </c>
      <c r="B555">
        <v>49</v>
      </c>
      <c r="C555" t="s">
        <v>26</v>
      </c>
      <c r="D555" t="s">
        <v>146</v>
      </c>
      <c r="E555" t="s">
        <v>47</v>
      </c>
      <c r="F555" s="4" t="s">
        <v>82</v>
      </c>
      <c r="G555" t="s">
        <v>239</v>
      </c>
      <c r="H555" t="s">
        <v>240</v>
      </c>
      <c r="I555" t="s">
        <v>382</v>
      </c>
      <c r="J555" t="s">
        <v>363</v>
      </c>
      <c r="K555" t="str">
        <f>Tabla14[[#This Row],[id]]&amp;Tabla14[[#This Row],[Resposable]]</f>
        <v>49Cesar Roque</v>
      </c>
      <c r="L555" t="str">
        <f>Tabla14[[#This Row],[id]]&amp;Tabla14[[#This Row],[Resposable]]</f>
        <v>49Cesar Roque</v>
      </c>
      <c r="M555" t="s">
        <v>240</v>
      </c>
    </row>
    <row r="556" spans="1:13" x14ac:dyDescent="0.25">
      <c r="A556" t="s">
        <v>25</v>
      </c>
      <c r="B556">
        <v>49</v>
      </c>
      <c r="C556" t="s">
        <v>7</v>
      </c>
      <c r="D556" t="s">
        <v>148</v>
      </c>
      <c r="E556" t="s">
        <v>47</v>
      </c>
      <c r="F556" s="4" t="s">
        <v>48</v>
      </c>
      <c r="G556" t="s">
        <v>239</v>
      </c>
      <c r="H556" t="s">
        <v>240</v>
      </c>
      <c r="I556" t="s">
        <v>382</v>
      </c>
      <c r="J556" t="s">
        <v>363</v>
      </c>
      <c r="K556" t="str">
        <f>Tabla14[[#This Row],[id]]&amp;Tabla14[[#This Row],[Resposable]]</f>
        <v>49Cesar Roque</v>
      </c>
      <c r="L556" t="str">
        <f>Tabla14[[#This Row],[id]]&amp;Tabla14[[#This Row],[Resposable]]</f>
        <v>49Cesar Roque</v>
      </c>
      <c r="M556" t="s">
        <v>240</v>
      </c>
    </row>
    <row r="557" spans="1:13" x14ac:dyDescent="0.25">
      <c r="A557" t="s">
        <v>25</v>
      </c>
      <c r="B557">
        <v>49</v>
      </c>
      <c r="C557" t="s">
        <v>8</v>
      </c>
      <c r="D557" t="s">
        <v>149</v>
      </c>
      <c r="E557" t="s">
        <v>47</v>
      </c>
      <c r="F557" s="4" t="s">
        <v>150</v>
      </c>
      <c r="G557" t="s">
        <v>239</v>
      </c>
      <c r="H557" t="s">
        <v>240</v>
      </c>
      <c r="I557" t="s">
        <v>382</v>
      </c>
      <c r="J557" t="s">
        <v>363</v>
      </c>
      <c r="K557" t="str">
        <f>Tabla14[[#This Row],[id]]&amp;Tabla14[[#This Row],[Resposable]]</f>
        <v>49Cesar Roque</v>
      </c>
      <c r="L557" t="str">
        <f>Tabla14[[#This Row],[id]]&amp;Tabla14[[#This Row],[Resposable]]</f>
        <v>49Cesar Roque</v>
      </c>
      <c r="M557" t="s">
        <v>240</v>
      </c>
    </row>
    <row r="558" spans="1:13" x14ac:dyDescent="0.25">
      <c r="A558" t="s">
        <v>25</v>
      </c>
      <c r="B558">
        <v>49</v>
      </c>
      <c r="C558" t="s">
        <v>18</v>
      </c>
      <c r="D558" t="s">
        <v>151</v>
      </c>
      <c r="E558" t="s">
        <v>47</v>
      </c>
      <c r="F558" s="4" t="s">
        <v>58</v>
      </c>
      <c r="G558" t="s">
        <v>239</v>
      </c>
      <c r="H558" t="s">
        <v>240</v>
      </c>
      <c r="I558" t="s">
        <v>382</v>
      </c>
      <c r="J558" t="s">
        <v>363</v>
      </c>
      <c r="K558" t="str">
        <f>Tabla14[[#This Row],[id]]&amp;Tabla14[[#This Row],[Resposable]]</f>
        <v>49Cesar Roque</v>
      </c>
      <c r="L558" t="str">
        <f>Tabla14[[#This Row],[id]]&amp;Tabla14[[#This Row],[Resposable]]</f>
        <v>49Cesar Roque</v>
      </c>
      <c r="M558" t="s">
        <v>240</v>
      </c>
    </row>
    <row r="559" spans="1:13" x14ac:dyDescent="0.25">
      <c r="A559" t="s">
        <v>25</v>
      </c>
      <c r="B559">
        <v>49</v>
      </c>
      <c r="C559" t="s">
        <v>8</v>
      </c>
      <c r="D559" t="s">
        <v>152</v>
      </c>
      <c r="E559" t="s">
        <v>47</v>
      </c>
      <c r="F559" s="4" t="s">
        <v>150</v>
      </c>
      <c r="G559" t="s">
        <v>239</v>
      </c>
      <c r="H559" t="s">
        <v>240</v>
      </c>
      <c r="I559" t="s">
        <v>382</v>
      </c>
      <c r="J559" t="s">
        <v>363</v>
      </c>
      <c r="K559" t="str">
        <f>Tabla14[[#This Row],[id]]&amp;Tabla14[[#This Row],[Resposable]]</f>
        <v>49Cesar Roque</v>
      </c>
      <c r="L559" t="str">
        <f>Tabla14[[#This Row],[id]]&amp;Tabla14[[#This Row],[Resposable]]</f>
        <v>49Cesar Roque</v>
      </c>
      <c r="M559" t="s">
        <v>240</v>
      </c>
    </row>
    <row r="560" spans="1:13" x14ac:dyDescent="0.25">
      <c r="A560" t="s">
        <v>25</v>
      </c>
      <c r="B560">
        <v>49</v>
      </c>
      <c r="C560" t="s">
        <v>8</v>
      </c>
      <c r="D560" t="s">
        <v>153</v>
      </c>
      <c r="E560" t="s">
        <v>47</v>
      </c>
      <c r="F560" s="4" t="s">
        <v>150</v>
      </c>
      <c r="G560" t="s">
        <v>239</v>
      </c>
      <c r="H560" t="s">
        <v>240</v>
      </c>
      <c r="I560" t="s">
        <v>382</v>
      </c>
      <c r="J560" t="s">
        <v>363</v>
      </c>
      <c r="K560" t="str">
        <f>Tabla14[[#This Row],[id]]&amp;Tabla14[[#This Row],[Resposable]]</f>
        <v>49Cesar Roque</v>
      </c>
      <c r="L560" t="str">
        <f>Tabla14[[#This Row],[id]]&amp;Tabla14[[#This Row],[Resposable]]</f>
        <v>49Cesar Roque</v>
      </c>
      <c r="M560" t="s">
        <v>240</v>
      </c>
    </row>
    <row r="561" spans="1:13" x14ac:dyDescent="0.25">
      <c r="A561" t="s">
        <v>25</v>
      </c>
      <c r="B561">
        <v>49</v>
      </c>
      <c r="C561" t="s">
        <v>8</v>
      </c>
      <c r="D561" t="s">
        <v>154</v>
      </c>
      <c r="E561" t="s">
        <v>47</v>
      </c>
      <c r="F561" s="4" t="s">
        <v>150</v>
      </c>
      <c r="G561" t="s">
        <v>239</v>
      </c>
      <c r="H561" t="s">
        <v>240</v>
      </c>
      <c r="I561" t="s">
        <v>382</v>
      </c>
      <c r="J561" t="s">
        <v>363</v>
      </c>
      <c r="K561" t="str">
        <f>Tabla14[[#This Row],[id]]&amp;Tabla14[[#This Row],[Resposable]]</f>
        <v>49Cesar Roque</v>
      </c>
      <c r="L561" t="str">
        <f>Tabla14[[#This Row],[id]]&amp;Tabla14[[#This Row],[Resposable]]</f>
        <v>49Cesar Roque</v>
      </c>
      <c r="M561" t="s">
        <v>240</v>
      </c>
    </row>
    <row r="562" spans="1:13" x14ac:dyDescent="0.25">
      <c r="A562" t="s">
        <v>25</v>
      </c>
      <c r="B562">
        <v>49</v>
      </c>
      <c r="C562" t="s">
        <v>8</v>
      </c>
      <c r="D562" t="s">
        <v>155</v>
      </c>
      <c r="E562" t="s">
        <v>47</v>
      </c>
      <c r="F562" s="4" t="s">
        <v>150</v>
      </c>
      <c r="G562" t="s">
        <v>239</v>
      </c>
      <c r="H562" t="s">
        <v>240</v>
      </c>
      <c r="I562" t="s">
        <v>382</v>
      </c>
      <c r="J562" t="s">
        <v>363</v>
      </c>
      <c r="K562" t="str">
        <f>Tabla14[[#This Row],[id]]&amp;Tabla14[[#This Row],[Resposable]]</f>
        <v>49Cesar Roque</v>
      </c>
      <c r="L562" t="str">
        <f>Tabla14[[#This Row],[id]]&amp;Tabla14[[#This Row],[Resposable]]</f>
        <v>49Cesar Roque</v>
      </c>
      <c r="M562" t="s">
        <v>240</v>
      </c>
    </row>
    <row r="563" spans="1:13" x14ac:dyDescent="0.25">
      <c r="A563" t="s">
        <v>25</v>
      </c>
      <c r="B563">
        <v>49</v>
      </c>
      <c r="C563" t="s">
        <v>8</v>
      </c>
      <c r="D563" t="s">
        <v>156</v>
      </c>
      <c r="E563" t="s">
        <v>47</v>
      </c>
      <c r="F563" s="4" t="s">
        <v>150</v>
      </c>
      <c r="G563" t="s">
        <v>239</v>
      </c>
      <c r="H563" t="s">
        <v>240</v>
      </c>
      <c r="I563" t="s">
        <v>382</v>
      </c>
      <c r="J563" t="s">
        <v>363</v>
      </c>
      <c r="K563" t="str">
        <f>Tabla14[[#This Row],[id]]&amp;Tabla14[[#This Row],[Resposable]]</f>
        <v>49Cesar Roque</v>
      </c>
      <c r="L563" t="str">
        <f>Tabla14[[#This Row],[id]]&amp;Tabla14[[#This Row],[Resposable]]</f>
        <v>49Cesar Roque</v>
      </c>
      <c r="M563" t="s">
        <v>240</v>
      </c>
    </row>
    <row r="564" spans="1:13" x14ac:dyDescent="0.25">
      <c r="A564" t="s">
        <v>25</v>
      </c>
      <c r="B564">
        <v>49</v>
      </c>
      <c r="C564" t="s">
        <v>20</v>
      </c>
      <c r="D564" t="s">
        <v>157</v>
      </c>
      <c r="E564" t="s">
        <v>47</v>
      </c>
      <c r="F564" s="4" t="s">
        <v>58</v>
      </c>
      <c r="G564" t="s">
        <v>239</v>
      </c>
      <c r="H564" t="s">
        <v>240</v>
      </c>
      <c r="I564" t="s">
        <v>382</v>
      </c>
      <c r="J564" t="s">
        <v>363</v>
      </c>
      <c r="K564" t="str">
        <f>Tabla14[[#This Row],[id]]&amp;Tabla14[[#This Row],[Resposable]]</f>
        <v>49Cesar Roque</v>
      </c>
      <c r="L564" t="str">
        <f>Tabla14[[#This Row],[id]]&amp;Tabla14[[#This Row],[Resposable]]</f>
        <v>49Cesar Roque</v>
      </c>
      <c r="M564" t="s">
        <v>240</v>
      </c>
    </row>
    <row r="565" spans="1:13" x14ac:dyDescent="0.25">
      <c r="A565" t="s">
        <v>25</v>
      </c>
      <c r="B565">
        <v>49</v>
      </c>
      <c r="C565" t="s">
        <v>18</v>
      </c>
      <c r="D565" t="s">
        <v>158</v>
      </c>
      <c r="E565" t="s">
        <v>47</v>
      </c>
      <c r="F565" s="4" t="s">
        <v>58</v>
      </c>
      <c r="G565" t="s">
        <v>239</v>
      </c>
      <c r="H565" t="s">
        <v>240</v>
      </c>
      <c r="I565" t="s">
        <v>382</v>
      </c>
      <c r="J565" t="s">
        <v>363</v>
      </c>
      <c r="K565" t="str">
        <f>Tabla14[[#This Row],[id]]&amp;Tabla14[[#This Row],[Resposable]]</f>
        <v>49Cesar Roque</v>
      </c>
      <c r="L565" t="str">
        <f>Tabla14[[#This Row],[id]]&amp;Tabla14[[#This Row],[Resposable]]</f>
        <v>49Cesar Roque</v>
      </c>
      <c r="M565" t="s">
        <v>240</v>
      </c>
    </row>
    <row r="566" spans="1:13" x14ac:dyDescent="0.25">
      <c r="A566" t="s">
        <v>25</v>
      </c>
      <c r="B566">
        <v>49</v>
      </c>
      <c r="C566" t="s">
        <v>5</v>
      </c>
      <c r="D566" t="s">
        <v>159</v>
      </c>
      <c r="E566" t="s">
        <v>47</v>
      </c>
      <c r="F566" s="4" t="s">
        <v>96</v>
      </c>
      <c r="G566" t="s">
        <v>239</v>
      </c>
      <c r="H566" t="s">
        <v>240</v>
      </c>
      <c r="I566" t="s">
        <v>382</v>
      </c>
      <c r="J566" t="s">
        <v>363</v>
      </c>
      <c r="K566" t="str">
        <f>Tabla14[[#This Row],[id]]&amp;Tabla14[[#This Row],[Resposable]]</f>
        <v>49Cesar Roque</v>
      </c>
      <c r="L566" t="str">
        <f>Tabla14[[#This Row],[id]]&amp;Tabla14[[#This Row],[Resposable]]</f>
        <v>49Cesar Roque</v>
      </c>
      <c r="M566" t="s">
        <v>240</v>
      </c>
    </row>
    <row r="567" spans="1:13" x14ac:dyDescent="0.25">
      <c r="A567" t="s">
        <v>25</v>
      </c>
      <c r="B567">
        <v>49</v>
      </c>
      <c r="C567" t="s">
        <v>8</v>
      </c>
      <c r="D567" t="s">
        <v>57</v>
      </c>
      <c r="E567" t="s">
        <v>47</v>
      </c>
      <c r="F567" s="4" t="s">
        <v>71</v>
      </c>
      <c r="G567" t="s">
        <v>239</v>
      </c>
      <c r="H567" t="s">
        <v>240</v>
      </c>
      <c r="I567" t="s">
        <v>382</v>
      </c>
      <c r="J567" t="s">
        <v>363</v>
      </c>
      <c r="K567" t="str">
        <f>Tabla14[[#This Row],[id]]&amp;Tabla14[[#This Row],[Resposable]]</f>
        <v>49Cesar Roque</v>
      </c>
      <c r="L567" t="str">
        <f>Tabla14[[#This Row],[id]]&amp;Tabla14[[#This Row],[Resposable]]</f>
        <v>49Cesar Roque</v>
      </c>
      <c r="M567" t="s">
        <v>240</v>
      </c>
    </row>
    <row r="568" spans="1:13" x14ac:dyDescent="0.25">
      <c r="A568" t="s">
        <v>25</v>
      </c>
      <c r="B568">
        <v>49</v>
      </c>
      <c r="C568" t="s">
        <v>5</v>
      </c>
      <c r="D568" t="s">
        <v>160</v>
      </c>
      <c r="E568" t="s">
        <v>47</v>
      </c>
      <c r="F568" s="4" t="s">
        <v>48</v>
      </c>
      <c r="G568" t="s">
        <v>239</v>
      </c>
      <c r="H568" t="s">
        <v>240</v>
      </c>
      <c r="I568" t="s">
        <v>382</v>
      </c>
      <c r="J568" t="s">
        <v>363</v>
      </c>
      <c r="K568" t="str">
        <f>Tabla14[[#This Row],[id]]&amp;Tabla14[[#This Row],[Resposable]]</f>
        <v>49Cesar Roque</v>
      </c>
      <c r="L568" t="str">
        <f>Tabla14[[#This Row],[id]]&amp;Tabla14[[#This Row],[Resposable]]</f>
        <v>49Cesar Roque</v>
      </c>
      <c r="M568" t="s">
        <v>240</v>
      </c>
    </row>
    <row r="569" spans="1:13" x14ac:dyDescent="0.25">
      <c r="A569" t="s">
        <v>28</v>
      </c>
      <c r="B569">
        <v>49</v>
      </c>
      <c r="C569" t="s">
        <v>7</v>
      </c>
      <c r="D569" t="s">
        <v>169</v>
      </c>
      <c r="E569" t="s">
        <v>47</v>
      </c>
      <c r="F569" s="4" t="s">
        <v>48</v>
      </c>
      <c r="G569" t="s">
        <v>239</v>
      </c>
      <c r="H569" t="s">
        <v>240</v>
      </c>
      <c r="I569" t="s">
        <v>382</v>
      </c>
      <c r="J569" t="s">
        <v>363</v>
      </c>
      <c r="K569" t="str">
        <f>Tabla14[[#This Row],[id]]&amp;Tabla14[[#This Row],[Resposable]]</f>
        <v>49Cesar Roque</v>
      </c>
      <c r="L569" t="str">
        <f>Tabla14[[#This Row],[id]]&amp;Tabla14[[#This Row],[Resposable]]</f>
        <v>49Cesar Roque</v>
      </c>
      <c r="M569" t="s">
        <v>240</v>
      </c>
    </row>
    <row r="570" spans="1:13" x14ac:dyDescent="0.25">
      <c r="A570" t="s">
        <v>301</v>
      </c>
      <c r="B570">
        <v>61</v>
      </c>
      <c r="C570" t="s">
        <v>7</v>
      </c>
      <c r="D570" t="s">
        <v>99</v>
      </c>
      <c r="E570" t="s">
        <v>47</v>
      </c>
      <c r="F570" s="4" t="s">
        <v>48</v>
      </c>
      <c r="G570" t="s">
        <v>239</v>
      </c>
      <c r="H570" t="s">
        <v>240</v>
      </c>
      <c r="I570" t="s">
        <v>382</v>
      </c>
      <c r="J570" t="s">
        <v>363</v>
      </c>
      <c r="K570" t="str">
        <f>Tabla14[[#This Row],[id]]&amp;Tabla14[[#This Row],[Resposable]]</f>
        <v>61Cesar Roque</v>
      </c>
      <c r="L570" t="str">
        <f>Tabla14[[#This Row],[id]]&amp;Tabla14[[#This Row],[Resposable]]</f>
        <v>61Cesar Roque</v>
      </c>
      <c r="M570" t="s">
        <v>240</v>
      </c>
    </row>
    <row r="571" spans="1:13" x14ac:dyDescent="0.25">
      <c r="A571" t="s">
        <v>301</v>
      </c>
      <c r="B571">
        <v>61</v>
      </c>
      <c r="C571" t="s">
        <v>8</v>
      </c>
      <c r="D571" t="s">
        <v>100</v>
      </c>
      <c r="E571" t="s">
        <v>47</v>
      </c>
      <c r="F571" s="4" t="s">
        <v>82</v>
      </c>
      <c r="G571" t="s">
        <v>239</v>
      </c>
      <c r="H571" t="s">
        <v>240</v>
      </c>
      <c r="I571" t="s">
        <v>382</v>
      </c>
      <c r="J571" t="s">
        <v>363</v>
      </c>
      <c r="K571" t="str">
        <f>Tabla14[[#This Row],[id]]&amp;Tabla14[[#This Row],[Resposable]]</f>
        <v>61Cesar Roque</v>
      </c>
      <c r="L571" t="str">
        <f>Tabla14[[#This Row],[id]]&amp;Tabla14[[#This Row],[Resposable]]</f>
        <v>61Cesar Roque</v>
      </c>
      <c r="M571" t="s">
        <v>240</v>
      </c>
    </row>
    <row r="572" spans="1:13" x14ac:dyDescent="0.25">
      <c r="A572" t="s">
        <v>301</v>
      </c>
      <c r="B572">
        <v>61</v>
      </c>
      <c r="C572" t="s">
        <v>5</v>
      </c>
      <c r="D572" t="s">
        <v>102</v>
      </c>
      <c r="E572" t="s">
        <v>47</v>
      </c>
      <c r="F572" s="4" t="s">
        <v>65</v>
      </c>
      <c r="G572" t="s">
        <v>239</v>
      </c>
      <c r="H572" t="s">
        <v>240</v>
      </c>
      <c r="I572" t="s">
        <v>382</v>
      </c>
      <c r="J572" t="s">
        <v>363</v>
      </c>
      <c r="K572" t="str">
        <f>Tabla14[[#This Row],[id]]&amp;Tabla14[[#This Row],[Resposable]]</f>
        <v>61Cesar Roque</v>
      </c>
      <c r="L572" t="str">
        <f>Tabla14[[#This Row],[id]]&amp;Tabla14[[#This Row],[Resposable]]</f>
        <v>61Cesar Roque</v>
      </c>
      <c r="M572" t="s">
        <v>240</v>
      </c>
    </row>
    <row r="573" spans="1:13" x14ac:dyDescent="0.25">
      <c r="A573" t="s">
        <v>301</v>
      </c>
      <c r="B573">
        <v>61</v>
      </c>
      <c r="C573" t="s">
        <v>8</v>
      </c>
      <c r="D573" t="s">
        <v>80</v>
      </c>
      <c r="E573" t="s">
        <v>47</v>
      </c>
      <c r="F573" s="4" t="s">
        <v>82</v>
      </c>
      <c r="G573" t="s">
        <v>239</v>
      </c>
      <c r="H573" t="s">
        <v>240</v>
      </c>
      <c r="I573" t="s">
        <v>382</v>
      </c>
      <c r="J573" t="s">
        <v>363</v>
      </c>
      <c r="K573" t="str">
        <f>Tabla14[[#This Row],[id]]&amp;Tabla14[[#This Row],[Resposable]]</f>
        <v>61Cesar Roque</v>
      </c>
      <c r="L573" t="str">
        <f>Tabla14[[#This Row],[id]]&amp;Tabla14[[#This Row],[Resposable]]</f>
        <v>61Cesar Roque</v>
      </c>
      <c r="M573" t="s">
        <v>240</v>
      </c>
    </row>
    <row r="574" spans="1:13" x14ac:dyDescent="0.25">
      <c r="A574" t="s">
        <v>301</v>
      </c>
      <c r="B574">
        <v>61</v>
      </c>
      <c r="C574" t="s">
        <v>20</v>
      </c>
      <c r="D574" t="s">
        <v>103</v>
      </c>
      <c r="E574" t="s">
        <v>47</v>
      </c>
      <c r="F574" s="4" t="s">
        <v>48</v>
      </c>
      <c r="G574" t="s">
        <v>239</v>
      </c>
      <c r="H574" t="s">
        <v>240</v>
      </c>
      <c r="I574" t="s">
        <v>382</v>
      </c>
      <c r="J574" t="s">
        <v>363</v>
      </c>
      <c r="K574" t="str">
        <f>Tabla14[[#This Row],[id]]&amp;Tabla14[[#This Row],[Resposable]]</f>
        <v>61Cesar Roque</v>
      </c>
      <c r="L574" t="str">
        <f>Tabla14[[#This Row],[id]]&amp;Tabla14[[#This Row],[Resposable]]</f>
        <v>61Cesar Roque</v>
      </c>
      <c r="M574" t="s">
        <v>240</v>
      </c>
    </row>
    <row r="575" spans="1:13" x14ac:dyDescent="0.25">
      <c r="A575" t="s">
        <v>301</v>
      </c>
      <c r="B575">
        <v>61</v>
      </c>
      <c r="C575" t="s">
        <v>8</v>
      </c>
      <c r="D575" t="s">
        <v>57</v>
      </c>
      <c r="E575" t="s">
        <v>47</v>
      </c>
      <c r="F575" s="4" t="s">
        <v>82</v>
      </c>
      <c r="G575" t="s">
        <v>239</v>
      </c>
      <c r="H575" t="s">
        <v>240</v>
      </c>
      <c r="I575" t="s">
        <v>382</v>
      </c>
      <c r="J575" t="s">
        <v>363</v>
      </c>
      <c r="K575" t="str">
        <f>Tabla14[[#This Row],[id]]&amp;Tabla14[[#This Row],[Resposable]]</f>
        <v>61Cesar Roque</v>
      </c>
      <c r="L575" t="str">
        <f>Tabla14[[#This Row],[id]]&amp;Tabla14[[#This Row],[Resposable]]</f>
        <v>61Cesar Roque</v>
      </c>
      <c r="M575" t="s">
        <v>240</v>
      </c>
    </row>
    <row r="576" spans="1:13" x14ac:dyDescent="0.25">
      <c r="A576" t="s">
        <v>301</v>
      </c>
      <c r="B576">
        <v>61</v>
      </c>
      <c r="C576" t="s">
        <v>7</v>
      </c>
      <c r="D576" t="s">
        <v>104</v>
      </c>
      <c r="E576" t="s">
        <v>47</v>
      </c>
      <c r="F576" s="4" t="s">
        <v>48</v>
      </c>
      <c r="G576" t="s">
        <v>239</v>
      </c>
      <c r="H576" t="s">
        <v>240</v>
      </c>
      <c r="I576" t="s">
        <v>382</v>
      </c>
      <c r="J576" t="s">
        <v>363</v>
      </c>
      <c r="K576" t="str">
        <f>Tabla14[[#This Row],[id]]&amp;Tabla14[[#This Row],[Resposable]]</f>
        <v>61Cesar Roque</v>
      </c>
      <c r="L576" t="str">
        <f>Tabla14[[#This Row],[id]]&amp;Tabla14[[#This Row],[Resposable]]</f>
        <v>61Cesar Roque</v>
      </c>
      <c r="M576" t="s">
        <v>240</v>
      </c>
    </row>
    <row r="577" spans="1:13" x14ac:dyDescent="0.25">
      <c r="A577" t="s">
        <v>304</v>
      </c>
      <c r="B577">
        <v>62</v>
      </c>
      <c r="C577" t="s">
        <v>7</v>
      </c>
      <c r="D577" t="s">
        <v>99</v>
      </c>
      <c r="E577" t="s">
        <v>47</v>
      </c>
      <c r="F577" s="4" t="s">
        <v>48</v>
      </c>
      <c r="G577" t="s">
        <v>239</v>
      </c>
      <c r="H577" t="s">
        <v>240</v>
      </c>
      <c r="I577" t="s">
        <v>382</v>
      </c>
      <c r="J577" t="s">
        <v>363</v>
      </c>
      <c r="K577" t="str">
        <f>Tabla14[[#This Row],[id]]&amp;Tabla14[[#This Row],[Resposable]]</f>
        <v>62Cesar Roque</v>
      </c>
      <c r="L577" t="str">
        <f>Tabla14[[#This Row],[id]]&amp;Tabla14[[#This Row],[Resposable]]</f>
        <v>62Cesar Roque</v>
      </c>
      <c r="M577" t="s">
        <v>240</v>
      </c>
    </row>
    <row r="578" spans="1:13" x14ac:dyDescent="0.25">
      <c r="A578" t="s">
        <v>304</v>
      </c>
      <c r="B578">
        <v>62</v>
      </c>
      <c r="C578" t="s">
        <v>8</v>
      </c>
      <c r="D578" t="s">
        <v>100</v>
      </c>
      <c r="E578" t="s">
        <v>47</v>
      </c>
      <c r="F578" s="4" t="s">
        <v>82</v>
      </c>
      <c r="G578" t="s">
        <v>239</v>
      </c>
      <c r="H578" t="s">
        <v>240</v>
      </c>
      <c r="I578" t="s">
        <v>382</v>
      </c>
      <c r="J578" t="s">
        <v>363</v>
      </c>
      <c r="K578" t="str">
        <f>Tabla14[[#This Row],[id]]&amp;Tabla14[[#This Row],[Resposable]]</f>
        <v>62Cesar Roque</v>
      </c>
      <c r="L578" t="str">
        <f>Tabla14[[#This Row],[id]]&amp;Tabla14[[#This Row],[Resposable]]</f>
        <v>62Cesar Roque</v>
      </c>
      <c r="M578" t="s">
        <v>240</v>
      </c>
    </row>
    <row r="579" spans="1:13" x14ac:dyDescent="0.25">
      <c r="A579" t="s">
        <v>304</v>
      </c>
      <c r="B579">
        <v>62</v>
      </c>
      <c r="C579" t="s">
        <v>5</v>
      </c>
      <c r="D579" t="s">
        <v>102</v>
      </c>
      <c r="E579" t="s">
        <v>47</v>
      </c>
      <c r="F579" s="4" t="s">
        <v>65</v>
      </c>
      <c r="G579" t="s">
        <v>239</v>
      </c>
      <c r="H579" t="s">
        <v>240</v>
      </c>
      <c r="I579" t="s">
        <v>382</v>
      </c>
      <c r="J579" t="s">
        <v>363</v>
      </c>
      <c r="K579" t="str">
        <f>Tabla14[[#This Row],[id]]&amp;Tabla14[[#This Row],[Resposable]]</f>
        <v>62Cesar Roque</v>
      </c>
      <c r="L579" t="str">
        <f>Tabla14[[#This Row],[id]]&amp;Tabla14[[#This Row],[Resposable]]</f>
        <v>62Cesar Roque</v>
      </c>
      <c r="M579" t="s">
        <v>240</v>
      </c>
    </row>
    <row r="580" spans="1:13" x14ac:dyDescent="0.25">
      <c r="A580" t="s">
        <v>304</v>
      </c>
      <c r="B580">
        <v>62</v>
      </c>
      <c r="C580" t="s">
        <v>8</v>
      </c>
      <c r="D580" t="s">
        <v>80</v>
      </c>
      <c r="E580" t="s">
        <v>47</v>
      </c>
      <c r="F580" s="4" t="s">
        <v>82</v>
      </c>
      <c r="G580" t="s">
        <v>239</v>
      </c>
      <c r="H580" t="s">
        <v>240</v>
      </c>
      <c r="I580" t="s">
        <v>382</v>
      </c>
      <c r="J580" t="s">
        <v>363</v>
      </c>
      <c r="K580" t="str">
        <f>Tabla14[[#This Row],[id]]&amp;Tabla14[[#This Row],[Resposable]]</f>
        <v>62Cesar Roque</v>
      </c>
      <c r="L580" t="str">
        <f>Tabla14[[#This Row],[id]]&amp;Tabla14[[#This Row],[Resposable]]</f>
        <v>62Cesar Roque</v>
      </c>
      <c r="M580" t="s">
        <v>240</v>
      </c>
    </row>
    <row r="581" spans="1:13" x14ac:dyDescent="0.25">
      <c r="A581" t="s">
        <v>304</v>
      </c>
      <c r="B581">
        <v>62</v>
      </c>
      <c r="C581" t="s">
        <v>20</v>
      </c>
      <c r="D581" t="s">
        <v>103</v>
      </c>
      <c r="E581" t="s">
        <v>47</v>
      </c>
      <c r="F581" s="4" t="s">
        <v>48</v>
      </c>
      <c r="G581" t="s">
        <v>239</v>
      </c>
      <c r="H581" t="s">
        <v>240</v>
      </c>
      <c r="I581" t="s">
        <v>382</v>
      </c>
      <c r="J581" t="s">
        <v>363</v>
      </c>
      <c r="K581" t="str">
        <f>Tabla14[[#This Row],[id]]&amp;Tabla14[[#This Row],[Resposable]]</f>
        <v>62Cesar Roque</v>
      </c>
      <c r="L581" t="str">
        <f>Tabla14[[#This Row],[id]]&amp;Tabla14[[#This Row],[Resposable]]</f>
        <v>62Cesar Roque</v>
      </c>
      <c r="M581" t="s">
        <v>240</v>
      </c>
    </row>
    <row r="582" spans="1:13" x14ac:dyDescent="0.25">
      <c r="A582" t="s">
        <v>304</v>
      </c>
      <c r="B582">
        <v>62</v>
      </c>
      <c r="C582" t="s">
        <v>8</v>
      </c>
      <c r="D582" t="s">
        <v>57</v>
      </c>
      <c r="E582" t="s">
        <v>47</v>
      </c>
      <c r="F582" s="4" t="s">
        <v>82</v>
      </c>
      <c r="G582" t="s">
        <v>239</v>
      </c>
      <c r="H582" t="s">
        <v>240</v>
      </c>
      <c r="I582" t="s">
        <v>382</v>
      </c>
      <c r="J582" t="s">
        <v>363</v>
      </c>
      <c r="K582" t="str">
        <f>Tabla14[[#This Row],[id]]&amp;Tabla14[[#This Row],[Resposable]]</f>
        <v>62Cesar Roque</v>
      </c>
      <c r="L582" t="str">
        <f>Tabla14[[#This Row],[id]]&amp;Tabla14[[#This Row],[Resposable]]</f>
        <v>62Cesar Roque</v>
      </c>
      <c r="M582" t="s">
        <v>240</v>
      </c>
    </row>
    <row r="583" spans="1:13" x14ac:dyDescent="0.25">
      <c r="A583" t="s">
        <v>304</v>
      </c>
      <c r="B583">
        <v>62</v>
      </c>
      <c r="C583" t="s">
        <v>7</v>
      </c>
      <c r="D583" t="s">
        <v>104</v>
      </c>
      <c r="E583" t="s">
        <v>47</v>
      </c>
      <c r="F583" s="4" t="s">
        <v>48</v>
      </c>
      <c r="G583" t="s">
        <v>239</v>
      </c>
      <c r="H583" t="s">
        <v>240</v>
      </c>
      <c r="I583" t="s">
        <v>382</v>
      </c>
      <c r="J583" t="s">
        <v>363</v>
      </c>
      <c r="K583" t="str">
        <f>Tabla14[[#This Row],[id]]&amp;Tabla14[[#This Row],[Resposable]]</f>
        <v>62Cesar Roque</v>
      </c>
      <c r="L583" t="str">
        <f>Tabla14[[#This Row],[id]]&amp;Tabla14[[#This Row],[Resposable]]</f>
        <v>62Cesar Roque</v>
      </c>
      <c r="M583" t="s">
        <v>240</v>
      </c>
    </row>
    <row r="584" spans="1:13" x14ac:dyDescent="0.25">
      <c r="A584" s="18" t="s">
        <v>31</v>
      </c>
      <c r="B584" s="18">
        <v>130</v>
      </c>
      <c r="C584" s="18" t="s">
        <v>18</v>
      </c>
      <c r="D584" s="18" t="s">
        <v>187</v>
      </c>
      <c r="E584" s="18" t="s">
        <v>47</v>
      </c>
      <c r="F584" s="19" t="s">
        <v>48</v>
      </c>
      <c r="G584" s="18" t="s">
        <v>239</v>
      </c>
      <c r="H584" t="s">
        <v>240</v>
      </c>
      <c r="I584" t="s">
        <v>382</v>
      </c>
      <c r="J584" t="s">
        <v>363</v>
      </c>
      <c r="K584" t="str">
        <f>Tabla14[[#This Row],[id]]&amp;Tabla14[[#This Row],[Resposable]]</f>
        <v>130Cesar Roque</v>
      </c>
      <c r="L584" t="str">
        <f>Tabla14[[#This Row],[id]]&amp;Tabla14[[#This Row],[Resposable]]</f>
        <v>130Cesar Roque</v>
      </c>
      <c r="M584" t="s">
        <v>240</v>
      </c>
    </row>
    <row r="585" spans="1:13" x14ac:dyDescent="0.25">
      <c r="A585" s="18" t="s">
        <v>31</v>
      </c>
      <c r="B585" s="18">
        <v>130</v>
      </c>
      <c r="C585" s="18" t="s">
        <v>8</v>
      </c>
      <c r="D585" s="18" t="s">
        <v>188</v>
      </c>
      <c r="E585" s="18" t="s">
        <v>47</v>
      </c>
      <c r="F585" s="19" t="s">
        <v>71</v>
      </c>
      <c r="G585" s="18" t="s">
        <v>239</v>
      </c>
      <c r="H585" t="s">
        <v>240</v>
      </c>
      <c r="I585" t="s">
        <v>382</v>
      </c>
      <c r="J585" t="s">
        <v>363</v>
      </c>
      <c r="K585" t="str">
        <f>Tabla14[[#This Row],[id]]&amp;Tabla14[[#This Row],[Resposable]]</f>
        <v>130Cesar Roque</v>
      </c>
      <c r="L585" t="str">
        <f>Tabla14[[#This Row],[id]]&amp;Tabla14[[#This Row],[Resposable]]</f>
        <v>130Cesar Roque</v>
      </c>
      <c r="M585" t="s">
        <v>240</v>
      </c>
    </row>
    <row r="586" spans="1:13" x14ac:dyDescent="0.25">
      <c r="A586" s="18" t="s">
        <v>31</v>
      </c>
      <c r="B586" s="18">
        <v>130</v>
      </c>
      <c r="C586" s="18" t="s">
        <v>7</v>
      </c>
      <c r="D586" s="18" t="s">
        <v>189</v>
      </c>
      <c r="E586" s="18" t="s">
        <v>47</v>
      </c>
      <c r="F586" s="19" t="s">
        <v>77</v>
      </c>
      <c r="G586" s="18" t="s">
        <v>239</v>
      </c>
      <c r="H586" t="s">
        <v>240</v>
      </c>
      <c r="I586" t="s">
        <v>382</v>
      </c>
      <c r="J586" t="s">
        <v>363</v>
      </c>
      <c r="K586" t="str">
        <f>Tabla14[[#This Row],[id]]&amp;Tabla14[[#This Row],[Resposable]]</f>
        <v>130Cesar Roque</v>
      </c>
      <c r="L586" t="str">
        <f>Tabla14[[#This Row],[id]]&amp;Tabla14[[#This Row],[Resposable]]</f>
        <v>130Cesar Roque</v>
      </c>
      <c r="M586" t="s">
        <v>240</v>
      </c>
    </row>
    <row r="587" spans="1:13" x14ac:dyDescent="0.25">
      <c r="A587" s="18" t="s">
        <v>31</v>
      </c>
      <c r="B587" s="18">
        <v>130</v>
      </c>
      <c r="C587" s="18" t="s">
        <v>7</v>
      </c>
      <c r="D587" s="18" t="s">
        <v>190</v>
      </c>
      <c r="E587" s="18" t="s">
        <v>47</v>
      </c>
      <c r="F587" s="19" t="s">
        <v>71</v>
      </c>
      <c r="G587" s="18" t="s">
        <v>239</v>
      </c>
      <c r="H587" t="s">
        <v>240</v>
      </c>
      <c r="I587" t="s">
        <v>382</v>
      </c>
      <c r="J587" t="s">
        <v>363</v>
      </c>
      <c r="K587" t="str">
        <f>Tabla14[[#This Row],[id]]&amp;Tabla14[[#This Row],[Resposable]]</f>
        <v>130Cesar Roque</v>
      </c>
      <c r="L587" t="str">
        <f>Tabla14[[#This Row],[id]]&amp;Tabla14[[#This Row],[Resposable]]</f>
        <v>130Cesar Roque</v>
      </c>
      <c r="M587" t="s">
        <v>240</v>
      </c>
    </row>
    <row r="588" spans="1:13" x14ac:dyDescent="0.25">
      <c r="A588" s="18" t="s">
        <v>31</v>
      </c>
      <c r="B588" s="18">
        <v>130</v>
      </c>
      <c r="C588" s="18" t="s">
        <v>7</v>
      </c>
      <c r="D588" s="18" t="s">
        <v>191</v>
      </c>
      <c r="E588" s="18" t="s">
        <v>47</v>
      </c>
      <c r="F588" s="19" t="s">
        <v>77</v>
      </c>
      <c r="G588" s="18" t="s">
        <v>239</v>
      </c>
      <c r="H588" t="s">
        <v>240</v>
      </c>
      <c r="I588" t="s">
        <v>382</v>
      </c>
      <c r="J588" t="s">
        <v>363</v>
      </c>
      <c r="K588" t="str">
        <f>Tabla14[[#This Row],[id]]&amp;Tabla14[[#This Row],[Resposable]]</f>
        <v>130Cesar Roque</v>
      </c>
      <c r="L588" t="str">
        <f>Tabla14[[#This Row],[id]]&amp;Tabla14[[#This Row],[Resposable]]</f>
        <v>130Cesar Roque</v>
      </c>
      <c r="M588" t="s">
        <v>240</v>
      </c>
    </row>
    <row r="589" spans="1:13" x14ac:dyDescent="0.25">
      <c r="A589" s="18" t="s">
        <v>31</v>
      </c>
      <c r="B589" s="18">
        <v>130</v>
      </c>
      <c r="C589" s="18" t="s">
        <v>20</v>
      </c>
      <c r="D589" s="18" t="s">
        <v>192</v>
      </c>
      <c r="E589" s="18" t="s">
        <v>47</v>
      </c>
      <c r="F589" s="19" t="s">
        <v>82</v>
      </c>
      <c r="G589" s="18" t="s">
        <v>239</v>
      </c>
      <c r="H589" t="s">
        <v>240</v>
      </c>
      <c r="I589" t="s">
        <v>382</v>
      </c>
      <c r="J589" t="s">
        <v>363</v>
      </c>
      <c r="K589" t="str">
        <f>Tabla14[[#This Row],[id]]&amp;Tabla14[[#This Row],[Resposable]]</f>
        <v>130Cesar Roque</v>
      </c>
      <c r="L589" t="str">
        <f>Tabla14[[#This Row],[id]]&amp;Tabla14[[#This Row],[Resposable]]</f>
        <v>130Cesar Roque</v>
      </c>
      <c r="M589" t="s">
        <v>240</v>
      </c>
    </row>
    <row r="590" spans="1:13" x14ac:dyDescent="0.25">
      <c r="A590" s="18" t="s">
        <v>368</v>
      </c>
      <c r="B590" s="18">
        <v>178</v>
      </c>
      <c r="C590" s="18" t="s">
        <v>7</v>
      </c>
      <c r="D590" s="18" t="s">
        <v>73</v>
      </c>
      <c r="E590" s="18" t="s">
        <v>47</v>
      </c>
      <c r="F590" s="19" t="s">
        <v>48</v>
      </c>
      <c r="G590" s="18" t="s">
        <v>239</v>
      </c>
      <c r="H590" t="s">
        <v>240</v>
      </c>
      <c r="I590" t="s">
        <v>382</v>
      </c>
      <c r="J590" t="s">
        <v>363</v>
      </c>
      <c r="K590" t="str">
        <f>Tabla14[[#This Row],[id]]&amp;Tabla14[[#This Row],[Resposable]]</f>
        <v>178Cesar Roque</v>
      </c>
      <c r="L590" t="str">
        <f>Tabla14[[#This Row],[id]]&amp;Tabla14[[#This Row],[Resposable]]</f>
        <v>178Cesar Roque</v>
      </c>
      <c r="M590" t="s">
        <v>240</v>
      </c>
    </row>
    <row r="591" spans="1:13" x14ac:dyDescent="0.25">
      <c r="A591" s="18" t="s">
        <v>368</v>
      </c>
      <c r="B591" s="18">
        <v>178</v>
      </c>
      <c r="C591" s="18" t="s">
        <v>7</v>
      </c>
      <c r="D591" s="18" t="s">
        <v>74</v>
      </c>
      <c r="E591" s="18" t="s">
        <v>47</v>
      </c>
      <c r="F591" s="19" t="s">
        <v>48</v>
      </c>
      <c r="G591" s="18" t="s">
        <v>239</v>
      </c>
      <c r="H591" t="s">
        <v>240</v>
      </c>
      <c r="I591" t="s">
        <v>382</v>
      </c>
      <c r="J591" t="s">
        <v>363</v>
      </c>
      <c r="K591" t="str">
        <f>Tabla14[[#This Row],[id]]&amp;Tabla14[[#This Row],[Resposable]]</f>
        <v>178Cesar Roque</v>
      </c>
      <c r="L591" t="str">
        <f>Tabla14[[#This Row],[id]]&amp;Tabla14[[#This Row],[Resposable]]</f>
        <v>178Cesar Roque</v>
      </c>
      <c r="M591" t="s">
        <v>240</v>
      </c>
    </row>
    <row r="592" spans="1:13" x14ac:dyDescent="0.25">
      <c r="A592" s="18" t="s">
        <v>368</v>
      </c>
      <c r="B592" s="18">
        <v>178</v>
      </c>
      <c r="C592" s="18" t="s">
        <v>7</v>
      </c>
      <c r="D592" s="18" t="s">
        <v>75</v>
      </c>
      <c r="E592" s="18" t="s">
        <v>47</v>
      </c>
      <c r="F592" s="19" t="s">
        <v>48</v>
      </c>
      <c r="G592" s="18" t="s">
        <v>239</v>
      </c>
      <c r="H592" t="s">
        <v>240</v>
      </c>
      <c r="I592" t="s">
        <v>382</v>
      </c>
      <c r="J592" t="s">
        <v>363</v>
      </c>
      <c r="K592" t="str">
        <f>Tabla14[[#This Row],[id]]&amp;Tabla14[[#This Row],[Resposable]]</f>
        <v>178Cesar Roque</v>
      </c>
      <c r="L592" t="str">
        <f>Tabla14[[#This Row],[id]]&amp;Tabla14[[#This Row],[Resposable]]</f>
        <v>178Cesar Roque</v>
      </c>
      <c r="M592" t="s">
        <v>240</v>
      </c>
    </row>
    <row r="593" spans="1:13" x14ac:dyDescent="0.25">
      <c r="A593" s="18" t="s">
        <v>368</v>
      </c>
      <c r="B593" s="18">
        <v>178</v>
      </c>
      <c r="C593" s="18" t="s">
        <v>7</v>
      </c>
      <c r="D593" s="18" t="s">
        <v>76</v>
      </c>
      <c r="E593" s="18" t="s">
        <v>47</v>
      </c>
      <c r="F593" s="19" t="s">
        <v>77</v>
      </c>
      <c r="G593" s="18" t="s">
        <v>239</v>
      </c>
      <c r="H593" t="s">
        <v>240</v>
      </c>
      <c r="I593" t="s">
        <v>382</v>
      </c>
      <c r="J593" t="s">
        <v>363</v>
      </c>
      <c r="K593" t="str">
        <f>Tabla14[[#This Row],[id]]&amp;Tabla14[[#This Row],[Resposable]]</f>
        <v>178Cesar Roque</v>
      </c>
      <c r="L593" t="str">
        <f>Tabla14[[#This Row],[id]]&amp;Tabla14[[#This Row],[Resposable]]</f>
        <v>178Cesar Roque</v>
      </c>
      <c r="M593" t="s">
        <v>240</v>
      </c>
    </row>
    <row r="594" spans="1:13" x14ac:dyDescent="0.25">
      <c r="A594" t="s">
        <v>322</v>
      </c>
      <c r="B594">
        <v>123</v>
      </c>
      <c r="C594" t="s">
        <v>7</v>
      </c>
      <c r="D594" t="s">
        <v>174</v>
      </c>
      <c r="E594" t="s">
        <v>47</v>
      </c>
      <c r="F594" s="4" t="s">
        <v>175</v>
      </c>
      <c r="G594" t="s">
        <v>239</v>
      </c>
      <c r="H594" t="s">
        <v>29</v>
      </c>
      <c r="I594" t="s">
        <v>382</v>
      </c>
      <c r="J594" t="s">
        <v>363</v>
      </c>
      <c r="K594" t="str">
        <f>Tabla14[[#This Row],[id]]&amp;Tabla14[[#This Row],[Resposable]]</f>
        <v>123Cesar Roque</v>
      </c>
      <c r="L594" t="str">
        <f>Tabla14[[#This Row],[id]]&amp;Tabla14[[#This Row],[Resposable]]</f>
        <v>123Cesar Roque</v>
      </c>
      <c r="M594" t="s">
        <v>29</v>
      </c>
    </row>
    <row r="595" spans="1:13" x14ac:dyDescent="0.25">
      <c r="A595" t="s">
        <v>322</v>
      </c>
      <c r="B595">
        <v>123</v>
      </c>
      <c r="C595" t="s">
        <v>6</v>
      </c>
      <c r="D595" t="s">
        <v>176</v>
      </c>
      <c r="E595" t="s">
        <v>54</v>
      </c>
      <c r="F595" s="4" t="s">
        <v>77</v>
      </c>
      <c r="G595" t="s">
        <v>239</v>
      </c>
      <c r="H595" t="s">
        <v>29</v>
      </c>
      <c r="I595" t="s">
        <v>382</v>
      </c>
      <c r="J595" t="s">
        <v>363</v>
      </c>
      <c r="K595" t="str">
        <f>Tabla14[[#This Row],[id]]&amp;Tabla14[[#This Row],[Resposable]]</f>
        <v>123Cesar Roque</v>
      </c>
      <c r="L595" t="str">
        <f>Tabla14[[#This Row],[id]]&amp;Tabla14[[#This Row],[Resposable]]</f>
        <v>123Cesar Roque</v>
      </c>
      <c r="M595" t="s">
        <v>29</v>
      </c>
    </row>
    <row r="596" spans="1:13" x14ac:dyDescent="0.25">
      <c r="A596" t="s">
        <v>322</v>
      </c>
      <c r="B596">
        <v>123</v>
      </c>
      <c r="C596" t="s">
        <v>6</v>
      </c>
      <c r="D596" t="s">
        <v>177</v>
      </c>
      <c r="E596" t="s">
        <v>47</v>
      </c>
      <c r="F596" s="4" t="s">
        <v>77</v>
      </c>
      <c r="G596" t="s">
        <v>239</v>
      </c>
      <c r="H596" t="s">
        <v>29</v>
      </c>
      <c r="I596" t="s">
        <v>382</v>
      </c>
      <c r="J596" t="s">
        <v>363</v>
      </c>
      <c r="K596" t="str">
        <f>Tabla14[[#This Row],[id]]&amp;Tabla14[[#This Row],[Resposable]]</f>
        <v>123Cesar Roque</v>
      </c>
      <c r="L596" t="str">
        <f>Tabla14[[#This Row],[id]]&amp;Tabla14[[#This Row],[Resposable]]</f>
        <v>123Cesar Roque</v>
      </c>
      <c r="M596" t="s">
        <v>29</v>
      </c>
    </row>
    <row r="597" spans="1:13" x14ac:dyDescent="0.25">
      <c r="A597" t="s">
        <v>322</v>
      </c>
      <c r="B597">
        <v>123</v>
      </c>
      <c r="C597" t="s">
        <v>6</v>
      </c>
      <c r="D597" t="s">
        <v>171</v>
      </c>
      <c r="E597" t="s">
        <v>47</v>
      </c>
      <c r="F597" s="4" t="s">
        <v>82</v>
      </c>
      <c r="G597" t="s">
        <v>239</v>
      </c>
      <c r="H597" t="s">
        <v>29</v>
      </c>
      <c r="I597" t="s">
        <v>382</v>
      </c>
      <c r="J597" t="s">
        <v>363</v>
      </c>
      <c r="K597" t="str">
        <f>Tabla14[[#This Row],[id]]&amp;Tabla14[[#This Row],[Resposable]]</f>
        <v>123Cesar Roque</v>
      </c>
      <c r="L597" t="str">
        <f>Tabla14[[#This Row],[id]]&amp;Tabla14[[#This Row],[Resposable]]</f>
        <v>123Cesar Roque</v>
      </c>
      <c r="M597" t="s">
        <v>29</v>
      </c>
    </row>
    <row r="598" spans="1:13" x14ac:dyDescent="0.25">
      <c r="A598" t="s">
        <v>322</v>
      </c>
      <c r="B598">
        <v>123</v>
      </c>
      <c r="C598" t="s">
        <v>7</v>
      </c>
      <c r="D598" t="s">
        <v>178</v>
      </c>
      <c r="E598" t="s">
        <v>47</v>
      </c>
      <c r="F598" s="4" t="s">
        <v>58</v>
      </c>
      <c r="G598" t="s">
        <v>239</v>
      </c>
      <c r="H598" t="s">
        <v>29</v>
      </c>
      <c r="I598" t="s">
        <v>382</v>
      </c>
      <c r="J598" t="s">
        <v>363</v>
      </c>
      <c r="K598" t="str">
        <f>Tabla14[[#This Row],[id]]&amp;Tabla14[[#This Row],[Resposable]]</f>
        <v>123Cesar Roque</v>
      </c>
      <c r="L598" t="str">
        <f>Tabla14[[#This Row],[id]]&amp;Tabla14[[#This Row],[Resposable]]</f>
        <v>123Cesar Roque</v>
      </c>
      <c r="M598" t="s">
        <v>29</v>
      </c>
    </row>
    <row r="599" spans="1:13" x14ac:dyDescent="0.25">
      <c r="A599" t="s">
        <v>322</v>
      </c>
      <c r="B599">
        <v>123</v>
      </c>
      <c r="C599" t="s">
        <v>8</v>
      </c>
      <c r="D599" t="s">
        <v>180</v>
      </c>
      <c r="E599" t="s">
        <v>47</v>
      </c>
      <c r="F599" s="4" t="s">
        <v>77</v>
      </c>
      <c r="G599" t="s">
        <v>239</v>
      </c>
      <c r="H599" t="s">
        <v>29</v>
      </c>
      <c r="I599" t="s">
        <v>382</v>
      </c>
      <c r="J599" t="s">
        <v>363</v>
      </c>
      <c r="K599" t="str">
        <f>Tabla14[[#This Row],[id]]&amp;Tabla14[[#This Row],[Resposable]]</f>
        <v>123Cesar Roque</v>
      </c>
      <c r="L599" t="str">
        <f>Tabla14[[#This Row],[id]]&amp;Tabla14[[#This Row],[Resposable]]</f>
        <v>123Cesar Roque</v>
      </c>
      <c r="M599" t="s">
        <v>29</v>
      </c>
    </row>
    <row r="600" spans="1:13" x14ac:dyDescent="0.25">
      <c r="A600" t="s">
        <v>322</v>
      </c>
      <c r="B600">
        <v>123</v>
      </c>
      <c r="C600" t="s">
        <v>18</v>
      </c>
      <c r="D600" t="s">
        <v>181</v>
      </c>
      <c r="E600" t="s">
        <v>47</v>
      </c>
      <c r="F600" s="4" t="s">
        <v>48</v>
      </c>
      <c r="G600" t="s">
        <v>239</v>
      </c>
      <c r="H600" t="s">
        <v>29</v>
      </c>
      <c r="I600" t="s">
        <v>382</v>
      </c>
      <c r="J600" t="s">
        <v>363</v>
      </c>
      <c r="K600" t="str">
        <f>Tabla14[[#This Row],[id]]&amp;Tabla14[[#This Row],[Resposable]]</f>
        <v>123Cesar Roque</v>
      </c>
      <c r="L600" t="str">
        <f>Tabla14[[#This Row],[id]]&amp;Tabla14[[#This Row],[Resposable]]</f>
        <v>123Cesar Roque</v>
      </c>
      <c r="M600" t="s">
        <v>29</v>
      </c>
    </row>
    <row r="601" spans="1:13" x14ac:dyDescent="0.25">
      <c r="A601" t="s">
        <v>322</v>
      </c>
      <c r="B601">
        <v>123</v>
      </c>
      <c r="C601" t="s">
        <v>18</v>
      </c>
      <c r="D601" t="s">
        <v>182</v>
      </c>
      <c r="E601" t="s">
        <v>47</v>
      </c>
      <c r="F601" s="4" t="s">
        <v>48</v>
      </c>
      <c r="G601" t="s">
        <v>239</v>
      </c>
      <c r="H601" t="s">
        <v>29</v>
      </c>
      <c r="I601" t="s">
        <v>382</v>
      </c>
      <c r="J601" t="s">
        <v>363</v>
      </c>
      <c r="K601" t="str">
        <f>Tabla14[[#This Row],[id]]&amp;Tabla14[[#This Row],[Resposable]]</f>
        <v>123Cesar Roque</v>
      </c>
      <c r="L601" t="str">
        <f>Tabla14[[#This Row],[id]]&amp;Tabla14[[#This Row],[Resposable]]</f>
        <v>123Cesar Roque</v>
      </c>
      <c r="M601" t="s">
        <v>29</v>
      </c>
    </row>
    <row r="602" spans="1:13" x14ac:dyDescent="0.25">
      <c r="A602" t="s">
        <v>322</v>
      </c>
      <c r="B602">
        <v>123</v>
      </c>
      <c r="C602" t="s">
        <v>18</v>
      </c>
      <c r="D602" t="s">
        <v>183</v>
      </c>
      <c r="E602" t="s">
        <v>47</v>
      </c>
      <c r="F602" s="4" t="s">
        <v>184</v>
      </c>
      <c r="G602" t="s">
        <v>239</v>
      </c>
      <c r="H602" t="s">
        <v>29</v>
      </c>
      <c r="I602" t="s">
        <v>382</v>
      </c>
      <c r="J602" t="s">
        <v>363</v>
      </c>
      <c r="K602" t="str">
        <f>Tabla14[[#This Row],[id]]&amp;Tabla14[[#This Row],[Resposable]]</f>
        <v>123Cesar Roque</v>
      </c>
      <c r="L602" t="str">
        <f>Tabla14[[#This Row],[id]]&amp;Tabla14[[#This Row],[Resposable]]</f>
        <v>123Cesar Roque</v>
      </c>
      <c r="M602" t="s">
        <v>29</v>
      </c>
    </row>
    <row r="603" spans="1:13" x14ac:dyDescent="0.25">
      <c r="A603" t="s">
        <v>322</v>
      </c>
      <c r="B603">
        <v>123</v>
      </c>
      <c r="C603" t="s">
        <v>7</v>
      </c>
      <c r="D603" t="s">
        <v>173</v>
      </c>
      <c r="E603" t="s">
        <v>47</v>
      </c>
      <c r="F603" s="4" t="s">
        <v>71</v>
      </c>
      <c r="G603" t="s">
        <v>239</v>
      </c>
      <c r="H603" t="s">
        <v>29</v>
      </c>
      <c r="I603" t="s">
        <v>382</v>
      </c>
      <c r="J603" t="s">
        <v>363</v>
      </c>
      <c r="K603" t="str">
        <f>Tabla14[[#This Row],[id]]&amp;Tabla14[[#This Row],[Resposable]]</f>
        <v>123Cesar Roque</v>
      </c>
      <c r="L603" t="str">
        <f>Tabla14[[#This Row],[id]]&amp;Tabla14[[#This Row],[Resposable]]</f>
        <v>123Cesar Roque</v>
      </c>
      <c r="M603" t="s">
        <v>29</v>
      </c>
    </row>
    <row r="604" spans="1:13" x14ac:dyDescent="0.25">
      <c r="A604" t="s">
        <v>322</v>
      </c>
      <c r="B604">
        <v>123</v>
      </c>
      <c r="C604" t="s">
        <v>6</v>
      </c>
      <c r="D604" t="s">
        <v>186</v>
      </c>
      <c r="E604" t="s">
        <v>47</v>
      </c>
      <c r="F604" s="4" t="s">
        <v>71</v>
      </c>
      <c r="G604" t="s">
        <v>239</v>
      </c>
      <c r="H604" t="s">
        <v>29</v>
      </c>
      <c r="I604" t="s">
        <v>382</v>
      </c>
      <c r="J604" t="s">
        <v>363</v>
      </c>
      <c r="K604" t="str">
        <f>Tabla14[[#This Row],[id]]&amp;Tabla14[[#This Row],[Resposable]]</f>
        <v>123Cesar Roque</v>
      </c>
      <c r="L604" t="str">
        <f>Tabla14[[#This Row],[id]]&amp;Tabla14[[#This Row],[Resposable]]</f>
        <v>123Cesar Roque</v>
      </c>
      <c r="M604" t="s">
        <v>29</v>
      </c>
    </row>
    <row r="605" spans="1:13" x14ac:dyDescent="0.25">
      <c r="A605" t="s">
        <v>306</v>
      </c>
      <c r="B605">
        <v>63</v>
      </c>
      <c r="C605" t="s">
        <v>6</v>
      </c>
      <c r="D605" t="s">
        <v>101</v>
      </c>
      <c r="E605" t="s">
        <v>47</v>
      </c>
      <c r="F605" s="4" t="s">
        <v>50</v>
      </c>
      <c r="G605" t="s">
        <v>239</v>
      </c>
      <c r="H605" t="s">
        <v>241</v>
      </c>
      <c r="I605" t="s">
        <v>386</v>
      </c>
      <c r="J605" t="s">
        <v>361</v>
      </c>
      <c r="K605" t="str">
        <f>Tabla14[[#This Row],[id]]&amp;Tabla14[[#This Row],[Resposable]]</f>
        <v>63Christopher Yuman</v>
      </c>
      <c r="L605" t="str">
        <f>Tabla14[[#This Row],[id]]&amp;Tabla14[[#This Row],[Resposable]]</f>
        <v>63Christopher Yuman</v>
      </c>
      <c r="M605" t="s">
        <v>241</v>
      </c>
    </row>
    <row r="606" spans="1:13" x14ac:dyDescent="0.25">
      <c r="A606" t="s">
        <v>307</v>
      </c>
      <c r="B606">
        <v>64</v>
      </c>
      <c r="C606" t="s">
        <v>6</v>
      </c>
      <c r="D606" t="s">
        <v>101</v>
      </c>
      <c r="E606" t="s">
        <v>47</v>
      </c>
      <c r="F606" s="4" t="s">
        <v>50</v>
      </c>
      <c r="G606" t="s">
        <v>239</v>
      </c>
      <c r="H606" t="s">
        <v>241</v>
      </c>
      <c r="I606" t="s">
        <v>386</v>
      </c>
      <c r="J606" t="s">
        <v>361</v>
      </c>
      <c r="K606" t="str">
        <f>Tabla14[[#This Row],[id]]&amp;Tabla14[[#This Row],[Resposable]]</f>
        <v>64Christopher Yuman</v>
      </c>
      <c r="L606" t="str">
        <f>Tabla14[[#This Row],[id]]&amp;Tabla14[[#This Row],[Resposable]]</f>
        <v>64Christopher Yuman</v>
      </c>
      <c r="M606" t="s">
        <v>241</v>
      </c>
    </row>
    <row r="607" spans="1:13" x14ac:dyDescent="0.25">
      <c r="A607" t="s">
        <v>34</v>
      </c>
      <c r="B607">
        <v>24</v>
      </c>
      <c r="C607" t="s">
        <v>6</v>
      </c>
      <c r="D607" t="s">
        <v>206</v>
      </c>
      <c r="E607" t="s">
        <v>47</v>
      </c>
      <c r="F607" s="4" t="s">
        <v>60</v>
      </c>
      <c r="G607" t="s">
        <v>253</v>
      </c>
      <c r="H607" t="s">
        <v>255</v>
      </c>
      <c r="I607" t="s">
        <v>401</v>
      </c>
      <c r="J607" t="s">
        <v>361</v>
      </c>
      <c r="K607" t="str">
        <f>Tabla14[[#This Row],[id]]&amp;Tabla14[[#This Row],[Resposable]]</f>
        <v>24Daniel Coc</v>
      </c>
      <c r="L607" t="str">
        <f>Tabla14[[#This Row],[id]]&amp;Tabla14[[#This Row],[Resposable]]</f>
        <v>24Daniel Coc</v>
      </c>
      <c r="M607" t="s">
        <v>255</v>
      </c>
    </row>
    <row r="608" spans="1:13" x14ac:dyDescent="0.25">
      <c r="A608" t="s">
        <v>34</v>
      </c>
      <c r="B608">
        <v>24</v>
      </c>
      <c r="C608" t="s">
        <v>6</v>
      </c>
      <c r="D608" t="s">
        <v>207</v>
      </c>
      <c r="E608" t="s">
        <v>47</v>
      </c>
      <c r="F608" s="4" t="s">
        <v>60</v>
      </c>
      <c r="G608" t="s">
        <v>253</v>
      </c>
      <c r="H608" t="s">
        <v>255</v>
      </c>
      <c r="I608" t="s">
        <v>401</v>
      </c>
      <c r="J608" t="s">
        <v>361</v>
      </c>
      <c r="K608" t="str">
        <f>Tabla14[[#This Row],[id]]&amp;Tabla14[[#This Row],[Resposable]]</f>
        <v>24Daniel Coc</v>
      </c>
      <c r="L608" t="str">
        <f>Tabla14[[#This Row],[id]]&amp;Tabla14[[#This Row],[Resposable]]</f>
        <v>24Daniel Coc</v>
      </c>
      <c r="M608" t="s">
        <v>255</v>
      </c>
    </row>
    <row r="609" spans="1:13" x14ac:dyDescent="0.25">
      <c r="A609" t="s">
        <v>36</v>
      </c>
      <c r="B609">
        <v>24</v>
      </c>
      <c r="C609" t="s">
        <v>6</v>
      </c>
      <c r="D609" t="s">
        <v>206</v>
      </c>
      <c r="E609" t="s">
        <v>47</v>
      </c>
      <c r="F609" s="4" t="s">
        <v>60</v>
      </c>
      <c r="G609" t="s">
        <v>253</v>
      </c>
      <c r="H609" t="s">
        <v>255</v>
      </c>
      <c r="I609" t="s">
        <v>401</v>
      </c>
      <c r="J609" t="s">
        <v>361</v>
      </c>
      <c r="K609" t="str">
        <f>Tabla14[[#This Row],[id]]&amp;Tabla14[[#This Row],[Resposable]]</f>
        <v>24Daniel Coc</v>
      </c>
      <c r="L609" t="str">
        <f>Tabla14[[#This Row],[id]]&amp;Tabla14[[#This Row],[Resposable]]</f>
        <v>24Daniel Coc</v>
      </c>
      <c r="M609" t="s">
        <v>255</v>
      </c>
    </row>
    <row r="610" spans="1:13" x14ac:dyDescent="0.25">
      <c r="A610" t="s">
        <v>36</v>
      </c>
      <c r="B610">
        <v>24</v>
      </c>
      <c r="C610" t="s">
        <v>6</v>
      </c>
      <c r="D610" t="s">
        <v>207</v>
      </c>
      <c r="E610" t="s">
        <v>47</v>
      </c>
      <c r="F610" s="4" t="s">
        <v>60</v>
      </c>
      <c r="G610" t="s">
        <v>253</v>
      </c>
      <c r="H610" t="s">
        <v>255</v>
      </c>
      <c r="I610" t="s">
        <v>401</v>
      </c>
      <c r="J610" t="s">
        <v>361</v>
      </c>
      <c r="K610" t="str">
        <f>Tabla14[[#This Row],[id]]&amp;Tabla14[[#This Row],[Resposable]]</f>
        <v>24Daniel Coc</v>
      </c>
      <c r="L610" t="str">
        <f>Tabla14[[#This Row],[id]]&amp;Tabla14[[#This Row],[Resposable]]</f>
        <v>24Daniel Coc</v>
      </c>
      <c r="M610" t="s">
        <v>255</v>
      </c>
    </row>
    <row r="611" spans="1:13" x14ac:dyDescent="0.25">
      <c r="A611" t="s">
        <v>38</v>
      </c>
      <c r="B611">
        <v>24</v>
      </c>
      <c r="C611" t="s">
        <v>6</v>
      </c>
      <c r="D611" t="s">
        <v>227</v>
      </c>
      <c r="E611" t="s">
        <v>47</v>
      </c>
      <c r="F611" s="4" t="s">
        <v>60</v>
      </c>
      <c r="G611" t="s">
        <v>253</v>
      </c>
      <c r="H611" t="s">
        <v>255</v>
      </c>
      <c r="I611" t="s">
        <v>401</v>
      </c>
      <c r="J611" t="s">
        <v>361</v>
      </c>
      <c r="K611" t="str">
        <f>Tabla14[[#This Row],[id]]&amp;Tabla14[[#This Row],[Resposable]]</f>
        <v>24Daniel Coc</v>
      </c>
      <c r="L611" t="str">
        <f>Tabla14[[#This Row],[id]]&amp;Tabla14[[#This Row],[Resposable]]</f>
        <v>24Daniel Coc</v>
      </c>
      <c r="M611" t="s">
        <v>255</v>
      </c>
    </row>
    <row r="612" spans="1:13" x14ac:dyDescent="0.25">
      <c r="A612" t="s">
        <v>37</v>
      </c>
      <c r="B612">
        <v>35</v>
      </c>
      <c r="C612" t="s">
        <v>6</v>
      </c>
      <c r="D612" t="s">
        <v>221</v>
      </c>
      <c r="E612" t="s">
        <v>47</v>
      </c>
      <c r="F612" s="4" t="s">
        <v>60</v>
      </c>
      <c r="G612" t="s">
        <v>253</v>
      </c>
      <c r="H612" t="s">
        <v>255</v>
      </c>
      <c r="I612" t="s">
        <v>401</v>
      </c>
      <c r="J612" t="s">
        <v>361</v>
      </c>
      <c r="K612" t="str">
        <f>Tabla14[[#This Row],[id]]&amp;Tabla14[[#This Row],[Resposable]]</f>
        <v>35Daniel Coc</v>
      </c>
      <c r="L612" t="str">
        <f>Tabla14[[#This Row],[id]]&amp;Tabla14[[#This Row],[Resposable]]</f>
        <v>35Daniel Coc</v>
      </c>
      <c r="M612" t="s">
        <v>255</v>
      </c>
    </row>
    <row r="613" spans="1:13" x14ac:dyDescent="0.25">
      <c r="A613" t="s">
        <v>37</v>
      </c>
      <c r="B613">
        <v>35</v>
      </c>
      <c r="C613" t="s">
        <v>6</v>
      </c>
      <c r="D613" t="s">
        <v>216</v>
      </c>
      <c r="E613" t="s">
        <v>47</v>
      </c>
      <c r="F613" s="4" t="s">
        <v>50</v>
      </c>
      <c r="G613" t="s">
        <v>253</v>
      </c>
      <c r="H613" t="s">
        <v>255</v>
      </c>
      <c r="I613" t="s">
        <v>401</v>
      </c>
      <c r="J613" t="s">
        <v>361</v>
      </c>
      <c r="K613" t="str">
        <f>Tabla14[[#This Row],[id]]&amp;Tabla14[[#This Row],[Resposable]]</f>
        <v>35Daniel Coc</v>
      </c>
      <c r="L613" t="str">
        <f>Tabla14[[#This Row],[id]]&amp;Tabla14[[#This Row],[Resposable]]</f>
        <v>35Daniel Coc</v>
      </c>
      <c r="M613" t="s">
        <v>255</v>
      </c>
    </row>
    <row r="614" spans="1:13" x14ac:dyDescent="0.25">
      <c r="A614" t="s">
        <v>17</v>
      </c>
      <c r="B614">
        <v>54</v>
      </c>
      <c r="C614" t="s">
        <v>6</v>
      </c>
      <c r="D614" t="s">
        <v>216</v>
      </c>
      <c r="E614" t="s">
        <v>47</v>
      </c>
      <c r="F614" s="4" t="s">
        <v>50</v>
      </c>
      <c r="G614" t="s">
        <v>253</v>
      </c>
      <c r="H614" t="s">
        <v>255</v>
      </c>
      <c r="I614" t="s">
        <v>401</v>
      </c>
      <c r="J614" t="s">
        <v>361</v>
      </c>
      <c r="K614" t="str">
        <f>Tabla14[[#This Row],[id]]&amp;Tabla14[[#This Row],[Resposable]]</f>
        <v>54Daniel Coc</v>
      </c>
      <c r="L614" t="str">
        <f>Tabla14[[#This Row],[id]]&amp;Tabla14[[#This Row],[Resposable]]</f>
        <v>54Daniel Coc</v>
      </c>
      <c r="M614" t="s">
        <v>255</v>
      </c>
    </row>
    <row r="615" spans="1:13" x14ac:dyDescent="0.25">
      <c r="A615" t="s">
        <v>39</v>
      </c>
      <c r="B615">
        <v>96</v>
      </c>
      <c r="C615" t="s">
        <v>8</v>
      </c>
      <c r="D615" t="s">
        <v>229</v>
      </c>
      <c r="E615" t="s">
        <v>47</v>
      </c>
      <c r="F615" s="4" t="s">
        <v>82</v>
      </c>
      <c r="G615" t="s">
        <v>253</v>
      </c>
      <c r="H615" t="s">
        <v>255</v>
      </c>
      <c r="I615" t="s">
        <v>401</v>
      </c>
      <c r="J615" t="s">
        <v>361</v>
      </c>
      <c r="K615" t="str">
        <f>Tabla14[[#This Row],[id]]&amp;Tabla14[[#This Row],[Resposable]]</f>
        <v>96Daniel Coc</v>
      </c>
      <c r="L615" t="str">
        <f>Tabla14[[#This Row],[id]]&amp;Tabla14[[#This Row],[Resposable]]</f>
        <v>96Daniel Coc</v>
      </c>
      <c r="M615" t="s">
        <v>255</v>
      </c>
    </row>
    <row r="616" spans="1:13" x14ac:dyDescent="0.25">
      <c r="A616" t="s">
        <v>39</v>
      </c>
      <c r="B616">
        <v>96</v>
      </c>
      <c r="C616" t="s">
        <v>6</v>
      </c>
      <c r="D616" t="s">
        <v>231</v>
      </c>
      <c r="E616" t="s">
        <v>47</v>
      </c>
      <c r="F616" s="4" t="s">
        <v>60</v>
      </c>
      <c r="G616" t="s">
        <v>253</v>
      </c>
      <c r="H616" t="s">
        <v>255</v>
      </c>
      <c r="I616" t="s">
        <v>401</v>
      </c>
      <c r="J616" t="s">
        <v>361</v>
      </c>
      <c r="K616" t="str">
        <f>Tabla14[[#This Row],[id]]&amp;Tabla14[[#This Row],[Resposable]]</f>
        <v>96Daniel Coc</v>
      </c>
      <c r="L616" t="str">
        <f>Tabla14[[#This Row],[id]]&amp;Tabla14[[#This Row],[Resposable]]</f>
        <v>96Daniel Coc</v>
      </c>
      <c r="M616" t="s">
        <v>255</v>
      </c>
    </row>
    <row r="617" spans="1:13" x14ac:dyDescent="0.25">
      <c r="A617" t="s">
        <v>39</v>
      </c>
      <c r="B617">
        <v>96</v>
      </c>
      <c r="C617" t="s">
        <v>6</v>
      </c>
      <c r="D617" t="s">
        <v>232</v>
      </c>
      <c r="E617" t="s">
        <v>47</v>
      </c>
      <c r="F617" s="4" t="s">
        <v>60</v>
      </c>
      <c r="G617" t="s">
        <v>253</v>
      </c>
      <c r="H617" t="s">
        <v>255</v>
      </c>
      <c r="I617" t="s">
        <v>401</v>
      </c>
      <c r="J617" t="s">
        <v>361</v>
      </c>
      <c r="K617" t="str">
        <f>Tabla14[[#This Row],[id]]&amp;Tabla14[[#This Row],[Resposable]]</f>
        <v>96Daniel Coc</v>
      </c>
      <c r="L617" t="str">
        <f>Tabla14[[#This Row],[id]]&amp;Tabla14[[#This Row],[Resposable]]</f>
        <v>96Daniel Coc</v>
      </c>
      <c r="M617" t="s">
        <v>255</v>
      </c>
    </row>
    <row r="618" spans="1:13" x14ac:dyDescent="0.25">
      <c r="A618" t="s">
        <v>39</v>
      </c>
      <c r="B618">
        <v>96</v>
      </c>
      <c r="C618" t="s">
        <v>6</v>
      </c>
      <c r="D618" t="s">
        <v>233</v>
      </c>
      <c r="E618" t="s">
        <v>47</v>
      </c>
      <c r="F618" s="4" t="s">
        <v>60</v>
      </c>
      <c r="G618" t="s">
        <v>253</v>
      </c>
      <c r="H618" t="s">
        <v>255</v>
      </c>
      <c r="I618" t="s">
        <v>401</v>
      </c>
      <c r="J618" t="s">
        <v>361</v>
      </c>
      <c r="K618" t="str">
        <f>Tabla14[[#This Row],[id]]&amp;Tabla14[[#This Row],[Resposable]]</f>
        <v>96Daniel Coc</v>
      </c>
      <c r="L618" t="str">
        <f>Tabla14[[#This Row],[id]]&amp;Tabla14[[#This Row],[Resposable]]</f>
        <v>96Daniel Coc</v>
      </c>
      <c r="M618" t="s">
        <v>255</v>
      </c>
    </row>
    <row r="619" spans="1:13" x14ac:dyDescent="0.25">
      <c r="A619" s="18" t="s">
        <v>35</v>
      </c>
      <c r="B619" s="18">
        <v>142</v>
      </c>
      <c r="C619" s="18" t="s">
        <v>6</v>
      </c>
      <c r="D619" s="18" t="s">
        <v>216</v>
      </c>
      <c r="E619" s="18" t="s">
        <v>47</v>
      </c>
      <c r="F619" s="19" t="s">
        <v>50</v>
      </c>
      <c r="G619" s="18" t="s">
        <v>253</v>
      </c>
      <c r="H619" t="s">
        <v>255</v>
      </c>
      <c r="I619" t="s">
        <v>401</v>
      </c>
      <c r="J619" t="s">
        <v>361</v>
      </c>
      <c r="K619" t="str">
        <f>Tabla14[[#This Row],[id]]&amp;Tabla14[[#This Row],[Resposable]]</f>
        <v>142Daniel Coc</v>
      </c>
      <c r="L619" t="str">
        <f>Tabla14[[#This Row],[id]]&amp;Tabla14[[#This Row],[Resposable]]</f>
        <v>142Daniel Coc</v>
      </c>
      <c r="M619" t="s">
        <v>255</v>
      </c>
    </row>
    <row r="620" spans="1:13" x14ac:dyDescent="0.25">
      <c r="A620" t="s">
        <v>27</v>
      </c>
      <c r="B620">
        <v>109</v>
      </c>
      <c r="C620" t="s">
        <v>6</v>
      </c>
      <c r="D620" t="s">
        <v>165</v>
      </c>
      <c r="E620" t="s">
        <v>47</v>
      </c>
      <c r="F620" s="4" t="s">
        <v>50</v>
      </c>
      <c r="G620" t="s">
        <v>239</v>
      </c>
      <c r="H620" t="s">
        <v>241</v>
      </c>
      <c r="I620" t="s">
        <v>387</v>
      </c>
      <c r="J620" t="s">
        <v>361</v>
      </c>
      <c r="K620" t="str">
        <f>Tabla14[[#This Row],[id]]&amp;Tabla14[[#This Row],[Resposable]]</f>
        <v>109Dany Sotoj</v>
      </c>
      <c r="L620" t="str">
        <f>Tabla14[[#This Row],[id]]&amp;Tabla14[[#This Row],[Resposable]]</f>
        <v>109Dany Sotoj</v>
      </c>
      <c r="M620" t="s">
        <v>241</v>
      </c>
    </row>
    <row r="621" spans="1:13" x14ac:dyDescent="0.25">
      <c r="A621" t="s">
        <v>34</v>
      </c>
      <c r="B621">
        <v>24</v>
      </c>
      <c r="C621" t="s">
        <v>8</v>
      </c>
      <c r="D621" t="s">
        <v>204</v>
      </c>
      <c r="E621" t="s">
        <v>47</v>
      </c>
      <c r="F621" s="4" t="s">
        <v>48</v>
      </c>
      <c r="G621" t="s">
        <v>253</v>
      </c>
      <c r="H621" t="s">
        <v>255</v>
      </c>
      <c r="I621" t="s">
        <v>392</v>
      </c>
      <c r="J621" t="s">
        <v>363</v>
      </c>
      <c r="K621" t="str">
        <f>Tabla14[[#This Row],[id]]&amp;Tabla14[[#This Row],[Resposable]]</f>
        <v>24Edgar Aquil</v>
      </c>
      <c r="L621" t="str">
        <f>Tabla14[[#This Row],[id]]&amp;Tabla14[[#This Row],[Resposable]]</f>
        <v>24Edgar Aquil</v>
      </c>
      <c r="M621" t="s">
        <v>255</v>
      </c>
    </row>
    <row r="622" spans="1:13" x14ac:dyDescent="0.25">
      <c r="A622" t="s">
        <v>34</v>
      </c>
      <c r="B622">
        <v>24</v>
      </c>
      <c r="C622" t="s">
        <v>9</v>
      </c>
      <c r="D622" t="s">
        <v>205</v>
      </c>
      <c r="E622" t="s">
        <v>47</v>
      </c>
      <c r="F622" s="4" t="s">
        <v>82</v>
      </c>
      <c r="G622" t="s">
        <v>253</v>
      </c>
      <c r="H622" t="s">
        <v>255</v>
      </c>
      <c r="I622" t="s">
        <v>392</v>
      </c>
      <c r="J622" t="s">
        <v>363</v>
      </c>
      <c r="K622" t="str">
        <f>Tabla14[[#This Row],[id]]&amp;Tabla14[[#This Row],[Resposable]]</f>
        <v>24Edgar Aquil</v>
      </c>
      <c r="L622" t="str">
        <f>Tabla14[[#This Row],[id]]&amp;Tabla14[[#This Row],[Resposable]]</f>
        <v>24Edgar Aquil</v>
      </c>
      <c r="M622" t="s">
        <v>255</v>
      </c>
    </row>
    <row r="623" spans="1:13" x14ac:dyDescent="0.25">
      <c r="A623" t="s">
        <v>34</v>
      </c>
      <c r="B623">
        <v>24</v>
      </c>
      <c r="C623" t="s">
        <v>7</v>
      </c>
      <c r="D623" t="s">
        <v>208</v>
      </c>
      <c r="E623" t="s">
        <v>47</v>
      </c>
      <c r="F623" s="4" t="s">
        <v>184</v>
      </c>
      <c r="G623" t="s">
        <v>253</v>
      </c>
      <c r="H623" t="s">
        <v>255</v>
      </c>
      <c r="I623" t="s">
        <v>392</v>
      </c>
      <c r="J623" t="s">
        <v>363</v>
      </c>
      <c r="K623" t="str">
        <f>Tabla14[[#This Row],[id]]&amp;Tabla14[[#This Row],[Resposable]]</f>
        <v>24Edgar Aquil</v>
      </c>
      <c r="L623" t="str">
        <f>Tabla14[[#This Row],[id]]&amp;Tabla14[[#This Row],[Resposable]]</f>
        <v>24Edgar Aquil</v>
      </c>
      <c r="M623" t="s">
        <v>255</v>
      </c>
    </row>
    <row r="624" spans="1:13" x14ac:dyDescent="0.25">
      <c r="A624" t="s">
        <v>34</v>
      </c>
      <c r="B624">
        <v>24</v>
      </c>
      <c r="C624" t="s">
        <v>9</v>
      </c>
      <c r="D624" t="s">
        <v>211</v>
      </c>
      <c r="E624" t="s">
        <v>47</v>
      </c>
      <c r="F624" s="4" t="s">
        <v>82</v>
      </c>
      <c r="G624" t="s">
        <v>253</v>
      </c>
      <c r="H624" t="s">
        <v>255</v>
      </c>
      <c r="I624" t="s">
        <v>392</v>
      </c>
      <c r="J624" t="s">
        <v>363</v>
      </c>
      <c r="K624" t="str">
        <f>Tabla14[[#This Row],[id]]&amp;Tabla14[[#This Row],[Resposable]]</f>
        <v>24Edgar Aquil</v>
      </c>
      <c r="L624" t="str">
        <f>Tabla14[[#This Row],[id]]&amp;Tabla14[[#This Row],[Resposable]]</f>
        <v>24Edgar Aquil</v>
      </c>
      <c r="M624" t="s">
        <v>255</v>
      </c>
    </row>
    <row r="625" spans="1:13" x14ac:dyDescent="0.25">
      <c r="A625" t="s">
        <v>34</v>
      </c>
      <c r="B625">
        <v>24</v>
      </c>
      <c r="C625" t="s">
        <v>7</v>
      </c>
      <c r="D625" t="s">
        <v>212</v>
      </c>
      <c r="E625" t="s">
        <v>47</v>
      </c>
      <c r="F625" s="4" t="s">
        <v>71</v>
      </c>
      <c r="G625" t="s">
        <v>253</v>
      </c>
      <c r="H625" t="s">
        <v>255</v>
      </c>
      <c r="I625" t="s">
        <v>392</v>
      </c>
      <c r="J625" t="s">
        <v>363</v>
      </c>
      <c r="K625" t="str">
        <f>Tabla14[[#This Row],[id]]&amp;Tabla14[[#This Row],[Resposable]]</f>
        <v>24Edgar Aquil</v>
      </c>
      <c r="L625" t="str">
        <f>Tabla14[[#This Row],[id]]&amp;Tabla14[[#This Row],[Resposable]]</f>
        <v>24Edgar Aquil</v>
      </c>
      <c r="M625" t="s">
        <v>255</v>
      </c>
    </row>
    <row r="626" spans="1:13" x14ac:dyDescent="0.25">
      <c r="A626" t="s">
        <v>36</v>
      </c>
      <c r="B626">
        <v>24</v>
      </c>
      <c r="C626" t="s">
        <v>8</v>
      </c>
      <c r="D626" t="s">
        <v>204</v>
      </c>
      <c r="E626" t="s">
        <v>47</v>
      </c>
      <c r="F626" s="4" t="s">
        <v>48</v>
      </c>
      <c r="G626" t="s">
        <v>253</v>
      </c>
      <c r="H626" t="s">
        <v>255</v>
      </c>
      <c r="I626" t="s">
        <v>392</v>
      </c>
      <c r="J626" t="s">
        <v>363</v>
      </c>
      <c r="K626" t="str">
        <f>Tabla14[[#This Row],[id]]&amp;Tabla14[[#This Row],[Resposable]]</f>
        <v>24Edgar Aquil</v>
      </c>
      <c r="L626" t="str">
        <f>Tabla14[[#This Row],[id]]&amp;Tabla14[[#This Row],[Resposable]]</f>
        <v>24Edgar Aquil</v>
      </c>
      <c r="M626" t="s">
        <v>255</v>
      </c>
    </row>
    <row r="627" spans="1:13" x14ac:dyDescent="0.25">
      <c r="A627" t="s">
        <v>36</v>
      </c>
      <c r="B627">
        <v>24</v>
      </c>
      <c r="C627" t="s">
        <v>9</v>
      </c>
      <c r="D627" t="s">
        <v>205</v>
      </c>
      <c r="E627" t="s">
        <v>47</v>
      </c>
      <c r="F627" s="4" t="s">
        <v>82</v>
      </c>
      <c r="G627" t="s">
        <v>253</v>
      </c>
      <c r="H627" t="s">
        <v>255</v>
      </c>
      <c r="I627" t="s">
        <v>392</v>
      </c>
      <c r="J627" t="s">
        <v>363</v>
      </c>
      <c r="K627" t="str">
        <f>Tabla14[[#This Row],[id]]&amp;Tabla14[[#This Row],[Resposable]]</f>
        <v>24Edgar Aquil</v>
      </c>
      <c r="L627" t="str">
        <f>Tabla14[[#This Row],[id]]&amp;Tabla14[[#This Row],[Resposable]]</f>
        <v>24Edgar Aquil</v>
      </c>
      <c r="M627" t="s">
        <v>255</v>
      </c>
    </row>
    <row r="628" spans="1:13" x14ac:dyDescent="0.25">
      <c r="A628" t="s">
        <v>36</v>
      </c>
      <c r="B628">
        <v>24</v>
      </c>
      <c r="C628" t="s">
        <v>7</v>
      </c>
      <c r="D628" t="s">
        <v>208</v>
      </c>
      <c r="E628" t="s">
        <v>47</v>
      </c>
      <c r="F628" s="4" t="s">
        <v>184</v>
      </c>
      <c r="G628" t="s">
        <v>253</v>
      </c>
      <c r="H628" t="s">
        <v>255</v>
      </c>
      <c r="I628" t="s">
        <v>392</v>
      </c>
      <c r="J628" t="s">
        <v>363</v>
      </c>
      <c r="K628" t="str">
        <f>Tabla14[[#This Row],[id]]&amp;Tabla14[[#This Row],[Resposable]]</f>
        <v>24Edgar Aquil</v>
      </c>
      <c r="L628" t="str">
        <f>Tabla14[[#This Row],[id]]&amp;Tabla14[[#This Row],[Resposable]]</f>
        <v>24Edgar Aquil</v>
      </c>
      <c r="M628" t="s">
        <v>255</v>
      </c>
    </row>
    <row r="629" spans="1:13" x14ac:dyDescent="0.25">
      <c r="A629" t="s">
        <v>36</v>
      </c>
      <c r="B629">
        <v>24</v>
      </c>
      <c r="C629" t="s">
        <v>9</v>
      </c>
      <c r="D629" t="s">
        <v>211</v>
      </c>
      <c r="E629" t="s">
        <v>47</v>
      </c>
      <c r="F629" s="4" t="s">
        <v>82</v>
      </c>
      <c r="G629" t="s">
        <v>253</v>
      </c>
      <c r="H629" t="s">
        <v>255</v>
      </c>
      <c r="I629" t="s">
        <v>392</v>
      </c>
      <c r="J629" t="s">
        <v>363</v>
      </c>
      <c r="K629" t="str">
        <f>Tabla14[[#This Row],[id]]&amp;Tabla14[[#This Row],[Resposable]]</f>
        <v>24Edgar Aquil</v>
      </c>
      <c r="L629" t="str">
        <f>Tabla14[[#This Row],[id]]&amp;Tabla14[[#This Row],[Resposable]]</f>
        <v>24Edgar Aquil</v>
      </c>
      <c r="M629" t="s">
        <v>255</v>
      </c>
    </row>
    <row r="630" spans="1:13" x14ac:dyDescent="0.25">
      <c r="A630" t="s">
        <v>36</v>
      </c>
      <c r="B630">
        <v>24</v>
      </c>
      <c r="C630" t="s">
        <v>7</v>
      </c>
      <c r="D630" t="s">
        <v>212</v>
      </c>
      <c r="E630" t="s">
        <v>47</v>
      </c>
      <c r="F630" s="4" t="s">
        <v>71</v>
      </c>
      <c r="G630" t="s">
        <v>253</v>
      </c>
      <c r="H630" t="s">
        <v>255</v>
      </c>
      <c r="I630" t="s">
        <v>392</v>
      </c>
      <c r="J630" t="s">
        <v>363</v>
      </c>
      <c r="K630" t="str">
        <f>Tabla14[[#This Row],[id]]&amp;Tabla14[[#This Row],[Resposable]]</f>
        <v>24Edgar Aquil</v>
      </c>
      <c r="L630" t="str">
        <f>Tabla14[[#This Row],[id]]&amp;Tabla14[[#This Row],[Resposable]]</f>
        <v>24Edgar Aquil</v>
      </c>
      <c r="M630" t="s">
        <v>255</v>
      </c>
    </row>
    <row r="631" spans="1:13" x14ac:dyDescent="0.25">
      <c r="A631" t="s">
        <v>38</v>
      </c>
      <c r="B631">
        <v>24</v>
      </c>
      <c r="C631" t="s">
        <v>9</v>
      </c>
      <c r="D631" t="s">
        <v>223</v>
      </c>
      <c r="E631" t="s">
        <v>47</v>
      </c>
      <c r="F631" s="4" t="s">
        <v>58</v>
      </c>
      <c r="G631" t="s">
        <v>253</v>
      </c>
      <c r="H631" t="s">
        <v>255</v>
      </c>
      <c r="I631" t="s">
        <v>392</v>
      </c>
      <c r="J631" t="s">
        <v>363</v>
      </c>
      <c r="K631" t="str">
        <f>Tabla14[[#This Row],[id]]&amp;Tabla14[[#This Row],[Resposable]]</f>
        <v>24Edgar Aquil</v>
      </c>
      <c r="L631" t="str">
        <f>Tabla14[[#This Row],[id]]&amp;Tabla14[[#This Row],[Resposable]]</f>
        <v>24Edgar Aquil</v>
      </c>
      <c r="M631" t="s">
        <v>255</v>
      </c>
    </row>
    <row r="632" spans="1:13" x14ac:dyDescent="0.25">
      <c r="A632" t="s">
        <v>38</v>
      </c>
      <c r="B632">
        <v>24</v>
      </c>
      <c r="C632" t="s">
        <v>8</v>
      </c>
      <c r="D632" t="s">
        <v>218</v>
      </c>
      <c r="E632" t="s">
        <v>47</v>
      </c>
      <c r="F632" s="4" t="s">
        <v>71</v>
      </c>
      <c r="G632" t="s">
        <v>253</v>
      </c>
      <c r="H632" t="s">
        <v>255</v>
      </c>
      <c r="I632" t="s">
        <v>392</v>
      </c>
      <c r="J632" t="s">
        <v>363</v>
      </c>
      <c r="K632" t="str">
        <f>Tabla14[[#This Row],[id]]&amp;Tabla14[[#This Row],[Resposable]]</f>
        <v>24Edgar Aquil</v>
      </c>
      <c r="L632" t="str">
        <f>Tabla14[[#This Row],[id]]&amp;Tabla14[[#This Row],[Resposable]]</f>
        <v>24Edgar Aquil</v>
      </c>
      <c r="M632" t="s">
        <v>255</v>
      </c>
    </row>
    <row r="633" spans="1:13" x14ac:dyDescent="0.25">
      <c r="A633" t="s">
        <v>38</v>
      </c>
      <c r="B633">
        <v>24</v>
      </c>
      <c r="C633" t="s">
        <v>18</v>
      </c>
      <c r="D633" t="s">
        <v>224</v>
      </c>
      <c r="E633" t="s">
        <v>47</v>
      </c>
      <c r="F633" s="4" t="s">
        <v>58</v>
      </c>
      <c r="G633" t="s">
        <v>253</v>
      </c>
      <c r="H633" t="s">
        <v>255</v>
      </c>
      <c r="I633" t="s">
        <v>392</v>
      </c>
      <c r="J633" t="s">
        <v>363</v>
      </c>
      <c r="K633" t="str">
        <f>Tabla14[[#This Row],[id]]&amp;Tabla14[[#This Row],[Resposable]]</f>
        <v>24Edgar Aquil</v>
      </c>
      <c r="L633" t="str">
        <f>Tabla14[[#This Row],[id]]&amp;Tabla14[[#This Row],[Resposable]]</f>
        <v>24Edgar Aquil</v>
      </c>
      <c r="M633" t="s">
        <v>255</v>
      </c>
    </row>
    <row r="634" spans="1:13" x14ac:dyDescent="0.25">
      <c r="A634" t="s">
        <v>38</v>
      </c>
      <c r="B634">
        <v>24</v>
      </c>
      <c r="C634" t="s">
        <v>9</v>
      </c>
      <c r="D634" t="s">
        <v>225</v>
      </c>
      <c r="E634" t="s">
        <v>47</v>
      </c>
      <c r="F634" s="4" t="s">
        <v>58</v>
      </c>
      <c r="G634" t="s">
        <v>253</v>
      </c>
      <c r="H634" t="s">
        <v>255</v>
      </c>
      <c r="I634" t="s">
        <v>392</v>
      </c>
      <c r="J634" t="s">
        <v>363</v>
      </c>
      <c r="K634" t="str">
        <f>Tabla14[[#This Row],[id]]&amp;Tabla14[[#This Row],[Resposable]]</f>
        <v>24Edgar Aquil</v>
      </c>
      <c r="L634" t="str">
        <f>Tabla14[[#This Row],[id]]&amp;Tabla14[[#This Row],[Resposable]]</f>
        <v>24Edgar Aquil</v>
      </c>
      <c r="M634" t="s">
        <v>255</v>
      </c>
    </row>
    <row r="635" spans="1:13" x14ac:dyDescent="0.25">
      <c r="A635" t="s">
        <v>38</v>
      </c>
      <c r="B635">
        <v>24</v>
      </c>
      <c r="C635" t="s">
        <v>9</v>
      </c>
      <c r="D635" t="s">
        <v>226</v>
      </c>
      <c r="E635" t="s">
        <v>47</v>
      </c>
      <c r="F635" s="4" t="s">
        <v>58</v>
      </c>
      <c r="G635" t="s">
        <v>253</v>
      </c>
      <c r="H635" t="s">
        <v>255</v>
      </c>
      <c r="I635" t="s">
        <v>392</v>
      </c>
      <c r="J635" t="s">
        <v>363</v>
      </c>
      <c r="K635" t="str">
        <f>Tabla14[[#This Row],[id]]&amp;Tabla14[[#This Row],[Resposable]]</f>
        <v>24Edgar Aquil</v>
      </c>
      <c r="L635" t="str">
        <f>Tabla14[[#This Row],[id]]&amp;Tabla14[[#This Row],[Resposable]]</f>
        <v>24Edgar Aquil</v>
      </c>
      <c r="M635" t="s">
        <v>255</v>
      </c>
    </row>
    <row r="636" spans="1:13" x14ac:dyDescent="0.25">
      <c r="A636" t="s">
        <v>38</v>
      </c>
      <c r="B636">
        <v>24</v>
      </c>
      <c r="C636" t="s">
        <v>9</v>
      </c>
      <c r="D636" t="s">
        <v>228</v>
      </c>
      <c r="E636" t="s">
        <v>47</v>
      </c>
      <c r="F636" s="4" t="s">
        <v>58</v>
      </c>
      <c r="G636" t="s">
        <v>253</v>
      </c>
      <c r="H636" t="s">
        <v>255</v>
      </c>
      <c r="I636" t="s">
        <v>392</v>
      </c>
      <c r="J636" t="s">
        <v>363</v>
      </c>
      <c r="K636" t="str">
        <f>Tabla14[[#This Row],[id]]&amp;Tabla14[[#This Row],[Resposable]]</f>
        <v>24Edgar Aquil</v>
      </c>
      <c r="L636" t="str">
        <f>Tabla14[[#This Row],[id]]&amp;Tabla14[[#This Row],[Resposable]]</f>
        <v>24Edgar Aquil</v>
      </c>
      <c r="M636" t="s">
        <v>255</v>
      </c>
    </row>
    <row r="637" spans="1:13" x14ac:dyDescent="0.25">
      <c r="A637" t="s">
        <v>37</v>
      </c>
      <c r="B637">
        <v>35</v>
      </c>
      <c r="C637" t="s">
        <v>8</v>
      </c>
      <c r="D637" t="s">
        <v>218</v>
      </c>
      <c r="E637" t="s">
        <v>47</v>
      </c>
      <c r="F637" s="4" t="s">
        <v>71</v>
      </c>
      <c r="G637" t="s">
        <v>253</v>
      </c>
      <c r="H637" t="s">
        <v>255</v>
      </c>
      <c r="I637" t="s">
        <v>392</v>
      </c>
      <c r="J637" t="s">
        <v>363</v>
      </c>
      <c r="K637" t="str">
        <f>Tabla14[[#This Row],[id]]&amp;Tabla14[[#This Row],[Resposable]]</f>
        <v>35Edgar Aquil</v>
      </c>
      <c r="L637" t="str">
        <f>Tabla14[[#This Row],[id]]&amp;Tabla14[[#This Row],[Resposable]]</f>
        <v>35Edgar Aquil</v>
      </c>
      <c r="M637" t="s">
        <v>255</v>
      </c>
    </row>
    <row r="638" spans="1:13" x14ac:dyDescent="0.25">
      <c r="A638" t="s">
        <v>37</v>
      </c>
      <c r="B638">
        <v>35</v>
      </c>
      <c r="C638" t="s">
        <v>8</v>
      </c>
      <c r="D638" t="s">
        <v>219</v>
      </c>
      <c r="E638" t="s">
        <v>47</v>
      </c>
      <c r="F638" s="4" t="s">
        <v>71</v>
      </c>
      <c r="G638" t="s">
        <v>253</v>
      </c>
      <c r="H638" t="s">
        <v>255</v>
      </c>
      <c r="I638" t="s">
        <v>392</v>
      </c>
      <c r="J638" t="s">
        <v>363</v>
      </c>
      <c r="K638" t="str">
        <f>Tabla14[[#This Row],[id]]&amp;Tabla14[[#This Row],[Resposable]]</f>
        <v>35Edgar Aquil</v>
      </c>
      <c r="L638" t="str">
        <f>Tabla14[[#This Row],[id]]&amp;Tabla14[[#This Row],[Resposable]]</f>
        <v>35Edgar Aquil</v>
      </c>
      <c r="M638" t="s">
        <v>255</v>
      </c>
    </row>
    <row r="639" spans="1:13" x14ac:dyDescent="0.25">
      <c r="A639" t="s">
        <v>37</v>
      </c>
      <c r="B639">
        <v>35</v>
      </c>
      <c r="C639" t="s">
        <v>7</v>
      </c>
      <c r="D639" t="s">
        <v>220</v>
      </c>
      <c r="E639" t="s">
        <v>47</v>
      </c>
      <c r="F639" s="4" t="s">
        <v>71</v>
      </c>
      <c r="G639" t="s">
        <v>253</v>
      </c>
      <c r="H639" t="s">
        <v>255</v>
      </c>
      <c r="I639" t="s">
        <v>392</v>
      </c>
      <c r="J639" t="s">
        <v>363</v>
      </c>
      <c r="K639" t="str">
        <f>Tabla14[[#This Row],[id]]&amp;Tabla14[[#This Row],[Resposable]]</f>
        <v>35Edgar Aquil</v>
      </c>
      <c r="L639" t="str">
        <f>Tabla14[[#This Row],[id]]&amp;Tabla14[[#This Row],[Resposable]]</f>
        <v>35Edgar Aquil</v>
      </c>
      <c r="M639" t="s">
        <v>255</v>
      </c>
    </row>
    <row r="640" spans="1:13" x14ac:dyDescent="0.25">
      <c r="A640" t="s">
        <v>37</v>
      </c>
      <c r="B640">
        <v>35</v>
      </c>
      <c r="C640" t="s">
        <v>7</v>
      </c>
      <c r="D640" t="s">
        <v>213</v>
      </c>
      <c r="E640" t="s">
        <v>47</v>
      </c>
      <c r="F640" s="4" t="s">
        <v>71</v>
      </c>
      <c r="G640" t="s">
        <v>253</v>
      </c>
      <c r="H640" t="s">
        <v>255</v>
      </c>
      <c r="I640" t="s">
        <v>392</v>
      </c>
      <c r="J640" t="s">
        <v>363</v>
      </c>
      <c r="K640" t="str">
        <f>Tabla14[[#This Row],[id]]&amp;Tabla14[[#This Row],[Resposable]]</f>
        <v>35Edgar Aquil</v>
      </c>
      <c r="L640" t="str">
        <f>Tabla14[[#This Row],[id]]&amp;Tabla14[[#This Row],[Resposable]]</f>
        <v>35Edgar Aquil</v>
      </c>
      <c r="M640" t="s">
        <v>255</v>
      </c>
    </row>
    <row r="641" spans="1:13" x14ac:dyDescent="0.25">
      <c r="A641" t="s">
        <v>37</v>
      </c>
      <c r="B641">
        <v>35</v>
      </c>
      <c r="C641" t="s">
        <v>8</v>
      </c>
      <c r="D641" t="s">
        <v>172</v>
      </c>
      <c r="E641" t="s">
        <v>47</v>
      </c>
      <c r="F641" s="4" t="s">
        <v>71</v>
      </c>
      <c r="G641" t="s">
        <v>253</v>
      </c>
      <c r="H641" t="s">
        <v>255</v>
      </c>
      <c r="I641" t="s">
        <v>392</v>
      </c>
      <c r="J641" t="s">
        <v>363</v>
      </c>
      <c r="K641" t="str">
        <f>Tabla14[[#This Row],[id]]&amp;Tabla14[[#This Row],[Resposable]]</f>
        <v>35Edgar Aquil</v>
      </c>
      <c r="L641" t="str">
        <f>Tabla14[[#This Row],[id]]&amp;Tabla14[[#This Row],[Resposable]]</f>
        <v>35Edgar Aquil</v>
      </c>
      <c r="M641" t="s">
        <v>255</v>
      </c>
    </row>
    <row r="642" spans="1:13" x14ac:dyDescent="0.25">
      <c r="A642" t="s">
        <v>17</v>
      </c>
      <c r="B642">
        <v>54</v>
      </c>
      <c r="C642" t="s">
        <v>18</v>
      </c>
      <c r="D642" t="s">
        <v>99</v>
      </c>
      <c r="E642" t="s">
        <v>47</v>
      </c>
      <c r="F642" s="4" t="s">
        <v>48</v>
      </c>
      <c r="G642" t="s">
        <v>253</v>
      </c>
      <c r="H642" t="s">
        <v>255</v>
      </c>
      <c r="I642" t="s">
        <v>392</v>
      </c>
      <c r="J642" t="s">
        <v>363</v>
      </c>
      <c r="K642" t="str">
        <f>Tabla14[[#This Row],[id]]&amp;Tabla14[[#This Row],[Resposable]]</f>
        <v>54Edgar Aquil</v>
      </c>
      <c r="L642" t="str">
        <f>Tabla14[[#This Row],[id]]&amp;Tabla14[[#This Row],[Resposable]]</f>
        <v>54Edgar Aquil</v>
      </c>
      <c r="M642" t="s">
        <v>255</v>
      </c>
    </row>
    <row r="643" spans="1:13" x14ac:dyDescent="0.25">
      <c r="A643" t="s">
        <v>17</v>
      </c>
      <c r="B643">
        <v>54</v>
      </c>
      <c r="C643" t="s">
        <v>7</v>
      </c>
      <c r="D643" t="s">
        <v>213</v>
      </c>
      <c r="E643" t="s">
        <v>47</v>
      </c>
      <c r="F643" s="4" t="s">
        <v>71</v>
      </c>
      <c r="G643" t="s">
        <v>253</v>
      </c>
      <c r="H643" t="s">
        <v>255</v>
      </c>
      <c r="I643" t="s">
        <v>392</v>
      </c>
      <c r="J643" t="s">
        <v>363</v>
      </c>
      <c r="K643" t="str">
        <f>Tabla14[[#This Row],[id]]&amp;Tabla14[[#This Row],[Resposable]]</f>
        <v>54Edgar Aquil</v>
      </c>
      <c r="L643" t="str">
        <f>Tabla14[[#This Row],[id]]&amp;Tabla14[[#This Row],[Resposable]]</f>
        <v>54Edgar Aquil</v>
      </c>
      <c r="M643" t="s">
        <v>255</v>
      </c>
    </row>
    <row r="644" spans="1:13" x14ac:dyDescent="0.25">
      <c r="A644" t="s">
        <v>17</v>
      </c>
      <c r="B644">
        <v>54</v>
      </c>
      <c r="C644" t="s">
        <v>8</v>
      </c>
      <c r="D644" t="s">
        <v>172</v>
      </c>
      <c r="E644" t="s">
        <v>47</v>
      </c>
      <c r="F644" s="4" t="s">
        <v>50</v>
      </c>
      <c r="G644" t="s">
        <v>253</v>
      </c>
      <c r="H644" t="s">
        <v>255</v>
      </c>
      <c r="I644" t="s">
        <v>392</v>
      </c>
      <c r="J644" t="s">
        <v>363</v>
      </c>
      <c r="K644" t="str">
        <f>Tabla14[[#This Row],[id]]&amp;Tabla14[[#This Row],[Resposable]]</f>
        <v>54Edgar Aquil</v>
      </c>
      <c r="L644" t="str">
        <f>Tabla14[[#This Row],[id]]&amp;Tabla14[[#This Row],[Resposable]]</f>
        <v>54Edgar Aquil</v>
      </c>
      <c r="M644" t="s">
        <v>255</v>
      </c>
    </row>
    <row r="645" spans="1:13" x14ac:dyDescent="0.25">
      <c r="A645" t="s">
        <v>39</v>
      </c>
      <c r="B645">
        <v>96</v>
      </c>
      <c r="C645" t="s">
        <v>7</v>
      </c>
      <c r="D645" t="s">
        <v>213</v>
      </c>
      <c r="E645" t="s">
        <v>47</v>
      </c>
      <c r="F645" s="4" t="s">
        <v>82</v>
      </c>
      <c r="G645" t="s">
        <v>253</v>
      </c>
      <c r="H645" t="s">
        <v>255</v>
      </c>
      <c r="I645" t="s">
        <v>392</v>
      </c>
      <c r="J645" t="s">
        <v>363</v>
      </c>
      <c r="K645" t="str">
        <f>Tabla14[[#This Row],[id]]&amp;Tabla14[[#This Row],[Resposable]]</f>
        <v>96Edgar Aquil</v>
      </c>
      <c r="L645" t="str">
        <f>Tabla14[[#This Row],[id]]&amp;Tabla14[[#This Row],[Resposable]]</f>
        <v>96Edgar Aquil</v>
      </c>
      <c r="M645" t="s">
        <v>255</v>
      </c>
    </row>
    <row r="646" spans="1:13" x14ac:dyDescent="0.25">
      <c r="A646" t="s">
        <v>39</v>
      </c>
      <c r="B646">
        <v>96</v>
      </c>
      <c r="C646" t="s">
        <v>7</v>
      </c>
      <c r="D646" t="s">
        <v>230</v>
      </c>
      <c r="E646" t="s">
        <v>47</v>
      </c>
      <c r="F646" s="4" t="s">
        <v>82</v>
      </c>
      <c r="G646" t="s">
        <v>253</v>
      </c>
      <c r="H646" t="s">
        <v>255</v>
      </c>
      <c r="I646" t="s">
        <v>392</v>
      </c>
      <c r="J646" t="s">
        <v>363</v>
      </c>
      <c r="K646" t="str">
        <f>Tabla14[[#This Row],[id]]&amp;Tabla14[[#This Row],[Resposable]]</f>
        <v>96Edgar Aquil</v>
      </c>
      <c r="L646" t="str">
        <f>Tabla14[[#This Row],[id]]&amp;Tabla14[[#This Row],[Resposable]]</f>
        <v>96Edgar Aquil</v>
      </c>
      <c r="M646" t="s">
        <v>255</v>
      </c>
    </row>
    <row r="647" spans="1:13" x14ac:dyDescent="0.25">
      <c r="A647" t="s">
        <v>39</v>
      </c>
      <c r="B647">
        <v>96</v>
      </c>
      <c r="C647" t="s">
        <v>8</v>
      </c>
      <c r="D647" t="s">
        <v>172</v>
      </c>
      <c r="E647" t="s">
        <v>47</v>
      </c>
      <c r="F647" s="4" t="s">
        <v>82</v>
      </c>
      <c r="G647" t="s">
        <v>253</v>
      </c>
      <c r="H647" t="s">
        <v>255</v>
      </c>
      <c r="I647" t="s">
        <v>392</v>
      </c>
      <c r="J647" t="s">
        <v>363</v>
      </c>
      <c r="K647" t="str">
        <f>Tabla14[[#This Row],[id]]&amp;Tabla14[[#This Row],[Resposable]]</f>
        <v>96Edgar Aquil</v>
      </c>
      <c r="L647" t="str">
        <f>Tabla14[[#This Row],[id]]&amp;Tabla14[[#This Row],[Resposable]]</f>
        <v>96Edgar Aquil</v>
      </c>
      <c r="M647" t="s">
        <v>255</v>
      </c>
    </row>
    <row r="648" spans="1:13" x14ac:dyDescent="0.25">
      <c r="A648" s="18" t="s">
        <v>35</v>
      </c>
      <c r="B648" s="18">
        <v>142</v>
      </c>
      <c r="C648" s="18" t="s">
        <v>7</v>
      </c>
      <c r="D648" s="18" t="s">
        <v>213</v>
      </c>
      <c r="E648" s="18" t="s">
        <v>47</v>
      </c>
      <c r="F648" s="19" t="s">
        <v>71</v>
      </c>
      <c r="G648" s="18" t="s">
        <v>253</v>
      </c>
      <c r="H648" t="s">
        <v>255</v>
      </c>
      <c r="I648" t="s">
        <v>392</v>
      </c>
      <c r="J648" t="s">
        <v>363</v>
      </c>
      <c r="K648" t="str">
        <f>Tabla14[[#This Row],[id]]&amp;Tabla14[[#This Row],[Resposable]]</f>
        <v>142Edgar Aquil</v>
      </c>
      <c r="L648" t="str">
        <f>Tabla14[[#This Row],[id]]&amp;Tabla14[[#This Row],[Resposable]]</f>
        <v>142Edgar Aquil</v>
      </c>
      <c r="M648" t="s">
        <v>255</v>
      </c>
    </row>
    <row r="649" spans="1:13" x14ac:dyDescent="0.25">
      <c r="A649" s="18" t="s">
        <v>35</v>
      </c>
      <c r="B649" s="18">
        <v>142</v>
      </c>
      <c r="C649" s="18" t="s">
        <v>7</v>
      </c>
      <c r="D649" s="18" t="s">
        <v>214</v>
      </c>
      <c r="E649" s="18" t="s">
        <v>47</v>
      </c>
      <c r="F649" s="19" t="s">
        <v>71</v>
      </c>
      <c r="G649" s="18" t="s">
        <v>253</v>
      </c>
      <c r="H649" t="s">
        <v>255</v>
      </c>
      <c r="I649" t="s">
        <v>392</v>
      </c>
      <c r="J649" t="s">
        <v>363</v>
      </c>
      <c r="K649" t="str">
        <f>Tabla14[[#This Row],[id]]&amp;Tabla14[[#This Row],[Resposable]]</f>
        <v>142Edgar Aquil</v>
      </c>
      <c r="L649" t="str">
        <f>Tabla14[[#This Row],[id]]&amp;Tabla14[[#This Row],[Resposable]]</f>
        <v>142Edgar Aquil</v>
      </c>
      <c r="M649" t="s">
        <v>255</v>
      </c>
    </row>
    <row r="650" spans="1:13" x14ac:dyDescent="0.25">
      <c r="A650" s="18" t="s">
        <v>35</v>
      </c>
      <c r="B650" s="18">
        <v>142</v>
      </c>
      <c r="C650" s="18" t="s">
        <v>7</v>
      </c>
      <c r="D650" s="18" t="s">
        <v>215</v>
      </c>
      <c r="E650" s="18" t="s">
        <v>47</v>
      </c>
      <c r="F650" s="19" t="s">
        <v>71</v>
      </c>
      <c r="G650" s="18" t="s">
        <v>253</v>
      </c>
      <c r="H650" t="s">
        <v>255</v>
      </c>
      <c r="I650" t="s">
        <v>392</v>
      </c>
      <c r="J650" t="s">
        <v>363</v>
      </c>
      <c r="K650" t="str">
        <f>Tabla14[[#This Row],[id]]&amp;Tabla14[[#This Row],[Resposable]]</f>
        <v>142Edgar Aquil</v>
      </c>
      <c r="L650" t="str">
        <f>Tabla14[[#This Row],[id]]&amp;Tabla14[[#This Row],[Resposable]]</f>
        <v>142Edgar Aquil</v>
      </c>
      <c r="M650" t="s">
        <v>255</v>
      </c>
    </row>
    <row r="651" spans="1:13" x14ac:dyDescent="0.25">
      <c r="A651" s="18" t="s">
        <v>35</v>
      </c>
      <c r="B651" s="18">
        <v>142</v>
      </c>
      <c r="C651" s="18" t="s">
        <v>8</v>
      </c>
      <c r="D651" s="18" t="s">
        <v>172</v>
      </c>
      <c r="E651" s="18" t="s">
        <v>47</v>
      </c>
      <c r="F651" s="19" t="s">
        <v>50</v>
      </c>
      <c r="G651" s="18" t="s">
        <v>253</v>
      </c>
      <c r="H651" t="s">
        <v>255</v>
      </c>
      <c r="I651" t="s">
        <v>392</v>
      </c>
      <c r="J651" t="s">
        <v>363</v>
      </c>
      <c r="K651" t="str">
        <f>Tabla14[[#This Row],[id]]&amp;Tabla14[[#This Row],[Resposable]]</f>
        <v>142Edgar Aquil</v>
      </c>
      <c r="L651" t="str">
        <f>Tabla14[[#This Row],[id]]&amp;Tabla14[[#This Row],[Resposable]]</f>
        <v>142Edgar Aquil</v>
      </c>
      <c r="M651" t="s">
        <v>255</v>
      </c>
    </row>
    <row r="652" spans="1:13" x14ac:dyDescent="0.25">
      <c r="A652" t="s">
        <v>245</v>
      </c>
      <c r="B652">
        <v>3</v>
      </c>
      <c r="C652" t="s">
        <v>7</v>
      </c>
      <c r="D652" t="s">
        <v>51</v>
      </c>
      <c r="E652" t="s">
        <v>47</v>
      </c>
      <c r="F652" s="4" t="s">
        <v>50</v>
      </c>
      <c r="G652" t="s">
        <v>239</v>
      </c>
      <c r="H652" t="s">
        <v>300</v>
      </c>
      <c r="I652" t="s">
        <v>392</v>
      </c>
      <c r="J652" t="s">
        <v>364</v>
      </c>
      <c r="K652" t="str">
        <f>Tabla14[[#This Row],[id]]&amp;Tabla14[[#This Row],[Resposable]]</f>
        <v>3Edgar Aquil</v>
      </c>
      <c r="L652" t="str">
        <f>Tabla14[[#This Row],[id]]&amp;Tabla14[[#This Row],[Resposable]]</f>
        <v>3Edgar Aquil</v>
      </c>
      <c r="M652" t="s">
        <v>300</v>
      </c>
    </row>
    <row r="653" spans="1:13" x14ac:dyDescent="0.25">
      <c r="A653" t="s">
        <v>245</v>
      </c>
      <c r="B653">
        <v>3</v>
      </c>
      <c r="C653" t="s">
        <v>8</v>
      </c>
      <c r="D653" t="s">
        <v>55</v>
      </c>
      <c r="E653" t="s">
        <v>47</v>
      </c>
      <c r="F653" s="4" t="s">
        <v>50</v>
      </c>
      <c r="G653" t="s">
        <v>239</v>
      </c>
      <c r="H653" t="s">
        <v>300</v>
      </c>
      <c r="I653" t="s">
        <v>392</v>
      </c>
      <c r="J653" t="s">
        <v>363</v>
      </c>
      <c r="K653" t="str">
        <f>Tabla14[[#This Row],[id]]&amp;Tabla14[[#This Row],[Resposable]]</f>
        <v>3Edgar Aquil</v>
      </c>
      <c r="L653" t="str">
        <f>Tabla14[[#This Row],[id]]&amp;Tabla14[[#This Row],[Resposable]]</f>
        <v>3Edgar Aquil</v>
      </c>
      <c r="M653" t="s">
        <v>300</v>
      </c>
    </row>
    <row r="654" spans="1:13" x14ac:dyDescent="0.25">
      <c r="A654" t="s">
        <v>245</v>
      </c>
      <c r="B654">
        <v>3</v>
      </c>
      <c r="C654" t="s">
        <v>8</v>
      </c>
      <c r="D654" t="s">
        <v>57</v>
      </c>
      <c r="E654" t="s">
        <v>54</v>
      </c>
      <c r="F654" s="4" t="s">
        <v>50</v>
      </c>
      <c r="G654" t="s">
        <v>239</v>
      </c>
      <c r="H654" t="s">
        <v>300</v>
      </c>
      <c r="I654" t="s">
        <v>392</v>
      </c>
      <c r="J654" t="s">
        <v>363</v>
      </c>
      <c r="K654" t="str">
        <f>Tabla14[[#This Row],[id]]&amp;Tabla14[[#This Row],[Resposable]]</f>
        <v>3Edgar Aquil</v>
      </c>
      <c r="L654" t="str">
        <f>Tabla14[[#This Row],[id]]&amp;Tabla14[[#This Row],[Resposable]]</f>
        <v>3Edgar Aquil</v>
      </c>
      <c r="M654" t="s">
        <v>300</v>
      </c>
    </row>
    <row r="655" spans="1:13" x14ac:dyDescent="0.25">
      <c r="A655" t="s">
        <v>246</v>
      </c>
      <c r="B655">
        <v>8</v>
      </c>
      <c r="C655" t="s">
        <v>9</v>
      </c>
      <c r="D655" t="s">
        <v>61</v>
      </c>
      <c r="E655" t="s">
        <v>47</v>
      </c>
      <c r="F655" s="4" t="s">
        <v>58</v>
      </c>
      <c r="G655" t="s">
        <v>239</v>
      </c>
      <c r="H655" t="s">
        <v>300</v>
      </c>
      <c r="I655" t="s">
        <v>392</v>
      </c>
      <c r="J655" t="s">
        <v>364</v>
      </c>
      <c r="K655" t="str">
        <f>Tabla14[[#This Row],[id]]&amp;Tabla14[[#This Row],[Resposable]]</f>
        <v>8Edgar Aquil</v>
      </c>
      <c r="L655" t="str">
        <f>Tabla14[[#This Row],[id]]&amp;Tabla14[[#This Row],[Resposable]]</f>
        <v>8Edgar Aquil</v>
      </c>
      <c r="M655" t="s">
        <v>300</v>
      </c>
    </row>
    <row r="656" spans="1:13" x14ac:dyDescent="0.25">
      <c r="A656" t="s">
        <v>246</v>
      </c>
      <c r="B656">
        <v>8</v>
      </c>
      <c r="C656" t="s">
        <v>7</v>
      </c>
      <c r="D656" t="s">
        <v>62</v>
      </c>
      <c r="E656" t="s">
        <v>47</v>
      </c>
      <c r="F656" s="4" t="s">
        <v>48</v>
      </c>
      <c r="G656" t="s">
        <v>239</v>
      </c>
      <c r="H656" t="s">
        <v>300</v>
      </c>
      <c r="I656" t="s">
        <v>392</v>
      </c>
      <c r="J656" t="s">
        <v>363</v>
      </c>
      <c r="K656" t="str">
        <f>Tabla14[[#This Row],[id]]&amp;Tabla14[[#This Row],[Resposable]]</f>
        <v>8Edgar Aquil</v>
      </c>
      <c r="L656" t="str">
        <f>Tabla14[[#This Row],[id]]&amp;Tabla14[[#This Row],[Resposable]]</f>
        <v>8Edgar Aquil</v>
      </c>
      <c r="M656" t="s">
        <v>300</v>
      </c>
    </row>
    <row r="657" spans="1:13" x14ac:dyDescent="0.25">
      <c r="A657" t="s">
        <v>246</v>
      </c>
      <c r="B657">
        <v>8</v>
      </c>
      <c r="C657" t="s">
        <v>9</v>
      </c>
      <c r="D657" t="s">
        <v>63</v>
      </c>
      <c r="E657" t="s">
        <v>47</v>
      </c>
      <c r="F657" s="4" t="s">
        <v>58</v>
      </c>
      <c r="G657" t="s">
        <v>239</v>
      </c>
      <c r="H657" t="s">
        <v>300</v>
      </c>
      <c r="I657" t="s">
        <v>392</v>
      </c>
      <c r="J657" t="s">
        <v>364</v>
      </c>
      <c r="K657" t="str">
        <f>Tabla14[[#This Row],[id]]&amp;Tabla14[[#This Row],[Resposable]]</f>
        <v>8Edgar Aquil</v>
      </c>
      <c r="L657" t="str">
        <f>Tabla14[[#This Row],[id]]&amp;Tabla14[[#This Row],[Resposable]]</f>
        <v>8Edgar Aquil</v>
      </c>
      <c r="M657" t="s">
        <v>300</v>
      </c>
    </row>
    <row r="658" spans="1:13" x14ac:dyDescent="0.25">
      <c r="A658" t="s">
        <v>246</v>
      </c>
      <c r="B658">
        <v>8</v>
      </c>
      <c r="C658" t="s">
        <v>8</v>
      </c>
      <c r="D658" t="s">
        <v>57</v>
      </c>
      <c r="E658" t="s">
        <v>54</v>
      </c>
      <c r="F658" s="4" t="s">
        <v>48</v>
      </c>
      <c r="G658" t="s">
        <v>239</v>
      </c>
      <c r="H658" t="s">
        <v>300</v>
      </c>
      <c r="I658" t="s">
        <v>392</v>
      </c>
      <c r="J658" t="s">
        <v>363</v>
      </c>
      <c r="K658" t="str">
        <f>Tabla14[[#This Row],[id]]&amp;Tabla14[[#This Row],[Resposable]]</f>
        <v>8Edgar Aquil</v>
      </c>
      <c r="L658" t="str">
        <f>Tabla14[[#This Row],[id]]&amp;Tabla14[[#This Row],[Resposable]]</f>
        <v>8Edgar Aquil</v>
      </c>
      <c r="M658" t="s">
        <v>300</v>
      </c>
    </row>
    <row r="659" spans="1:13" x14ac:dyDescent="0.25">
      <c r="A659" t="s">
        <v>17</v>
      </c>
      <c r="B659">
        <v>51</v>
      </c>
      <c r="C659" t="s">
        <v>7</v>
      </c>
      <c r="D659" t="s">
        <v>92</v>
      </c>
      <c r="E659" t="s">
        <v>47</v>
      </c>
      <c r="F659" s="4" t="s">
        <v>48</v>
      </c>
      <c r="G659" t="s">
        <v>239</v>
      </c>
      <c r="H659" t="s">
        <v>300</v>
      </c>
      <c r="I659" t="s">
        <v>392</v>
      </c>
      <c r="J659" t="s">
        <v>363</v>
      </c>
      <c r="K659" t="str">
        <f>Tabla14[[#This Row],[id]]&amp;Tabla14[[#This Row],[Resposable]]</f>
        <v>51Edgar Aquil</v>
      </c>
      <c r="L659" t="str">
        <f>Tabla14[[#This Row],[id]]&amp;Tabla14[[#This Row],[Resposable]]</f>
        <v>51Edgar Aquil</v>
      </c>
      <c r="M659" t="s">
        <v>300</v>
      </c>
    </row>
    <row r="660" spans="1:13" x14ac:dyDescent="0.25">
      <c r="A660" t="s">
        <v>17</v>
      </c>
      <c r="B660">
        <v>51</v>
      </c>
      <c r="C660" t="s">
        <v>7</v>
      </c>
      <c r="D660" t="s">
        <v>93</v>
      </c>
      <c r="E660" t="s">
        <v>47</v>
      </c>
      <c r="F660" s="4" t="s">
        <v>48</v>
      </c>
      <c r="G660" t="s">
        <v>239</v>
      </c>
      <c r="H660" t="s">
        <v>300</v>
      </c>
      <c r="I660" t="s">
        <v>392</v>
      </c>
      <c r="J660" t="s">
        <v>363</v>
      </c>
      <c r="K660" t="str">
        <f>Tabla14[[#This Row],[id]]&amp;Tabla14[[#This Row],[Resposable]]</f>
        <v>51Edgar Aquil</v>
      </c>
      <c r="L660" t="str">
        <f>Tabla14[[#This Row],[id]]&amp;Tabla14[[#This Row],[Resposable]]</f>
        <v>51Edgar Aquil</v>
      </c>
      <c r="M660" t="s">
        <v>300</v>
      </c>
    </row>
    <row r="661" spans="1:13" x14ac:dyDescent="0.25">
      <c r="A661" t="s">
        <v>17</v>
      </c>
      <c r="B661">
        <v>51</v>
      </c>
      <c r="C661" t="s">
        <v>7</v>
      </c>
      <c r="D661" t="s">
        <v>94</v>
      </c>
      <c r="E661" t="s">
        <v>47</v>
      </c>
      <c r="F661" s="4" t="s">
        <v>48</v>
      </c>
      <c r="G661" t="s">
        <v>239</v>
      </c>
      <c r="H661" t="s">
        <v>300</v>
      </c>
      <c r="I661" t="s">
        <v>392</v>
      </c>
      <c r="J661" t="s">
        <v>363</v>
      </c>
      <c r="K661" t="str">
        <f>Tabla14[[#This Row],[id]]&amp;Tabla14[[#This Row],[Resposable]]</f>
        <v>51Edgar Aquil</v>
      </c>
      <c r="L661" t="str">
        <f>Tabla14[[#This Row],[id]]&amp;Tabla14[[#This Row],[Resposable]]</f>
        <v>51Edgar Aquil</v>
      </c>
      <c r="M661" t="s">
        <v>300</v>
      </c>
    </row>
    <row r="662" spans="1:13" x14ac:dyDescent="0.25">
      <c r="A662" t="s">
        <v>17</v>
      </c>
      <c r="B662">
        <v>51</v>
      </c>
      <c r="C662" t="s">
        <v>7</v>
      </c>
      <c r="D662" t="s">
        <v>95</v>
      </c>
      <c r="E662" t="s">
        <v>47</v>
      </c>
      <c r="F662" s="4" t="s">
        <v>96</v>
      </c>
      <c r="G662" t="s">
        <v>239</v>
      </c>
      <c r="H662" t="s">
        <v>300</v>
      </c>
      <c r="I662" t="s">
        <v>392</v>
      </c>
      <c r="J662" t="s">
        <v>363</v>
      </c>
      <c r="K662" t="str">
        <f>Tabla14[[#This Row],[id]]&amp;Tabla14[[#This Row],[Resposable]]</f>
        <v>51Edgar Aquil</v>
      </c>
      <c r="L662" t="str">
        <f>Tabla14[[#This Row],[id]]&amp;Tabla14[[#This Row],[Resposable]]</f>
        <v>51Edgar Aquil</v>
      </c>
      <c r="M662" t="s">
        <v>300</v>
      </c>
    </row>
    <row r="663" spans="1:13" x14ac:dyDescent="0.25">
      <c r="A663" t="s">
        <v>17</v>
      </c>
      <c r="B663">
        <v>51</v>
      </c>
      <c r="C663" t="s">
        <v>18</v>
      </c>
      <c r="D663" t="s">
        <v>97</v>
      </c>
      <c r="E663" t="s">
        <v>47</v>
      </c>
      <c r="F663" s="4" t="s">
        <v>48</v>
      </c>
      <c r="G663" t="s">
        <v>239</v>
      </c>
      <c r="H663" t="s">
        <v>300</v>
      </c>
      <c r="I663" t="s">
        <v>392</v>
      </c>
      <c r="J663" t="s">
        <v>363</v>
      </c>
      <c r="K663" t="str">
        <f>Tabla14[[#This Row],[id]]&amp;Tabla14[[#This Row],[Resposable]]</f>
        <v>51Edgar Aquil</v>
      </c>
      <c r="L663" t="str">
        <f>Tabla14[[#This Row],[id]]&amp;Tabla14[[#This Row],[Resposable]]</f>
        <v>51Edgar Aquil</v>
      </c>
      <c r="M663" t="s">
        <v>300</v>
      </c>
    </row>
    <row r="664" spans="1:13" x14ac:dyDescent="0.25">
      <c r="A664" t="s">
        <v>17</v>
      </c>
      <c r="B664">
        <v>51</v>
      </c>
      <c r="C664" t="s">
        <v>8</v>
      </c>
      <c r="D664" t="s">
        <v>57</v>
      </c>
      <c r="E664" t="s">
        <v>54</v>
      </c>
      <c r="F664" s="4" t="s">
        <v>77</v>
      </c>
      <c r="G664" t="s">
        <v>239</v>
      </c>
      <c r="H664" t="s">
        <v>300</v>
      </c>
      <c r="I664" t="s">
        <v>392</v>
      </c>
      <c r="J664" t="s">
        <v>363</v>
      </c>
      <c r="K664" t="str">
        <f>Tabla14[[#This Row],[id]]&amp;Tabla14[[#This Row],[Resposable]]</f>
        <v>51Edgar Aquil</v>
      </c>
      <c r="L664" t="str">
        <f>Tabla14[[#This Row],[id]]&amp;Tabla14[[#This Row],[Resposable]]</f>
        <v>51Edgar Aquil</v>
      </c>
      <c r="M664" t="s">
        <v>300</v>
      </c>
    </row>
    <row r="665" spans="1:13" x14ac:dyDescent="0.25">
      <c r="A665" t="s">
        <v>24</v>
      </c>
      <c r="B665">
        <v>105</v>
      </c>
      <c r="C665" t="s">
        <v>5</v>
      </c>
      <c r="D665" t="s">
        <v>115</v>
      </c>
      <c r="E665" t="s">
        <v>47</v>
      </c>
      <c r="F665" s="4" t="s">
        <v>58</v>
      </c>
      <c r="G665" t="s">
        <v>239</v>
      </c>
      <c r="H665" t="s">
        <v>300</v>
      </c>
      <c r="I665" t="s">
        <v>392</v>
      </c>
      <c r="J665" t="s">
        <v>363</v>
      </c>
      <c r="K665" t="str">
        <f>Tabla14[[#This Row],[id]]&amp;Tabla14[[#This Row],[Resposable]]</f>
        <v>105Edgar Aquil</v>
      </c>
      <c r="L665" t="str">
        <f>Tabla14[[#This Row],[id]]&amp;Tabla14[[#This Row],[Resposable]]</f>
        <v>105Edgar Aquil</v>
      </c>
      <c r="M665" t="s">
        <v>300</v>
      </c>
    </row>
    <row r="666" spans="1:13" x14ac:dyDescent="0.25">
      <c r="A666" t="s">
        <v>24</v>
      </c>
      <c r="B666">
        <v>105</v>
      </c>
      <c r="C666" t="s">
        <v>5</v>
      </c>
      <c r="D666" t="s">
        <v>117</v>
      </c>
      <c r="E666" t="s">
        <v>47</v>
      </c>
      <c r="F666" s="4" t="s">
        <v>96</v>
      </c>
      <c r="G666" t="s">
        <v>239</v>
      </c>
      <c r="H666" t="s">
        <v>300</v>
      </c>
      <c r="I666" t="s">
        <v>392</v>
      </c>
      <c r="J666" t="s">
        <v>363</v>
      </c>
      <c r="K666" t="str">
        <f>Tabla14[[#This Row],[id]]&amp;Tabla14[[#This Row],[Resposable]]</f>
        <v>105Edgar Aquil</v>
      </c>
      <c r="L666" t="str">
        <f>Tabla14[[#This Row],[id]]&amp;Tabla14[[#This Row],[Resposable]]</f>
        <v>105Edgar Aquil</v>
      </c>
      <c r="M666" t="s">
        <v>300</v>
      </c>
    </row>
    <row r="667" spans="1:13" x14ac:dyDescent="0.25">
      <c r="A667" t="s">
        <v>24</v>
      </c>
      <c r="B667">
        <v>105</v>
      </c>
      <c r="C667" t="s">
        <v>7</v>
      </c>
      <c r="D667" t="s">
        <v>118</v>
      </c>
      <c r="E667" t="s">
        <v>47</v>
      </c>
      <c r="F667" s="4" t="s">
        <v>71</v>
      </c>
      <c r="G667" t="s">
        <v>239</v>
      </c>
      <c r="H667" t="s">
        <v>300</v>
      </c>
      <c r="I667" t="s">
        <v>392</v>
      </c>
      <c r="J667" t="s">
        <v>363</v>
      </c>
      <c r="K667" t="str">
        <f>Tabla14[[#This Row],[id]]&amp;Tabla14[[#This Row],[Resposable]]</f>
        <v>105Edgar Aquil</v>
      </c>
      <c r="L667" t="str">
        <f>Tabla14[[#This Row],[id]]&amp;Tabla14[[#This Row],[Resposable]]</f>
        <v>105Edgar Aquil</v>
      </c>
      <c r="M667" t="s">
        <v>300</v>
      </c>
    </row>
    <row r="668" spans="1:13" x14ac:dyDescent="0.25">
      <c r="A668" t="s">
        <v>24</v>
      </c>
      <c r="B668">
        <v>105</v>
      </c>
      <c r="C668" t="s">
        <v>7</v>
      </c>
      <c r="D668" t="s">
        <v>119</v>
      </c>
      <c r="E668" t="s">
        <v>47</v>
      </c>
      <c r="F668" s="4" t="s">
        <v>71</v>
      </c>
      <c r="G668" t="s">
        <v>239</v>
      </c>
      <c r="H668" t="s">
        <v>300</v>
      </c>
      <c r="I668" t="s">
        <v>392</v>
      </c>
      <c r="J668" t="s">
        <v>363</v>
      </c>
      <c r="K668" t="str">
        <f>Tabla14[[#This Row],[id]]&amp;Tabla14[[#This Row],[Resposable]]</f>
        <v>105Edgar Aquil</v>
      </c>
      <c r="L668" t="str">
        <f>Tabla14[[#This Row],[id]]&amp;Tabla14[[#This Row],[Resposable]]</f>
        <v>105Edgar Aquil</v>
      </c>
      <c r="M668" t="s">
        <v>300</v>
      </c>
    </row>
    <row r="669" spans="1:13" x14ac:dyDescent="0.25">
      <c r="A669" t="s">
        <v>24</v>
      </c>
      <c r="B669">
        <v>105</v>
      </c>
      <c r="C669" t="s">
        <v>7</v>
      </c>
      <c r="D669" t="s">
        <v>120</v>
      </c>
      <c r="E669" t="s">
        <v>47</v>
      </c>
      <c r="F669" s="4" t="s">
        <v>96</v>
      </c>
      <c r="G669" t="s">
        <v>239</v>
      </c>
      <c r="H669" t="s">
        <v>300</v>
      </c>
      <c r="I669" t="s">
        <v>392</v>
      </c>
      <c r="J669" t="s">
        <v>363</v>
      </c>
      <c r="K669" t="str">
        <f>Tabla14[[#This Row],[id]]&amp;Tabla14[[#This Row],[Resposable]]</f>
        <v>105Edgar Aquil</v>
      </c>
      <c r="L669" t="str">
        <f>Tabla14[[#This Row],[id]]&amp;Tabla14[[#This Row],[Resposable]]</f>
        <v>105Edgar Aquil</v>
      </c>
      <c r="M669" t="s">
        <v>300</v>
      </c>
    </row>
    <row r="670" spans="1:13" x14ac:dyDescent="0.25">
      <c r="A670" t="s">
        <v>24</v>
      </c>
      <c r="B670">
        <v>105</v>
      </c>
      <c r="C670" t="s">
        <v>8</v>
      </c>
      <c r="D670" t="s">
        <v>121</v>
      </c>
      <c r="E670" t="s">
        <v>47</v>
      </c>
      <c r="F670" s="4" t="s">
        <v>50</v>
      </c>
      <c r="G670" t="s">
        <v>239</v>
      </c>
      <c r="H670" t="s">
        <v>300</v>
      </c>
      <c r="I670" t="s">
        <v>392</v>
      </c>
      <c r="J670" t="s">
        <v>363</v>
      </c>
      <c r="K670" t="str">
        <f>Tabla14[[#This Row],[id]]&amp;Tabla14[[#This Row],[Resposable]]</f>
        <v>105Edgar Aquil</v>
      </c>
      <c r="L670" t="str">
        <f>Tabla14[[#This Row],[id]]&amp;Tabla14[[#This Row],[Resposable]]</f>
        <v>105Edgar Aquil</v>
      </c>
      <c r="M670" t="s">
        <v>300</v>
      </c>
    </row>
    <row r="671" spans="1:13" x14ac:dyDescent="0.25">
      <c r="A671" t="s">
        <v>24</v>
      </c>
      <c r="B671">
        <v>105</v>
      </c>
      <c r="C671" t="s">
        <v>18</v>
      </c>
      <c r="D671" t="s">
        <v>122</v>
      </c>
      <c r="E671" t="s">
        <v>47</v>
      </c>
      <c r="F671" s="4" t="s">
        <v>48</v>
      </c>
      <c r="G671" t="s">
        <v>239</v>
      </c>
      <c r="H671" t="s">
        <v>300</v>
      </c>
      <c r="I671" t="s">
        <v>392</v>
      </c>
      <c r="J671" t="s">
        <v>363</v>
      </c>
      <c r="K671" t="str">
        <f>Tabla14[[#This Row],[id]]&amp;Tabla14[[#This Row],[Resposable]]</f>
        <v>105Edgar Aquil</v>
      </c>
      <c r="L671" t="str">
        <f>Tabla14[[#This Row],[id]]&amp;Tabla14[[#This Row],[Resposable]]</f>
        <v>105Edgar Aquil</v>
      </c>
      <c r="M671" t="s">
        <v>300</v>
      </c>
    </row>
    <row r="672" spans="1:13" x14ac:dyDescent="0.25">
      <c r="A672" t="s">
        <v>24</v>
      </c>
      <c r="B672">
        <v>105</v>
      </c>
      <c r="C672" t="s">
        <v>8</v>
      </c>
      <c r="D672" t="s">
        <v>123</v>
      </c>
      <c r="E672" t="s">
        <v>47</v>
      </c>
      <c r="F672" s="4" t="s">
        <v>50</v>
      </c>
      <c r="G672" t="s">
        <v>239</v>
      </c>
      <c r="H672" t="s">
        <v>300</v>
      </c>
      <c r="I672" t="s">
        <v>392</v>
      </c>
      <c r="J672" t="s">
        <v>363</v>
      </c>
      <c r="K672" t="str">
        <f>Tabla14[[#This Row],[id]]&amp;Tabla14[[#This Row],[Resposable]]</f>
        <v>105Edgar Aquil</v>
      </c>
      <c r="L672" t="str">
        <f>Tabla14[[#This Row],[id]]&amp;Tabla14[[#This Row],[Resposable]]</f>
        <v>105Edgar Aquil</v>
      </c>
      <c r="M672" t="s">
        <v>300</v>
      </c>
    </row>
    <row r="673" spans="1:13" x14ac:dyDescent="0.25">
      <c r="A673" t="s">
        <v>24</v>
      </c>
      <c r="B673">
        <v>105</v>
      </c>
      <c r="C673" t="s">
        <v>8</v>
      </c>
      <c r="D673" t="s">
        <v>124</v>
      </c>
      <c r="E673" t="s">
        <v>47</v>
      </c>
      <c r="F673" s="4" t="s">
        <v>50</v>
      </c>
      <c r="G673" t="s">
        <v>239</v>
      </c>
      <c r="H673" t="s">
        <v>300</v>
      </c>
      <c r="I673" t="s">
        <v>392</v>
      </c>
      <c r="J673" t="s">
        <v>363</v>
      </c>
      <c r="K673" t="str">
        <f>Tabla14[[#This Row],[id]]&amp;Tabla14[[#This Row],[Resposable]]</f>
        <v>105Edgar Aquil</v>
      </c>
      <c r="L673" t="str">
        <f>Tabla14[[#This Row],[id]]&amp;Tabla14[[#This Row],[Resposable]]</f>
        <v>105Edgar Aquil</v>
      </c>
      <c r="M673" t="s">
        <v>300</v>
      </c>
    </row>
    <row r="674" spans="1:13" x14ac:dyDescent="0.25">
      <c r="A674" t="s">
        <v>24</v>
      </c>
      <c r="B674">
        <v>105</v>
      </c>
      <c r="C674" t="s">
        <v>8</v>
      </c>
      <c r="D674" t="s">
        <v>125</v>
      </c>
      <c r="E674" t="s">
        <v>47</v>
      </c>
      <c r="F674" s="4" t="s">
        <v>50</v>
      </c>
      <c r="G674" t="s">
        <v>239</v>
      </c>
      <c r="H674" t="s">
        <v>300</v>
      </c>
      <c r="I674" t="s">
        <v>392</v>
      </c>
      <c r="J674" t="s">
        <v>363</v>
      </c>
      <c r="K674" t="str">
        <f>Tabla14[[#This Row],[id]]&amp;Tabla14[[#This Row],[Resposable]]</f>
        <v>105Edgar Aquil</v>
      </c>
      <c r="L674" t="str">
        <f>Tabla14[[#This Row],[id]]&amp;Tabla14[[#This Row],[Resposable]]</f>
        <v>105Edgar Aquil</v>
      </c>
      <c r="M674" t="s">
        <v>300</v>
      </c>
    </row>
    <row r="675" spans="1:13" x14ac:dyDescent="0.25">
      <c r="A675" t="s">
        <v>24</v>
      </c>
      <c r="B675">
        <v>105</v>
      </c>
      <c r="C675" t="s">
        <v>8</v>
      </c>
      <c r="D675" t="s">
        <v>126</v>
      </c>
      <c r="E675" t="s">
        <v>47</v>
      </c>
      <c r="F675" s="4" t="s">
        <v>50</v>
      </c>
      <c r="G675" t="s">
        <v>239</v>
      </c>
      <c r="H675" t="s">
        <v>300</v>
      </c>
      <c r="I675" t="s">
        <v>392</v>
      </c>
      <c r="J675" t="s">
        <v>363</v>
      </c>
      <c r="K675" t="str">
        <f>Tabla14[[#This Row],[id]]&amp;Tabla14[[#This Row],[Resposable]]</f>
        <v>105Edgar Aquil</v>
      </c>
      <c r="L675" t="str">
        <f>Tabla14[[#This Row],[id]]&amp;Tabla14[[#This Row],[Resposable]]</f>
        <v>105Edgar Aquil</v>
      </c>
      <c r="M675" t="s">
        <v>300</v>
      </c>
    </row>
    <row r="676" spans="1:13" x14ac:dyDescent="0.25">
      <c r="A676" t="s">
        <v>24</v>
      </c>
      <c r="B676">
        <v>105</v>
      </c>
      <c r="C676" t="s">
        <v>8</v>
      </c>
      <c r="D676" t="s">
        <v>127</v>
      </c>
      <c r="E676" t="s">
        <v>47</v>
      </c>
      <c r="F676" s="4" t="s">
        <v>50</v>
      </c>
      <c r="G676" t="s">
        <v>239</v>
      </c>
      <c r="H676" t="s">
        <v>300</v>
      </c>
      <c r="I676" t="s">
        <v>392</v>
      </c>
      <c r="J676" t="s">
        <v>363</v>
      </c>
      <c r="K676" t="str">
        <f>Tabla14[[#This Row],[id]]&amp;Tabla14[[#This Row],[Resposable]]</f>
        <v>105Edgar Aquil</v>
      </c>
      <c r="L676" t="str">
        <f>Tabla14[[#This Row],[id]]&amp;Tabla14[[#This Row],[Resposable]]</f>
        <v>105Edgar Aquil</v>
      </c>
      <c r="M676" t="s">
        <v>300</v>
      </c>
    </row>
    <row r="677" spans="1:13" x14ac:dyDescent="0.25">
      <c r="A677" t="s">
        <v>24</v>
      </c>
      <c r="B677">
        <v>105</v>
      </c>
      <c r="C677" t="s">
        <v>8</v>
      </c>
      <c r="D677" t="s">
        <v>128</v>
      </c>
      <c r="E677" t="s">
        <v>47</v>
      </c>
      <c r="F677" s="4" t="s">
        <v>50</v>
      </c>
      <c r="G677" t="s">
        <v>239</v>
      </c>
      <c r="H677" t="s">
        <v>300</v>
      </c>
      <c r="I677" t="s">
        <v>392</v>
      </c>
      <c r="J677" t="s">
        <v>363</v>
      </c>
      <c r="K677" t="str">
        <f>Tabla14[[#This Row],[id]]&amp;Tabla14[[#This Row],[Resposable]]</f>
        <v>105Edgar Aquil</v>
      </c>
      <c r="L677" t="str">
        <f>Tabla14[[#This Row],[id]]&amp;Tabla14[[#This Row],[Resposable]]</f>
        <v>105Edgar Aquil</v>
      </c>
      <c r="M677" t="s">
        <v>300</v>
      </c>
    </row>
    <row r="678" spans="1:13" x14ac:dyDescent="0.25">
      <c r="A678" t="s">
        <v>24</v>
      </c>
      <c r="B678">
        <v>105</v>
      </c>
      <c r="C678" t="s">
        <v>7</v>
      </c>
      <c r="D678" t="s">
        <v>129</v>
      </c>
      <c r="E678" t="s">
        <v>47</v>
      </c>
      <c r="F678" s="4" t="s">
        <v>71</v>
      </c>
      <c r="G678" t="s">
        <v>239</v>
      </c>
      <c r="H678" t="s">
        <v>300</v>
      </c>
      <c r="I678" t="s">
        <v>392</v>
      </c>
      <c r="J678" t="s">
        <v>363</v>
      </c>
      <c r="K678" t="str">
        <f>Tabla14[[#This Row],[id]]&amp;Tabla14[[#This Row],[Resposable]]</f>
        <v>105Edgar Aquil</v>
      </c>
      <c r="L678" t="str">
        <f>Tabla14[[#This Row],[id]]&amp;Tabla14[[#This Row],[Resposable]]</f>
        <v>105Edgar Aquil</v>
      </c>
      <c r="M678" t="s">
        <v>300</v>
      </c>
    </row>
    <row r="679" spans="1:13" x14ac:dyDescent="0.25">
      <c r="A679" t="s">
        <v>24</v>
      </c>
      <c r="B679">
        <v>105</v>
      </c>
      <c r="C679" t="s">
        <v>7</v>
      </c>
      <c r="D679" t="s">
        <v>130</v>
      </c>
      <c r="E679" t="s">
        <v>47</v>
      </c>
      <c r="F679" s="4" t="s">
        <v>71</v>
      </c>
      <c r="G679" t="s">
        <v>239</v>
      </c>
      <c r="H679" t="s">
        <v>300</v>
      </c>
      <c r="I679" t="s">
        <v>392</v>
      </c>
      <c r="J679" t="s">
        <v>363</v>
      </c>
      <c r="K679" t="str">
        <f>Tabla14[[#This Row],[id]]&amp;Tabla14[[#This Row],[Resposable]]</f>
        <v>105Edgar Aquil</v>
      </c>
      <c r="L679" t="str">
        <f>Tabla14[[#This Row],[id]]&amp;Tabla14[[#This Row],[Resposable]]</f>
        <v>105Edgar Aquil</v>
      </c>
      <c r="M679" t="s">
        <v>300</v>
      </c>
    </row>
    <row r="680" spans="1:13" x14ac:dyDescent="0.25">
      <c r="A680" t="s">
        <v>24</v>
      </c>
      <c r="B680">
        <v>105</v>
      </c>
      <c r="C680" t="s">
        <v>7</v>
      </c>
      <c r="D680" t="s">
        <v>131</v>
      </c>
      <c r="E680" t="s">
        <v>47</v>
      </c>
      <c r="F680" s="4" t="s">
        <v>71</v>
      </c>
      <c r="G680" t="s">
        <v>239</v>
      </c>
      <c r="H680" t="s">
        <v>300</v>
      </c>
      <c r="I680" t="s">
        <v>392</v>
      </c>
      <c r="J680" t="s">
        <v>363</v>
      </c>
      <c r="K680" t="str">
        <f>Tabla14[[#This Row],[id]]&amp;Tabla14[[#This Row],[Resposable]]</f>
        <v>105Edgar Aquil</v>
      </c>
      <c r="L680" t="str">
        <f>Tabla14[[#This Row],[id]]&amp;Tabla14[[#This Row],[Resposable]]</f>
        <v>105Edgar Aquil</v>
      </c>
      <c r="M680" t="s">
        <v>300</v>
      </c>
    </row>
    <row r="681" spans="1:13" x14ac:dyDescent="0.25">
      <c r="A681" t="s">
        <v>24</v>
      </c>
      <c r="B681">
        <v>105</v>
      </c>
      <c r="C681" t="s">
        <v>18</v>
      </c>
      <c r="D681" t="s">
        <v>132</v>
      </c>
      <c r="E681" t="s">
        <v>47</v>
      </c>
      <c r="F681" s="4" t="s">
        <v>48</v>
      </c>
      <c r="G681" t="s">
        <v>239</v>
      </c>
      <c r="H681" t="s">
        <v>300</v>
      </c>
      <c r="I681" t="s">
        <v>392</v>
      </c>
      <c r="J681" t="s">
        <v>363</v>
      </c>
      <c r="K681" t="str">
        <f>Tabla14[[#This Row],[id]]&amp;Tabla14[[#This Row],[Resposable]]</f>
        <v>105Edgar Aquil</v>
      </c>
      <c r="L681" t="str">
        <f>Tabla14[[#This Row],[id]]&amp;Tabla14[[#This Row],[Resposable]]</f>
        <v>105Edgar Aquil</v>
      </c>
      <c r="M681" t="s">
        <v>300</v>
      </c>
    </row>
    <row r="682" spans="1:13" x14ac:dyDescent="0.25">
      <c r="A682" t="s">
        <v>24</v>
      </c>
      <c r="B682">
        <v>105</v>
      </c>
      <c r="C682" t="s">
        <v>7</v>
      </c>
      <c r="D682" t="s">
        <v>133</v>
      </c>
      <c r="E682" t="s">
        <v>47</v>
      </c>
      <c r="F682" s="4" t="s">
        <v>71</v>
      </c>
      <c r="G682" t="s">
        <v>239</v>
      </c>
      <c r="H682" t="s">
        <v>300</v>
      </c>
      <c r="I682" t="s">
        <v>392</v>
      </c>
      <c r="J682" t="s">
        <v>363</v>
      </c>
      <c r="K682" t="str">
        <f>Tabla14[[#This Row],[id]]&amp;Tabla14[[#This Row],[Resposable]]</f>
        <v>105Edgar Aquil</v>
      </c>
      <c r="L682" t="str">
        <f>Tabla14[[#This Row],[id]]&amp;Tabla14[[#This Row],[Resposable]]</f>
        <v>105Edgar Aquil</v>
      </c>
      <c r="M682" t="s">
        <v>300</v>
      </c>
    </row>
    <row r="683" spans="1:13" x14ac:dyDescent="0.25">
      <c r="A683" t="s">
        <v>24</v>
      </c>
      <c r="B683">
        <v>105</v>
      </c>
      <c r="C683" t="s">
        <v>7</v>
      </c>
      <c r="D683" t="s">
        <v>134</v>
      </c>
      <c r="E683" t="s">
        <v>47</v>
      </c>
      <c r="F683" s="4" t="s">
        <v>71</v>
      </c>
      <c r="G683" t="s">
        <v>239</v>
      </c>
      <c r="H683" t="s">
        <v>300</v>
      </c>
      <c r="I683" t="s">
        <v>392</v>
      </c>
      <c r="J683" t="s">
        <v>363</v>
      </c>
      <c r="K683" t="str">
        <f>Tabla14[[#This Row],[id]]&amp;Tabla14[[#This Row],[Resposable]]</f>
        <v>105Edgar Aquil</v>
      </c>
      <c r="L683" t="str">
        <f>Tabla14[[#This Row],[id]]&amp;Tabla14[[#This Row],[Resposable]]</f>
        <v>105Edgar Aquil</v>
      </c>
      <c r="M683" t="s">
        <v>300</v>
      </c>
    </row>
    <row r="684" spans="1:13" x14ac:dyDescent="0.25">
      <c r="A684" t="s">
        <v>24</v>
      </c>
      <c r="B684">
        <v>105</v>
      </c>
      <c r="C684" t="s">
        <v>8</v>
      </c>
      <c r="D684" t="s">
        <v>135</v>
      </c>
      <c r="E684" t="s">
        <v>47</v>
      </c>
      <c r="F684" s="4" t="s">
        <v>50</v>
      </c>
      <c r="G684" t="s">
        <v>239</v>
      </c>
      <c r="H684" t="s">
        <v>300</v>
      </c>
      <c r="I684" t="s">
        <v>392</v>
      </c>
      <c r="J684" t="s">
        <v>363</v>
      </c>
      <c r="K684" t="str">
        <f>Tabla14[[#This Row],[id]]&amp;Tabla14[[#This Row],[Resposable]]</f>
        <v>105Edgar Aquil</v>
      </c>
      <c r="L684" t="str">
        <f>Tabla14[[#This Row],[id]]&amp;Tabla14[[#This Row],[Resposable]]</f>
        <v>105Edgar Aquil</v>
      </c>
      <c r="M684" t="s">
        <v>300</v>
      </c>
    </row>
    <row r="685" spans="1:13" x14ac:dyDescent="0.25">
      <c r="A685" t="s">
        <v>24</v>
      </c>
      <c r="B685">
        <v>105</v>
      </c>
      <c r="C685" t="s">
        <v>7</v>
      </c>
      <c r="D685" t="s">
        <v>137</v>
      </c>
      <c r="E685" t="s">
        <v>47</v>
      </c>
      <c r="F685" s="4" t="s">
        <v>71</v>
      </c>
      <c r="G685" t="s">
        <v>239</v>
      </c>
      <c r="H685" t="s">
        <v>300</v>
      </c>
      <c r="I685" t="s">
        <v>392</v>
      </c>
      <c r="J685" t="s">
        <v>363</v>
      </c>
      <c r="K685" t="str">
        <f>Tabla14[[#This Row],[id]]&amp;Tabla14[[#This Row],[Resposable]]</f>
        <v>105Edgar Aquil</v>
      </c>
      <c r="L685" t="str">
        <f>Tabla14[[#This Row],[id]]&amp;Tabla14[[#This Row],[Resposable]]</f>
        <v>105Edgar Aquil</v>
      </c>
      <c r="M685" t="s">
        <v>300</v>
      </c>
    </row>
    <row r="686" spans="1:13" x14ac:dyDescent="0.25">
      <c r="A686" t="s">
        <v>24</v>
      </c>
      <c r="B686">
        <v>105</v>
      </c>
      <c r="C686" t="s">
        <v>18</v>
      </c>
      <c r="D686" t="s">
        <v>138</v>
      </c>
      <c r="E686" t="s">
        <v>47</v>
      </c>
      <c r="F686" s="4" t="s">
        <v>48</v>
      </c>
      <c r="G686" t="s">
        <v>239</v>
      </c>
      <c r="H686" t="s">
        <v>300</v>
      </c>
      <c r="I686" t="s">
        <v>392</v>
      </c>
      <c r="J686" t="s">
        <v>363</v>
      </c>
      <c r="K686" t="str">
        <f>Tabla14[[#This Row],[id]]&amp;Tabla14[[#This Row],[Resposable]]</f>
        <v>105Edgar Aquil</v>
      </c>
      <c r="L686" t="str">
        <f>Tabla14[[#This Row],[id]]&amp;Tabla14[[#This Row],[Resposable]]</f>
        <v>105Edgar Aquil</v>
      </c>
      <c r="M686" t="s">
        <v>300</v>
      </c>
    </row>
    <row r="687" spans="1:13" x14ac:dyDescent="0.25">
      <c r="A687" t="s">
        <v>24</v>
      </c>
      <c r="B687">
        <v>105</v>
      </c>
      <c r="C687" t="s">
        <v>18</v>
      </c>
      <c r="D687" t="s">
        <v>140</v>
      </c>
      <c r="E687" t="s">
        <v>47</v>
      </c>
      <c r="F687" s="4" t="s">
        <v>48</v>
      </c>
      <c r="G687" t="s">
        <v>239</v>
      </c>
      <c r="H687" t="s">
        <v>300</v>
      </c>
      <c r="I687" t="s">
        <v>392</v>
      </c>
      <c r="J687" t="s">
        <v>363</v>
      </c>
      <c r="K687" t="str">
        <f>Tabla14[[#This Row],[id]]&amp;Tabla14[[#This Row],[Resposable]]</f>
        <v>105Edgar Aquil</v>
      </c>
      <c r="L687" t="str">
        <f>Tabla14[[#This Row],[id]]&amp;Tabla14[[#This Row],[Resposable]]</f>
        <v>105Edgar Aquil</v>
      </c>
      <c r="M687" t="s">
        <v>300</v>
      </c>
    </row>
    <row r="688" spans="1:13" x14ac:dyDescent="0.25">
      <c r="A688" t="s">
        <v>24</v>
      </c>
      <c r="B688">
        <v>105</v>
      </c>
      <c r="C688" t="s">
        <v>8</v>
      </c>
      <c r="D688" t="s">
        <v>141</v>
      </c>
      <c r="E688" t="s">
        <v>47</v>
      </c>
      <c r="F688" s="4" t="s">
        <v>50</v>
      </c>
      <c r="G688" t="s">
        <v>239</v>
      </c>
      <c r="H688" t="s">
        <v>300</v>
      </c>
      <c r="I688" t="s">
        <v>392</v>
      </c>
      <c r="J688" t="s">
        <v>363</v>
      </c>
      <c r="K688" t="str">
        <f>Tabla14[[#This Row],[id]]&amp;Tabla14[[#This Row],[Resposable]]</f>
        <v>105Edgar Aquil</v>
      </c>
      <c r="L688" t="str">
        <f>Tabla14[[#This Row],[id]]&amp;Tabla14[[#This Row],[Resposable]]</f>
        <v>105Edgar Aquil</v>
      </c>
      <c r="M688" t="s">
        <v>300</v>
      </c>
    </row>
    <row r="689" spans="1:13" x14ac:dyDescent="0.25">
      <c r="A689" t="s">
        <v>24</v>
      </c>
      <c r="B689">
        <v>105</v>
      </c>
      <c r="C689" t="s">
        <v>18</v>
      </c>
      <c r="D689" t="s">
        <v>142</v>
      </c>
      <c r="E689" t="s">
        <v>47</v>
      </c>
      <c r="F689" s="4" t="s">
        <v>48</v>
      </c>
      <c r="G689" t="s">
        <v>239</v>
      </c>
      <c r="H689" t="s">
        <v>300</v>
      </c>
      <c r="I689" t="s">
        <v>392</v>
      </c>
      <c r="J689" t="s">
        <v>363</v>
      </c>
      <c r="K689" t="str">
        <f>Tabla14[[#This Row],[id]]&amp;Tabla14[[#This Row],[Resposable]]</f>
        <v>105Edgar Aquil</v>
      </c>
      <c r="L689" t="str">
        <f>Tabla14[[#This Row],[id]]&amp;Tabla14[[#This Row],[Resposable]]</f>
        <v>105Edgar Aquil</v>
      </c>
      <c r="M689" t="s">
        <v>300</v>
      </c>
    </row>
    <row r="690" spans="1:13" x14ac:dyDescent="0.25">
      <c r="A690" t="s">
        <v>24</v>
      </c>
      <c r="B690">
        <v>105</v>
      </c>
      <c r="C690" t="s">
        <v>7</v>
      </c>
      <c r="D690" t="s">
        <v>143</v>
      </c>
      <c r="E690" t="s">
        <v>47</v>
      </c>
      <c r="F690" s="4" t="s">
        <v>71</v>
      </c>
      <c r="G690" t="s">
        <v>239</v>
      </c>
      <c r="H690" t="s">
        <v>300</v>
      </c>
      <c r="I690" t="s">
        <v>392</v>
      </c>
      <c r="J690" t="s">
        <v>363</v>
      </c>
      <c r="K690" t="str">
        <f>Tabla14[[#This Row],[id]]&amp;Tabla14[[#This Row],[Resposable]]</f>
        <v>105Edgar Aquil</v>
      </c>
      <c r="L690" t="str">
        <f>Tabla14[[#This Row],[id]]&amp;Tabla14[[#This Row],[Resposable]]</f>
        <v>105Edgar Aquil</v>
      </c>
      <c r="M690" t="s">
        <v>300</v>
      </c>
    </row>
    <row r="691" spans="1:13" x14ac:dyDescent="0.25">
      <c r="A691" t="s">
        <v>25</v>
      </c>
      <c r="B691">
        <v>105</v>
      </c>
      <c r="C691" t="s">
        <v>18</v>
      </c>
      <c r="D691" t="s">
        <v>145</v>
      </c>
      <c r="E691" t="s">
        <v>47</v>
      </c>
      <c r="F691" s="4" t="s">
        <v>48</v>
      </c>
      <c r="G691" t="s">
        <v>239</v>
      </c>
      <c r="H691" t="s">
        <v>300</v>
      </c>
      <c r="I691" t="s">
        <v>392</v>
      </c>
      <c r="J691" t="s">
        <v>363</v>
      </c>
      <c r="K691" t="str">
        <f>Tabla14[[#This Row],[id]]&amp;Tabla14[[#This Row],[Resposable]]</f>
        <v>105Edgar Aquil</v>
      </c>
      <c r="L691" t="str">
        <f>Tabla14[[#This Row],[id]]&amp;Tabla14[[#This Row],[Resposable]]</f>
        <v>105Edgar Aquil</v>
      </c>
      <c r="M691" t="s">
        <v>300</v>
      </c>
    </row>
    <row r="692" spans="1:13" x14ac:dyDescent="0.25">
      <c r="A692" t="s">
        <v>25</v>
      </c>
      <c r="B692">
        <v>105</v>
      </c>
      <c r="C692" t="s">
        <v>26</v>
      </c>
      <c r="D692" t="s">
        <v>146</v>
      </c>
      <c r="E692" t="s">
        <v>47</v>
      </c>
      <c r="F692" s="4" t="s">
        <v>82</v>
      </c>
      <c r="G692" t="s">
        <v>239</v>
      </c>
      <c r="H692" t="s">
        <v>300</v>
      </c>
      <c r="I692" t="s">
        <v>392</v>
      </c>
      <c r="J692" t="s">
        <v>363</v>
      </c>
      <c r="K692" t="str">
        <f>Tabla14[[#This Row],[id]]&amp;Tabla14[[#This Row],[Resposable]]</f>
        <v>105Edgar Aquil</v>
      </c>
      <c r="L692" t="str">
        <f>Tabla14[[#This Row],[id]]&amp;Tabla14[[#This Row],[Resposable]]</f>
        <v>105Edgar Aquil</v>
      </c>
      <c r="M692" t="s">
        <v>300</v>
      </c>
    </row>
    <row r="693" spans="1:13" x14ac:dyDescent="0.25">
      <c r="A693" t="s">
        <v>25</v>
      </c>
      <c r="B693">
        <v>105</v>
      </c>
      <c r="C693" t="s">
        <v>7</v>
      </c>
      <c r="D693" t="s">
        <v>148</v>
      </c>
      <c r="E693" t="s">
        <v>47</v>
      </c>
      <c r="F693" s="4" t="s">
        <v>48</v>
      </c>
      <c r="G693" t="s">
        <v>239</v>
      </c>
      <c r="H693" t="s">
        <v>300</v>
      </c>
      <c r="I693" t="s">
        <v>392</v>
      </c>
      <c r="J693" t="s">
        <v>363</v>
      </c>
      <c r="K693" t="str">
        <f>Tabla14[[#This Row],[id]]&amp;Tabla14[[#This Row],[Resposable]]</f>
        <v>105Edgar Aquil</v>
      </c>
      <c r="L693" t="str">
        <f>Tabla14[[#This Row],[id]]&amp;Tabla14[[#This Row],[Resposable]]</f>
        <v>105Edgar Aquil</v>
      </c>
      <c r="M693" t="s">
        <v>300</v>
      </c>
    </row>
    <row r="694" spans="1:13" x14ac:dyDescent="0.25">
      <c r="A694" t="s">
        <v>25</v>
      </c>
      <c r="B694">
        <v>105</v>
      </c>
      <c r="C694" t="s">
        <v>8</v>
      </c>
      <c r="D694" t="s">
        <v>149</v>
      </c>
      <c r="E694" t="s">
        <v>47</v>
      </c>
      <c r="F694" s="4" t="s">
        <v>150</v>
      </c>
      <c r="G694" t="s">
        <v>239</v>
      </c>
      <c r="H694" t="s">
        <v>300</v>
      </c>
      <c r="I694" t="s">
        <v>392</v>
      </c>
      <c r="J694" t="s">
        <v>363</v>
      </c>
      <c r="K694" t="str">
        <f>Tabla14[[#This Row],[id]]&amp;Tabla14[[#This Row],[Resposable]]</f>
        <v>105Edgar Aquil</v>
      </c>
      <c r="L694" t="str">
        <f>Tabla14[[#This Row],[id]]&amp;Tabla14[[#This Row],[Resposable]]</f>
        <v>105Edgar Aquil</v>
      </c>
      <c r="M694" t="s">
        <v>300</v>
      </c>
    </row>
    <row r="695" spans="1:13" x14ac:dyDescent="0.25">
      <c r="A695" t="s">
        <v>25</v>
      </c>
      <c r="B695">
        <v>105</v>
      </c>
      <c r="C695" t="s">
        <v>18</v>
      </c>
      <c r="D695" t="s">
        <v>151</v>
      </c>
      <c r="E695" t="s">
        <v>47</v>
      </c>
      <c r="F695" s="4" t="s">
        <v>58</v>
      </c>
      <c r="G695" t="s">
        <v>239</v>
      </c>
      <c r="H695" t="s">
        <v>300</v>
      </c>
      <c r="I695" t="s">
        <v>392</v>
      </c>
      <c r="J695" t="s">
        <v>363</v>
      </c>
      <c r="K695" t="str">
        <f>Tabla14[[#This Row],[id]]&amp;Tabla14[[#This Row],[Resposable]]</f>
        <v>105Edgar Aquil</v>
      </c>
      <c r="L695" t="str">
        <f>Tabla14[[#This Row],[id]]&amp;Tabla14[[#This Row],[Resposable]]</f>
        <v>105Edgar Aquil</v>
      </c>
      <c r="M695" t="s">
        <v>300</v>
      </c>
    </row>
    <row r="696" spans="1:13" x14ac:dyDescent="0.25">
      <c r="A696" t="s">
        <v>25</v>
      </c>
      <c r="B696">
        <v>105</v>
      </c>
      <c r="C696" t="s">
        <v>8</v>
      </c>
      <c r="D696" t="s">
        <v>152</v>
      </c>
      <c r="E696" t="s">
        <v>47</v>
      </c>
      <c r="F696" s="4" t="s">
        <v>150</v>
      </c>
      <c r="G696" t="s">
        <v>239</v>
      </c>
      <c r="H696" t="s">
        <v>300</v>
      </c>
      <c r="I696" t="s">
        <v>392</v>
      </c>
      <c r="J696" t="s">
        <v>363</v>
      </c>
      <c r="K696" t="str">
        <f>Tabla14[[#This Row],[id]]&amp;Tabla14[[#This Row],[Resposable]]</f>
        <v>105Edgar Aquil</v>
      </c>
      <c r="L696" t="str">
        <f>Tabla14[[#This Row],[id]]&amp;Tabla14[[#This Row],[Resposable]]</f>
        <v>105Edgar Aquil</v>
      </c>
      <c r="M696" t="s">
        <v>300</v>
      </c>
    </row>
    <row r="697" spans="1:13" x14ac:dyDescent="0.25">
      <c r="A697" t="s">
        <v>25</v>
      </c>
      <c r="B697">
        <v>105</v>
      </c>
      <c r="C697" t="s">
        <v>8</v>
      </c>
      <c r="D697" t="s">
        <v>153</v>
      </c>
      <c r="E697" t="s">
        <v>47</v>
      </c>
      <c r="F697" s="4" t="s">
        <v>150</v>
      </c>
      <c r="G697" t="s">
        <v>239</v>
      </c>
      <c r="H697" t="s">
        <v>300</v>
      </c>
      <c r="I697" t="s">
        <v>392</v>
      </c>
      <c r="J697" t="s">
        <v>363</v>
      </c>
      <c r="K697" t="str">
        <f>Tabla14[[#This Row],[id]]&amp;Tabla14[[#This Row],[Resposable]]</f>
        <v>105Edgar Aquil</v>
      </c>
      <c r="L697" t="str">
        <f>Tabla14[[#This Row],[id]]&amp;Tabla14[[#This Row],[Resposable]]</f>
        <v>105Edgar Aquil</v>
      </c>
      <c r="M697" t="s">
        <v>300</v>
      </c>
    </row>
    <row r="698" spans="1:13" x14ac:dyDescent="0.25">
      <c r="A698" t="s">
        <v>25</v>
      </c>
      <c r="B698">
        <v>105</v>
      </c>
      <c r="C698" t="s">
        <v>8</v>
      </c>
      <c r="D698" t="s">
        <v>154</v>
      </c>
      <c r="E698" t="s">
        <v>47</v>
      </c>
      <c r="F698" s="4" t="s">
        <v>150</v>
      </c>
      <c r="G698" t="s">
        <v>239</v>
      </c>
      <c r="H698" t="s">
        <v>300</v>
      </c>
      <c r="I698" t="s">
        <v>392</v>
      </c>
      <c r="J698" t="s">
        <v>363</v>
      </c>
      <c r="K698" t="str">
        <f>Tabla14[[#This Row],[id]]&amp;Tabla14[[#This Row],[Resposable]]</f>
        <v>105Edgar Aquil</v>
      </c>
      <c r="L698" t="str">
        <f>Tabla14[[#This Row],[id]]&amp;Tabla14[[#This Row],[Resposable]]</f>
        <v>105Edgar Aquil</v>
      </c>
      <c r="M698" t="s">
        <v>300</v>
      </c>
    </row>
    <row r="699" spans="1:13" x14ac:dyDescent="0.25">
      <c r="A699" t="s">
        <v>25</v>
      </c>
      <c r="B699">
        <v>105</v>
      </c>
      <c r="C699" t="s">
        <v>8</v>
      </c>
      <c r="D699" t="s">
        <v>155</v>
      </c>
      <c r="E699" t="s">
        <v>47</v>
      </c>
      <c r="F699" s="4" t="s">
        <v>150</v>
      </c>
      <c r="G699" t="s">
        <v>239</v>
      </c>
      <c r="H699" t="s">
        <v>300</v>
      </c>
      <c r="I699" t="s">
        <v>392</v>
      </c>
      <c r="J699" t="s">
        <v>363</v>
      </c>
      <c r="K699" t="str">
        <f>Tabla14[[#This Row],[id]]&amp;Tabla14[[#This Row],[Resposable]]</f>
        <v>105Edgar Aquil</v>
      </c>
      <c r="L699" t="str">
        <f>Tabla14[[#This Row],[id]]&amp;Tabla14[[#This Row],[Resposable]]</f>
        <v>105Edgar Aquil</v>
      </c>
      <c r="M699" t="s">
        <v>300</v>
      </c>
    </row>
    <row r="700" spans="1:13" x14ac:dyDescent="0.25">
      <c r="A700" t="s">
        <v>25</v>
      </c>
      <c r="B700">
        <v>105</v>
      </c>
      <c r="C700" t="s">
        <v>8</v>
      </c>
      <c r="D700" t="s">
        <v>156</v>
      </c>
      <c r="E700" t="s">
        <v>47</v>
      </c>
      <c r="F700" s="4" t="s">
        <v>150</v>
      </c>
      <c r="G700" t="s">
        <v>239</v>
      </c>
      <c r="H700" t="s">
        <v>300</v>
      </c>
      <c r="I700" t="s">
        <v>392</v>
      </c>
      <c r="J700" t="s">
        <v>363</v>
      </c>
      <c r="K700" t="str">
        <f>Tabla14[[#This Row],[id]]&amp;Tabla14[[#This Row],[Resposable]]</f>
        <v>105Edgar Aquil</v>
      </c>
      <c r="L700" t="str">
        <f>Tabla14[[#This Row],[id]]&amp;Tabla14[[#This Row],[Resposable]]</f>
        <v>105Edgar Aquil</v>
      </c>
      <c r="M700" t="s">
        <v>300</v>
      </c>
    </row>
    <row r="701" spans="1:13" x14ac:dyDescent="0.25">
      <c r="A701" t="s">
        <v>25</v>
      </c>
      <c r="B701">
        <v>105</v>
      </c>
      <c r="C701" t="s">
        <v>20</v>
      </c>
      <c r="D701" t="s">
        <v>157</v>
      </c>
      <c r="E701" t="s">
        <v>47</v>
      </c>
      <c r="F701" s="4" t="s">
        <v>58</v>
      </c>
      <c r="G701" t="s">
        <v>239</v>
      </c>
      <c r="H701" t="s">
        <v>300</v>
      </c>
      <c r="I701" t="s">
        <v>392</v>
      </c>
      <c r="J701" t="s">
        <v>363</v>
      </c>
      <c r="K701" t="str">
        <f>Tabla14[[#This Row],[id]]&amp;Tabla14[[#This Row],[Resposable]]</f>
        <v>105Edgar Aquil</v>
      </c>
      <c r="L701" t="str">
        <f>Tabla14[[#This Row],[id]]&amp;Tabla14[[#This Row],[Resposable]]</f>
        <v>105Edgar Aquil</v>
      </c>
      <c r="M701" t="s">
        <v>300</v>
      </c>
    </row>
    <row r="702" spans="1:13" x14ac:dyDescent="0.25">
      <c r="A702" t="s">
        <v>25</v>
      </c>
      <c r="B702">
        <v>105</v>
      </c>
      <c r="C702" t="s">
        <v>18</v>
      </c>
      <c r="D702" t="s">
        <v>158</v>
      </c>
      <c r="E702" t="s">
        <v>47</v>
      </c>
      <c r="F702" s="4" t="s">
        <v>58</v>
      </c>
      <c r="G702" t="s">
        <v>239</v>
      </c>
      <c r="H702" t="s">
        <v>300</v>
      </c>
      <c r="I702" t="s">
        <v>392</v>
      </c>
      <c r="J702" t="s">
        <v>363</v>
      </c>
      <c r="K702" t="str">
        <f>Tabla14[[#This Row],[id]]&amp;Tabla14[[#This Row],[Resposable]]</f>
        <v>105Edgar Aquil</v>
      </c>
      <c r="L702" t="str">
        <f>Tabla14[[#This Row],[id]]&amp;Tabla14[[#This Row],[Resposable]]</f>
        <v>105Edgar Aquil</v>
      </c>
      <c r="M702" t="s">
        <v>300</v>
      </c>
    </row>
    <row r="703" spans="1:13" x14ac:dyDescent="0.25">
      <c r="A703" t="s">
        <v>25</v>
      </c>
      <c r="B703">
        <v>105</v>
      </c>
      <c r="C703" t="s">
        <v>5</v>
      </c>
      <c r="D703" t="s">
        <v>159</v>
      </c>
      <c r="E703" t="s">
        <v>47</v>
      </c>
      <c r="F703" s="4" t="s">
        <v>96</v>
      </c>
      <c r="G703" t="s">
        <v>239</v>
      </c>
      <c r="H703" t="s">
        <v>300</v>
      </c>
      <c r="I703" t="s">
        <v>392</v>
      </c>
      <c r="J703" t="s">
        <v>363</v>
      </c>
      <c r="K703" t="str">
        <f>Tabla14[[#This Row],[id]]&amp;Tabla14[[#This Row],[Resposable]]</f>
        <v>105Edgar Aquil</v>
      </c>
      <c r="L703" t="str">
        <f>Tabla14[[#This Row],[id]]&amp;Tabla14[[#This Row],[Resposable]]</f>
        <v>105Edgar Aquil</v>
      </c>
      <c r="M703" t="s">
        <v>300</v>
      </c>
    </row>
    <row r="704" spans="1:13" x14ac:dyDescent="0.25">
      <c r="A704" t="s">
        <v>25</v>
      </c>
      <c r="B704">
        <v>105</v>
      </c>
      <c r="C704" t="s">
        <v>8</v>
      </c>
      <c r="D704" t="s">
        <v>57</v>
      </c>
      <c r="E704" t="s">
        <v>47</v>
      </c>
      <c r="F704" s="4" t="s">
        <v>71</v>
      </c>
      <c r="G704" t="s">
        <v>239</v>
      </c>
      <c r="H704" t="s">
        <v>300</v>
      </c>
      <c r="I704" t="s">
        <v>392</v>
      </c>
      <c r="J704" t="s">
        <v>363</v>
      </c>
      <c r="K704" t="str">
        <f>Tabla14[[#This Row],[id]]&amp;Tabla14[[#This Row],[Resposable]]</f>
        <v>105Edgar Aquil</v>
      </c>
      <c r="L704" t="str">
        <f>Tabla14[[#This Row],[id]]&amp;Tabla14[[#This Row],[Resposable]]</f>
        <v>105Edgar Aquil</v>
      </c>
      <c r="M704" t="s">
        <v>300</v>
      </c>
    </row>
    <row r="705" spans="1:13" x14ac:dyDescent="0.25">
      <c r="A705" t="s">
        <v>25</v>
      </c>
      <c r="B705">
        <v>105</v>
      </c>
      <c r="C705" t="s">
        <v>5</v>
      </c>
      <c r="D705" t="s">
        <v>160</v>
      </c>
      <c r="E705" t="s">
        <v>47</v>
      </c>
      <c r="F705" s="4" t="s">
        <v>48</v>
      </c>
      <c r="G705" t="s">
        <v>239</v>
      </c>
      <c r="H705" t="s">
        <v>300</v>
      </c>
      <c r="I705" t="s">
        <v>392</v>
      </c>
      <c r="J705" t="s">
        <v>363</v>
      </c>
      <c r="K705" t="str">
        <f>Tabla14[[#This Row],[id]]&amp;Tabla14[[#This Row],[Resposable]]</f>
        <v>105Edgar Aquil</v>
      </c>
      <c r="L705" t="str">
        <f>Tabla14[[#This Row],[id]]&amp;Tabla14[[#This Row],[Resposable]]</f>
        <v>105Edgar Aquil</v>
      </c>
      <c r="M705" t="s">
        <v>300</v>
      </c>
    </row>
    <row r="706" spans="1:13" x14ac:dyDescent="0.25">
      <c r="A706" t="s">
        <v>28</v>
      </c>
      <c r="B706">
        <v>105</v>
      </c>
      <c r="C706" t="s">
        <v>7</v>
      </c>
      <c r="D706" t="s">
        <v>169</v>
      </c>
      <c r="E706" t="s">
        <v>54</v>
      </c>
      <c r="F706" s="4" t="s">
        <v>89</v>
      </c>
      <c r="G706" t="s">
        <v>239</v>
      </c>
      <c r="H706" t="s">
        <v>300</v>
      </c>
      <c r="I706" t="s">
        <v>392</v>
      </c>
      <c r="J706" t="s">
        <v>363</v>
      </c>
      <c r="K706" t="str">
        <f>Tabla14[[#This Row],[id]]&amp;Tabla14[[#This Row],[Resposable]]</f>
        <v>105Edgar Aquil</v>
      </c>
      <c r="L706" t="str">
        <f>Tabla14[[#This Row],[id]]&amp;Tabla14[[#This Row],[Resposable]]</f>
        <v>105Edgar Aquil</v>
      </c>
      <c r="M706" t="s">
        <v>300</v>
      </c>
    </row>
    <row r="707" spans="1:13" x14ac:dyDescent="0.25">
      <c r="A707" t="s">
        <v>308</v>
      </c>
      <c r="B707">
        <v>181</v>
      </c>
      <c r="C707" t="s">
        <v>7</v>
      </c>
      <c r="D707" t="s">
        <v>73</v>
      </c>
      <c r="E707" s="18" t="s">
        <v>47</v>
      </c>
      <c r="F707" s="4" t="s">
        <v>48</v>
      </c>
      <c r="G707" s="18" t="s">
        <v>239</v>
      </c>
      <c r="H707" t="s">
        <v>300</v>
      </c>
      <c r="I707" t="s">
        <v>392</v>
      </c>
      <c r="J707" t="s">
        <v>363</v>
      </c>
      <c r="K707" t="str">
        <f>Tabla14[[#This Row],[id]]&amp;Tabla14[[#This Row],[Resposable]]</f>
        <v>181Edgar Aquil</v>
      </c>
      <c r="L707" t="str">
        <f>Tabla14[[#This Row],[id]]&amp;Tabla14[[#This Row],[Resposable]]</f>
        <v>181Edgar Aquil</v>
      </c>
      <c r="M707" t="s">
        <v>300</v>
      </c>
    </row>
    <row r="708" spans="1:13" x14ac:dyDescent="0.25">
      <c r="A708" t="s">
        <v>308</v>
      </c>
      <c r="B708">
        <v>181</v>
      </c>
      <c r="C708" t="s">
        <v>7</v>
      </c>
      <c r="D708" t="s">
        <v>74</v>
      </c>
      <c r="E708" s="18" t="s">
        <v>47</v>
      </c>
      <c r="F708" s="4" t="s">
        <v>48</v>
      </c>
      <c r="G708" s="18" t="s">
        <v>239</v>
      </c>
      <c r="H708" t="s">
        <v>300</v>
      </c>
      <c r="I708" t="s">
        <v>392</v>
      </c>
      <c r="J708" t="s">
        <v>363</v>
      </c>
      <c r="K708" t="str">
        <f>Tabla14[[#This Row],[id]]&amp;Tabla14[[#This Row],[Resposable]]</f>
        <v>181Edgar Aquil</v>
      </c>
      <c r="L708" t="str">
        <f>Tabla14[[#This Row],[id]]&amp;Tabla14[[#This Row],[Resposable]]</f>
        <v>181Edgar Aquil</v>
      </c>
      <c r="M708" t="s">
        <v>300</v>
      </c>
    </row>
    <row r="709" spans="1:13" x14ac:dyDescent="0.25">
      <c r="A709" t="s">
        <v>308</v>
      </c>
      <c r="B709">
        <v>181</v>
      </c>
      <c r="C709" t="s">
        <v>7</v>
      </c>
      <c r="D709" t="s">
        <v>75</v>
      </c>
      <c r="E709" s="18" t="s">
        <v>47</v>
      </c>
      <c r="F709" s="4" t="s">
        <v>48</v>
      </c>
      <c r="G709" s="18" t="s">
        <v>239</v>
      </c>
      <c r="H709" t="s">
        <v>300</v>
      </c>
      <c r="I709" t="s">
        <v>392</v>
      </c>
      <c r="J709" t="s">
        <v>363</v>
      </c>
      <c r="K709" t="str">
        <f>Tabla14[[#This Row],[id]]&amp;Tabla14[[#This Row],[Resposable]]</f>
        <v>181Edgar Aquil</v>
      </c>
      <c r="L709" t="str">
        <f>Tabla14[[#This Row],[id]]&amp;Tabla14[[#This Row],[Resposable]]</f>
        <v>181Edgar Aquil</v>
      </c>
      <c r="M709" t="s">
        <v>300</v>
      </c>
    </row>
    <row r="710" spans="1:13" x14ac:dyDescent="0.25">
      <c r="A710" t="s">
        <v>308</v>
      </c>
      <c r="B710">
        <v>181</v>
      </c>
      <c r="C710" t="s">
        <v>7</v>
      </c>
      <c r="D710" t="s">
        <v>76</v>
      </c>
      <c r="E710" s="18" t="s">
        <v>47</v>
      </c>
      <c r="F710" s="4" t="s">
        <v>77</v>
      </c>
      <c r="G710" s="18" t="s">
        <v>239</v>
      </c>
      <c r="H710" t="s">
        <v>300</v>
      </c>
      <c r="I710" t="s">
        <v>392</v>
      </c>
      <c r="J710" t="s">
        <v>363</v>
      </c>
      <c r="K710" t="str">
        <f>Tabla14[[#This Row],[id]]&amp;Tabla14[[#This Row],[Resposable]]</f>
        <v>181Edgar Aquil</v>
      </c>
      <c r="L710" t="str">
        <f>Tabla14[[#This Row],[id]]&amp;Tabla14[[#This Row],[Resposable]]</f>
        <v>181Edgar Aquil</v>
      </c>
      <c r="M710" t="s">
        <v>300</v>
      </c>
    </row>
    <row r="711" spans="1:13" x14ac:dyDescent="0.25">
      <c r="A711" t="s">
        <v>34</v>
      </c>
      <c r="B711">
        <v>23</v>
      </c>
      <c r="C711" t="s">
        <v>6</v>
      </c>
      <c r="D711" t="s">
        <v>206</v>
      </c>
      <c r="E711" t="s">
        <v>47</v>
      </c>
      <c r="F711" s="4" t="s">
        <v>60</v>
      </c>
      <c r="G711" t="s">
        <v>253</v>
      </c>
      <c r="H711" t="s">
        <v>324</v>
      </c>
      <c r="I711" t="s">
        <v>400</v>
      </c>
      <c r="J711" t="s">
        <v>361</v>
      </c>
      <c r="K711" t="str">
        <f>Tabla14[[#This Row],[id]]&amp;Tabla14[[#This Row],[Resposable]]</f>
        <v>23Ernesto Diaz</v>
      </c>
      <c r="L711" t="str">
        <f>Tabla14[[#This Row],[id]]&amp;Tabla14[[#This Row],[Resposable]]</f>
        <v>23Ernesto Diaz</v>
      </c>
      <c r="M711" t="s">
        <v>324</v>
      </c>
    </row>
    <row r="712" spans="1:13" x14ac:dyDescent="0.25">
      <c r="A712" t="s">
        <v>34</v>
      </c>
      <c r="B712">
        <v>23</v>
      </c>
      <c r="C712" t="s">
        <v>6</v>
      </c>
      <c r="D712" t="s">
        <v>207</v>
      </c>
      <c r="E712" t="s">
        <v>47</v>
      </c>
      <c r="F712" s="4" t="s">
        <v>60</v>
      </c>
      <c r="G712" t="s">
        <v>253</v>
      </c>
      <c r="H712" t="s">
        <v>324</v>
      </c>
      <c r="I712" t="s">
        <v>400</v>
      </c>
      <c r="J712" t="s">
        <v>361</v>
      </c>
      <c r="K712" t="str">
        <f>Tabla14[[#This Row],[id]]&amp;Tabla14[[#This Row],[Resposable]]</f>
        <v>23Ernesto Diaz</v>
      </c>
      <c r="L712" t="str">
        <f>Tabla14[[#This Row],[id]]&amp;Tabla14[[#This Row],[Resposable]]</f>
        <v>23Ernesto Diaz</v>
      </c>
      <c r="M712" t="s">
        <v>324</v>
      </c>
    </row>
    <row r="713" spans="1:13" x14ac:dyDescent="0.25">
      <c r="A713" t="s">
        <v>36</v>
      </c>
      <c r="B713">
        <v>23</v>
      </c>
      <c r="C713" t="s">
        <v>6</v>
      </c>
      <c r="D713" t="s">
        <v>206</v>
      </c>
      <c r="E713" t="s">
        <v>47</v>
      </c>
      <c r="F713" s="4" t="s">
        <v>60</v>
      </c>
      <c r="G713" t="s">
        <v>253</v>
      </c>
      <c r="H713" t="s">
        <v>324</v>
      </c>
      <c r="I713" t="s">
        <v>400</v>
      </c>
      <c r="J713" t="s">
        <v>361</v>
      </c>
      <c r="K713" t="str">
        <f>Tabla14[[#This Row],[id]]&amp;Tabla14[[#This Row],[Resposable]]</f>
        <v>23Ernesto Diaz</v>
      </c>
      <c r="L713" t="str">
        <f>Tabla14[[#This Row],[id]]&amp;Tabla14[[#This Row],[Resposable]]</f>
        <v>23Ernesto Diaz</v>
      </c>
      <c r="M713" t="s">
        <v>324</v>
      </c>
    </row>
    <row r="714" spans="1:13" x14ac:dyDescent="0.25">
      <c r="A714" t="s">
        <v>36</v>
      </c>
      <c r="B714">
        <v>23</v>
      </c>
      <c r="C714" t="s">
        <v>6</v>
      </c>
      <c r="D714" t="s">
        <v>207</v>
      </c>
      <c r="E714" t="s">
        <v>47</v>
      </c>
      <c r="F714" s="4" t="s">
        <v>60</v>
      </c>
      <c r="G714" t="s">
        <v>253</v>
      </c>
      <c r="H714" t="s">
        <v>324</v>
      </c>
      <c r="I714" t="s">
        <v>400</v>
      </c>
      <c r="J714" t="s">
        <v>361</v>
      </c>
      <c r="K714" t="str">
        <f>Tabla14[[#This Row],[id]]&amp;Tabla14[[#This Row],[Resposable]]</f>
        <v>23Ernesto Diaz</v>
      </c>
      <c r="L714" t="str">
        <f>Tabla14[[#This Row],[id]]&amp;Tabla14[[#This Row],[Resposable]]</f>
        <v>23Ernesto Diaz</v>
      </c>
      <c r="M714" t="s">
        <v>324</v>
      </c>
    </row>
    <row r="715" spans="1:13" x14ac:dyDescent="0.25">
      <c r="A715" t="s">
        <v>38</v>
      </c>
      <c r="B715">
        <v>23</v>
      </c>
      <c r="C715" t="s">
        <v>6</v>
      </c>
      <c r="D715" t="s">
        <v>227</v>
      </c>
      <c r="E715" t="s">
        <v>47</v>
      </c>
      <c r="F715" s="4" t="s">
        <v>60</v>
      </c>
      <c r="G715" t="s">
        <v>253</v>
      </c>
      <c r="H715" t="s">
        <v>324</v>
      </c>
      <c r="I715" t="s">
        <v>400</v>
      </c>
      <c r="J715" t="s">
        <v>361</v>
      </c>
      <c r="K715" t="str">
        <f>Tabla14[[#This Row],[id]]&amp;Tabla14[[#This Row],[Resposable]]</f>
        <v>23Ernesto Diaz</v>
      </c>
      <c r="L715" t="str">
        <f>Tabla14[[#This Row],[id]]&amp;Tabla14[[#This Row],[Resposable]]</f>
        <v>23Ernesto Diaz</v>
      </c>
      <c r="M715" t="s">
        <v>324</v>
      </c>
    </row>
    <row r="716" spans="1:13" x14ac:dyDescent="0.25">
      <c r="A716" t="s">
        <v>37</v>
      </c>
      <c r="B716">
        <v>34</v>
      </c>
      <c r="C716" t="s">
        <v>6</v>
      </c>
      <c r="D716" t="s">
        <v>221</v>
      </c>
      <c r="E716" t="s">
        <v>47</v>
      </c>
      <c r="F716" s="4" t="s">
        <v>60</v>
      </c>
      <c r="G716" t="s">
        <v>253</v>
      </c>
      <c r="H716" t="s">
        <v>324</v>
      </c>
      <c r="I716" t="s">
        <v>400</v>
      </c>
      <c r="J716" t="s">
        <v>361</v>
      </c>
      <c r="K716" t="str">
        <f>Tabla14[[#This Row],[id]]&amp;Tabla14[[#This Row],[Resposable]]</f>
        <v>34Ernesto Diaz</v>
      </c>
      <c r="L716" t="str">
        <f>Tabla14[[#This Row],[id]]&amp;Tabla14[[#This Row],[Resposable]]</f>
        <v>34Ernesto Diaz</v>
      </c>
      <c r="M716" t="s">
        <v>324</v>
      </c>
    </row>
    <row r="717" spans="1:13" x14ac:dyDescent="0.25">
      <c r="A717" t="s">
        <v>37</v>
      </c>
      <c r="B717">
        <v>34</v>
      </c>
      <c r="C717" t="s">
        <v>6</v>
      </c>
      <c r="D717" t="s">
        <v>216</v>
      </c>
      <c r="E717" t="s">
        <v>47</v>
      </c>
      <c r="F717" s="4" t="s">
        <v>50</v>
      </c>
      <c r="G717" t="s">
        <v>253</v>
      </c>
      <c r="H717" t="s">
        <v>324</v>
      </c>
      <c r="I717" t="s">
        <v>400</v>
      </c>
      <c r="J717" t="s">
        <v>361</v>
      </c>
      <c r="K717" t="str">
        <f>Tabla14[[#This Row],[id]]&amp;Tabla14[[#This Row],[Resposable]]</f>
        <v>34Ernesto Diaz</v>
      </c>
      <c r="L717" t="str">
        <f>Tabla14[[#This Row],[id]]&amp;Tabla14[[#This Row],[Resposable]]</f>
        <v>34Ernesto Diaz</v>
      </c>
      <c r="M717" t="s">
        <v>324</v>
      </c>
    </row>
    <row r="718" spans="1:13" x14ac:dyDescent="0.25">
      <c r="A718" t="s">
        <v>374</v>
      </c>
      <c r="B718">
        <v>89</v>
      </c>
      <c r="C718" t="s">
        <v>6</v>
      </c>
      <c r="D718" t="s">
        <v>376</v>
      </c>
      <c r="E718" t="s">
        <v>47</v>
      </c>
      <c r="F718" s="4" t="s">
        <v>60</v>
      </c>
      <c r="G718" t="s">
        <v>253</v>
      </c>
      <c r="H718" t="s">
        <v>324</v>
      </c>
      <c r="I718" t="s">
        <v>400</v>
      </c>
      <c r="J718" t="s">
        <v>361</v>
      </c>
      <c r="K718" t="str">
        <f>Tabla14[[#This Row],[id]]&amp;Tabla14[[#This Row],[Resposable]]</f>
        <v>89Ernesto Diaz</v>
      </c>
      <c r="L718" t="str">
        <f>Tabla14[[#This Row],[id]]&amp;Tabla14[[#This Row],[Resposable]]</f>
        <v>89Ernesto Diaz</v>
      </c>
      <c r="M718" t="s">
        <v>324</v>
      </c>
    </row>
    <row r="719" spans="1:13" x14ac:dyDescent="0.25">
      <c r="A719" t="s">
        <v>374</v>
      </c>
      <c r="B719">
        <v>89</v>
      </c>
      <c r="C719" t="s">
        <v>6</v>
      </c>
      <c r="D719" t="s">
        <v>227</v>
      </c>
      <c r="E719" t="s">
        <v>47</v>
      </c>
      <c r="F719" s="4" t="s">
        <v>60</v>
      </c>
      <c r="G719" t="s">
        <v>253</v>
      </c>
      <c r="H719" t="s">
        <v>324</v>
      </c>
      <c r="I719" t="s">
        <v>400</v>
      </c>
      <c r="J719" t="s">
        <v>361</v>
      </c>
      <c r="K719" t="str">
        <f>Tabla14[[#This Row],[id]]&amp;Tabla14[[#This Row],[Resposable]]</f>
        <v>89Ernesto Diaz</v>
      </c>
      <c r="L719" t="str">
        <f>Tabla14[[#This Row],[id]]&amp;Tabla14[[#This Row],[Resposable]]</f>
        <v>89Ernesto Diaz</v>
      </c>
      <c r="M719" t="s">
        <v>324</v>
      </c>
    </row>
    <row r="720" spans="1:13" x14ac:dyDescent="0.25">
      <c r="A720" t="s">
        <v>374</v>
      </c>
      <c r="B720">
        <v>89</v>
      </c>
      <c r="C720" t="s">
        <v>6</v>
      </c>
      <c r="D720" t="s">
        <v>377</v>
      </c>
      <c r="E720" t="s">
        <v>47</v>
      </c>
      <c r="F720" s="4" t="s">
        <v>60</v>
      </c>
      <c r="G720" t="s">
        <v>253</v>
      </c>
      <c r="H720" t="s">
        <v>324</v>
      </c>
      <c r="I720" t="s">
        <v>400</v>
      </c>
      <c r="J720" t="s">
        <v>361</v>
      </c>
      <c r="K720" t="str">
        <f>Tabla14[[#This Row],[id]]&amp;Tabla14[[#This Row],[Resposable]]</f>
        <v>89Ernesto Diaz</v>
      </c>
      <c r="L720" t="str">
        <f>Tabla14[[#This Row],[id]]&amp;Tabla14[[#This Row],[Resposable]]</f>
        <v>89Ernesto Diaz</v>
      </c>
      <c r="M720" t="s">
        <v>324</v>
      </c>
    </row>
    <row r="721" spans="1:13" x14ac:dyDescent="0.25">
      <c r="A721" t="s">
        <v>39</v>
      </c>
      <c r="B721">
        <v>95</v>
      </c>
      <c r="C721" t="s">
        <v>8</v>
      </c>
      <c r="D721" t="s">
        <v>229</v>
      </c>
      <c r="E721" t="s">
        <v>47</v>
      </c>
      <c r="F721" s="4" t="s">
        <v>82</v>
      </c>
      <c r="G721" t="s">
        <v>253</v>
      </c>
      <c r="H721" t="s">
        <v>324</v>
      </c>
      <c r="I721" t="s">
        <v>400</v>
      </c>
      <c r="J721" t="s">
        <v>361</v>
      </c>
      <c r="K721" t="str">
        <f>Tabla14[[#This Row],[id]]&amp;Tabla14[[#This Row],[Resposable]]</f>
        <v>95Ernesto Diaz</v>
      </c>
      <c r="L721" t="str">
        <f>Tabla14[[#This Row],[id]]&amp;Tabla14[[#This Row],[Resposable]]</f>
        <v>95Ernesto Diaz</v>
      </c>
      <c r="M721" t="s">
        <v>324</v>
      </c>
    </row>
    <row r="722" spans="1:13" x14ac:dyDescent="0.25">
      <c r="A722" t="s">
        <v>39</v>
      </c>
      <c r="B722">
        <v>95</v>
      </c>
      <c r="C722" t="s">
        <v>6</v>
      </c>
      <c r="D722" t="s">
        <v>231</v>
      </c>
      <c r="E722" t="s">
        <v>47</v>
      </c>
      <c r="F722" s="4" t="s">
        <v>60</v>
      </c>
      <c r="G722" t="s">
        <v>253</v>
      </c>
      <c r="H722" t="s">
        <v>324</v>
      </c>
      <c r="I722" t="s">
        <v>400</v>
      </c>
      <c r="J722" t="s">
        <v>361</v>
      </c>
      <c r="K722" t="str">
        <f>Tabla14[[#This Row],[id]]&amp;Tabla14[[#This Row],[Resposable]]</f>
        <v>95Ernesto Diaz</v>
      </c>
      <c r="L722" t="str">
        <f>Tabla14[[#This Row],[id]]&amp;Tabla14[[#This Row],[Resposable]]</f>
        <v>95Ernesto Diaz</v>
      </c>
      <c r="M722" t="s">
        <v>324</v>
      </c>
    </row>
    <row r="723" spans="1:13" x14ac:dyDescent="0.25">
      <c r="A723" t="s">
        <v>39</v>
      </c>
      <c r="B723">
        <v>95</v>
      </c>
      <c r="C723" t="s">
        <v>6</v>
      </c>
      <c r="D723" t="s">
        <v>232</v>
      </c>
      <c r="E723" t="s">
        <v>47</v>
      </c>
      <c r="F723" s="4" t="s">
        <v>60</v>
      </c>
      <c r="G723" t="s">
        <v>253</v>
      </c>
      <c r="H723" t="s">
        <v>324</v>
      </c>
      <c r="I723" t="s">
        <v>400</v>
      </c>
      <c r="J723" t="s">
        <v>361</v>
      </c>
      <c r="K723" t="str">
        <f>Tabla14[[#This Row],[id]]&amp;Tabla14[[#This Row],[Resposable]]</f>
        <v>95Ernesto Diaz</v>
      </c>
      <c r="L723" t="str">
        <f>Tabla14[[#This Row],[id]]&amp;Tabla14[[#This Row],[Resposable]]</f>
        <v>95Ernesto Diaz</v>
      </c>
      <c r="M723" t="s">
        <v>324</v>
      </c>
    </row>
    <row r="724" spans="1:13" x14ac:dyDescent="0.25">
      <c r="A724" t="s">
        <v>39</v>
      </c>
      <c r="B724">
        <v>95</v>
      </c>
      <c r="C724" t="s">
        <v>6</v>
      </c>
      <c r="D724" t="s">
        <v>233</v>
      </c>
      <c r="E724" t="s">
        <v>47</v>
      </c>
      <c r="F724" s="4" t="s">
        <v>60</v>
      </c>
      <c r="G724" t="s">
        <v>253</v>
      </c>
      <c r="H724" t="s">
        <v>324</v>
      </c>
      <c r="I724" t="s">
        <v>400</v>
      </c>
      <c r="J724" t="s">
        <v>361</v>
      </c>
      <c r="K724" t="str">
        <f>Tabla14[[#This Row],[id]]&amp;Tabla14[[#This Row],[Resposable]]</f>
        <v>95Ernesto Diaz</v>
      </c>
      <c r="L724" t="str">
        <f>Tabla14[[#This Row],[id]]&amp;Tabla14[[#This Row],[Resposable]]</f>
        <v>95Ernesto Diaz</v>
      </c>
      <c r="M724" t="s">
        <v>324</v>
      </c>
    </row>
    <row r="725" spans="1:13" x14ac:dyDescent="0.25">
      <c r="A725" s="18" t="s">
        <v>35</v>
      </c>
      <c r="B725" s="18">
        <v>139</v>
      </c>
      <c r="C725" s="18" t="s">
        <v>6</v>
      </c>
      <c r="D725" s="18" t="s">
        <v>216</v>
      </c>
      <c r="E725" s="18" t="s">
        <v>47</v>
      </c>
      <c r="F725" s="19" t="s">
        <v>50</v>
      </c>
      <c r="G725" s="18" t="s">
        <v>253</v>
      </c>
      <c r="H725" t="s">
        <v>324</v>
      </c>
      <c r="I725" t="s">
        <v>400</v>
      </c>
      <c r="J725" t="s">
        <v>361</v>
      </c>
      <c r="K725" t="str">
        <f>Tabla14[[#This Row],[id]]&amp;Tabla14[[#This Row],[Resposable]]</f>
        <v>139Ernesto Diaz</v>
      </c>
      <c r="L725" t="str">
        <f>Tabla14[[#This Row],[id]]&amp;Tabla14[[#This Row],[Resposable]]</f>
        <v>139Ernesto Diaz</v>
      </c>
      <c r="M725" t="s">
        <v>324</v>
      </c>
    </row>
    <row r="726" spans="1:13" x14ac:dyDescent="0.25">
      <c r="A726" s="18" t="s">
        <v>40</v>
      </c>
      <c r="B726" s="18">
        <v>156</v>
      </c>
      <c r="C726" s="18" t="s">
        <v>6</v>
      </c>
      <c r="D726" s="18" t="s">
        <v>216</v>
      </c>
      <c r="E726" s="18" t="s">
        <v>47</v>
      </c>
      <c r="F726" s="19" t="s">
        <v>50</v>
      </c>
      <c r="G726" s="18" t="s">
        <v>253</v>
      </c>
      <c r="H726" t="s">
        <v>324</v>
      </c>
      <c r="I726" t="s">
        <v>400</v>
      </c>
      <c r="J726" t="s">
        <v>361</v>
      </c>
      <c r="K726" t="str">
        <f>Tabla14[[#This Row],[id]]&amp;Tabla14[[#This Row],[Resposable]]</f>
        <v>156Ernesto Diaz</v>
      </c>
      <c r="L726" t="str">
        <f>Tabla14[[#This Row],[id]]&amp;Tabla14[[#This Row],[Resposable]]</f>
        <v>156Ernesto Diaz</v>
      </c>
      <c r="M726" t="s">
        <v>324</v>
      </c>
    </row>
    <row r="727" spans="1:13" x14ac:dyDescent="0.25">
      <c r="A727" t="s">
        <v>34</v>
      </c>
      <c r="B727">
        <v>24</v>
      </c>
      <c r="C727" t="s">
        <v>5</v>
      </c>
      <c r="D727" t="s">
        <v>46</v>
      </c>
      <c r="E727" t="s">
        <v>47</v>
      </c>
      <c r="F727" s="4" t="s">
        <v>58</v>
      </c>
      <c r="G727" t="s">
        <v>253</v>
      </c>
      <c r="H727" t="s">
        <v>255</v>
      </c>
      <c r="I727" t="s">
        <v>380</v>
      </c>
      <c r="J727" t="s">
        <v>360</v>
      </c>
      <c r="K727" t="str">
        <f>Tabla14[[#This Row],[id]]&amp;Tabla14[[#This Row],[Resposable]]</f>
        <v>24Ever Morales</v>
      </c>
      <c r="L727" t="str">
        <f>Tabla14[[#This Row],[id]]&amp;Tabla14[[#This Row],[Resposable]]</f>
        <v>24Ever Morales</v>
      </c>
      <c r="M727" t="s">
        <v>255</v>
      </c>
    </row>
    <row r="728" spans="1:13" x14ac:dyDescent="0.25">
      <c r="A728" t="s">
        <v>34</v>
      </c>
      <c r="B728">
        <v>24</v>
      </c>
      <c r="C728" t="s">
        <v>5</v>
      </c>
      <c r="D728" t="s">
        <v>52</v>
      </c>
      <c r="E728" t="s">
        <v>47</v>
      </c>
      <c r="F728" s="4" t="s">
        <v>58</v>
      </c>
      <c r="G728" t="s">
        <v>253</v>
      </c>
      <c r="H728" t="s">
        <v>255</v>
      </c>
      <c r="I728" t="s">
        <v>380</v>
      </c>
      <c r="J728" t="s">
        <v>360</v>
      </c>
      <c r="K728" t="str">
        <f>Tabla14[[#This Row],[id]]&amp;Tabla14[[#This Row],[Resposable]]</f>
        <v>24Ever Morales</v>
      </c>
      <c r="L728" t="str">
        <f>Tabla14[[#This Row],[id]]&amp;Tabla14[[#This Row],[Resposable]]</f>
        <v>24Ever Morales</v>
      </c>
      <c r="M728" t="s">
        <v>255</v>
      </c>
    </row>
    <row r="729" spans="1:13" x14ac:dyDescent="0.25">
      <c r="A729" t="s">
        <v>34</v>
      </c>
      <c r="B729">
        <v>24</v>
      </c>
      <c r="C729" t="s">
        <v>5</v>
      </c>
      <c r="D729" t="s">
        <v>53</v>
      </c>
      <c r="E729" t="s">
        <v>47</v>
      </c>
      <c r="F729" s="4" t="s">
        <v>58</v>
      </c>
      <c r="G729" t="s">
        <v>253</v>
      </c>
      <c r="H729" t="s">
        <v>255</v>
      </c>
      <c r="I729" t="s">
        <v>380</v>
      </c>
      <c r="J729" t="s">
        <v>360</v>
      </c>
      <c r="K729" t="str">
        <f>Tabla14[[#This Row],[id]]&amp;Tabla14[[#This Row],[Resposable]]</f>
        <v>24Ever Morales</v>
      </c>
      <c r="L729" t="str">
        <f>Tabla14[[#This Row],[id]]&amp;Tabla14[[#This Row],[Resposable]]</f>
        <v>24Ever Morales</v>
      </c>
      <c r="M729" t="s">
        <v>255</v>
      </c>
    </row>
    <row r="730" spans="1:13" x14ac:dyDescent="0.25">
      <c r="A730" t="s">
        <v>34</v>
      </c>
      <c r="B730">
        <v>24</v>
      </c>
      <c r="C730" t="s">
        <v>5</v>
      </c>
      <c r="D730" t="s">
        <v>209</v>
      </c>
      <c r="E730" t="s">
        <v>47</v>
      </c>
      <c r="F730" s="4" t="s">
        <v>210</v>
      </c>
      <c r="G730" t="s">
        <v>253</v>
      </c>
      <c r="H730" t="s">
        <v>255</v>
      </c>
      <c r="I730" t="s">
        <v>380</v>
      </c>
      <c r="J730" t="s">
        <v>360</v>
      </c>
      <c r="K730" t="str">
        <f>Tabla14[[#This Row],[id]]&amp;Tabla14[[#This Row],[Resposable]]</f>
        <v>24Ever Morales</v>
      </c>
      <c r="L730" t="str">
        <f>Tabla14[[#This Row],[id]]&amp;Tabla14[[#This Row],[Resposable]]</f>
        <v>24Ever Morales</v>
      </c>
      <c r="M730" t="s">
        <v>255</v>
      </c>
    </row>
    <row r="731" spans="1:13" x14ac:dyDescent="0.25">
      <c r="A731" t="s">
        <v>34</v>
      </c>
      <c r="B731">
        <v>24</v>
      </c>
      <c r="C731" t="s">
        <v>5</v>
      </c>
      <c r="D731" t="s">
        <v>64</v>
      </c>
      <c r="E731" t="s">
        <v>47</v>
      </c>
      <c r="F731" s="4" t="s">
        <v>210</v>
      </c>
      <c r="G731" t="s">
        <v>253</v>
      </c>
      <c r="H731" t="s">
        <v>255</v>
      </c>
      <c r="I731" t="s">
        <v>380</v>
      </c>
      <c r="J731" t="s">
        <v>360</v>
      </c>
      <c r="K731" t="str">
        <f>Tabla14[[#This Row],[id]]&amp;Tabla14[[#This Row],[Resposable]]</f>
        <v>24Ever Morales</v>
      </c>
      <c r="L731" t="str">
        <f>Tabla14[[#This Row],[id]]&amp;Tabla14[[#This Row],[Resposable]]</f>
        <v>24Ever Morales</v>
      </c>
      <c r="M731" t="s">
        <v>255</v>
      </c>
    </row>
    <row r="732" spans="1:13" x14ac:dyDescent="0.25">
      <c r="A732" t="s">
        <v>36</v>
      </c>
      <c r="B732">
        <v>24</v>
      </c>
      <c r="C732" t="s">
        <v>5</v>
      </c>
      <c r="D732" t="s">
        <v>46</v>
      </c>
      <c r="E732" t="s">
        <v>47</v>
      </c>
      <c r="F732" s="4" t="s">
        <v>58</v>
      </c>
      <c r="G732" t="s">
        <v>253</v>
      </c>
      <c r="H732" t="s">
        <v>255</v>
      </c>
      <c r="I732" t="s">
        <v>380</v>
      </c>
      <c r="J732" t="s">
        <v>360</v>
      </c>
      <c r="K732" t="str">
        <f>Tabla14[[#This Row],[id]]&amp;Tabla14[[#This Row],[Resposable]]</f>
        <v>24Ever Morales</v>
      </c>
      <c r="L732" t="str">
        <f>Tabla14[[#This Row],[id]]&amp;Tabla14[[#This Row],[Resposable]]</f>
        <v>24Ever Morales</v>
      </c>
      <c r="M732" t="s">
        <v>255</v>
      </c>
    </row>
    <row r="733" spans="1:13" x14ac:dyDescent="0.25">
      <c r="A733" t="s">
        <v>36</v>
      </c>
      <c r="B733">
        <v>24</v>
      </c>
      <c r="C733" t="s">
        <v>5</v>
      </c>
      <c r="D733" t="s">
        <v>52</v>
      </c>
      <c r="E733" t="s">
        <v>47</v>
      </c>
      <c r="F733" s="4" t="s">
        <v>58</v>
      </c>
      <c r="G733" t="s">
        <v>253</v>
      </c>
      <c r="H733" t="s">
        <v>255</v>
      </c>
      <c r="I733" t="s">
        <v>380</v>
      </c>
      <c r="J733" t="s">
        <v>360</v>
      </c>
      <c r="K733" t="str">
        <f>Tabla14[[#This Row],[id]]&amp;Tabla14[[#This Row],[Resposable]]</f>
        <v>24Ever Morales</v>
      </c>
      <c r="L733" t="str">
        <f>Tabla14[[#This Row],[id]]&amp;Tabla14[[#This Row],[Resposable]]</f>
        <v>24Ever Morales</v>
      </c>
      <c r="M733" t="s">
        <v>255</v>
      </c>
    </row>
    <row r="734" spans="1:13" x14ac:dyDescent="0.25">
      <c r="A734" t="s">
        <v>36</v>
      </c>
      <c r="B734">
        <v>24</v>
      </c>
      <c r="C734" t="s">
        <v>5</v>
      </c>
      <c r="D734" t="s">
        <v>53</v>
      </c>
      <c r="E734" t="s">
        <v>47</v>
      </c>
      <c r="F734" s="4" t="s">
        <v>58</v>
      </c>
      <c r="G734" t="s">
        <v>253</v>
      </c>
      <c r="H734" t="s">
        <v>255</v>
      </c>
      <c r="I734" t="s">
        <v>380</v>
      </c>
      <c r="J734" t="s">
        <v>360</v>
      </c>
      <c r="K734" t="str">
        <f>Tabla14[[#This Row],[id]]&amp;Tabla14[[#This Row],[Resposable]]</f>
        <v>24Ever Morales</v>
      </c>
      <c r="L734" t="str">
        <f>Tabla14[[#This Row],[id]]&amp;Tabla14[[#This Row],[Resposable]]</f>
        <v>24Ever Morales</v>
      </c>
      <c r="M734" t="s">
        <v>255</v>
      </c>
    </row>
    <row r="735" spans="1:13" x14ac:dyDescent="0.25">
      <c r="A735" t="s">
        <v>36</v>
      </c>
      <c r="B735">
        <v>24</v>
      </c>
      <c r="C735" t="s">
        <v>5</v>
      </c>
      <c r="D735" t="s">
        <v>209</v>
      </c>
      <c r="E735" t="s">
        <v>47</v>
      </c>
      <c r="F735" s="4" t="s">
        <v>210</v>
      </c>
      <c r="G735" t="s">
        <v>253</v>
      </c>
      <c r="H735" t="s">
        <v>255</v>
      </c>
      <c r="I735" t="s">
        <v>380</v>
      </c>
      <c r="J735" t="s">
        <v>360</v>
      </c>
      <c r="K735" t="str">
        <f>Tabla14[[#This Row],[id]]&amp;Tabla14[[#This Row],[Resposable]]</f>
        <v>24Ever Morales</v>
      </c>
      <c r="L735" t="str">
        <f>Tabla14[[#This Row],[id]]&amp;Tabla14[[#This Row],[Resposable]]</f>
        <v>24Ever Morales</v>
      </c>
      <c r="M735" t="s">
        <v>255</v>
      </c>
    </row>
    <row r="736" spans="1:13" x14ac:dyDescent="0.25">
      <c r="A736" t="s">
        <v>36</v>
      </c>
      <c r="B736">
        <v>24</v>
      </c>
      <c r="C736" t="s">
        <v>5</v>
      </c>
      <c r="D736" t="s">
        <v>64</v>
      </c>
      <c r="E736" t="s">
        <v>47</v>
      </c>
      <c r="F736" s="4" t="s">
        <v>210</v>
      </c>
      <c r="G736" t="s">
        <v>253</v>
      </c>
      <c r="H736" t="s">
        <v>255</v>
      </c>
      <c r="I736" t="s">
        <v>380</v>
      </c>
      <c r="J736" t="s">
        <v>360</v>
      </c>
      <c r="K736" t="str">
        <f>Tabla14[[#This Row],[id]]&amp;Tabla14[[#This Row],[Resposable]]</f>
        <v>24Ever Morales</v>
      </c>
      <c r="L736" t="str">
        <f>Tabla14[[#This Row],[id]]&amp;Tabla14[[#This Row],[Resposable]]</f>
        <v>24Ever Morales</v>
      </c>
      <c r="M736" t="s">
        <v>255</v>
      </c>
    </row>
    <row r="737" spans="1:13" x14ac:dyDescent="0.25">
      <c r="A737" t="s">
        <v>38</v>
      </c>
      <c r="B737">
        <v>24</v>
      </c>
      <c r="C737" t="s">
        <v>5</v>
      </c>
      <c r="D737" t="s">
        <v>46</v>
      </c>
      <c r="E737" t="s">
        <v>47</v>
      </c>
      <c r="F737" s="4" t="s">
        <v>58</v>
      </c>
      <c r="G737" t="s">
        <v>253</v>
      </c>
      <c r="H737" t="s">
        <v>255</v>
      </c>
      <c r="I737" t="s">
        <v>380</v>
      </c>
      <c r="J737" t="s">
        <v>360</v>
      </c>
      <c r="K737" t="str">
        <f>Tabla14[[#This Row],[id]]&amp;Tabla14[[#This Row],[Resposable]]</f>
        <v>24Ever Morales</v>
      </c>
      <c r="L737" t="str">
        <f>Tabla14[[#This Row],[id]]&amp;Tabla14[[#This Row],[Resposable]]</f>
        <v>24Ever Morales</v>
      </c>
      <c r="M737" t="s">
        <v>255</v>
      </c>
    </row>
    <row r="738" spans="1:13" x14ac:dyDescent="0.25">
      <c r="A738" t="s">
        <v>38</v>
      </c>
      <c r="B738">
        <v>24</v>
      </c>
      <c r="C738" t="s">
        <v>5</v>
      </c>
      <c r="D738" t="s">
        <v>52</v>
      </c>
      <c r="E738" t="s">
        <v>47</v>
      </c>
      <c r="F738" s="4" t="s">
        <v>58</v>
      </c>
      <c r="G738" t="s">
        <v>253</v>
      </c>
      <c r="H738" t="s">
        <v>255</v>
      </c>
      <c r="I738" t="s">
        <v>380</v>
      </c>
      <c r="J738" t="s">
        <v>360</v>
      </c>
      <c r="K738" t="str">
        <f>Tabla14[[#This Row],[id]]&amp;Tabla14[[#This Row],[Resposable]]</f>
        <v>24Ever Morales</v>
      </c>
      <c r="L738" t="str">
        <f>Tabla14[[#This Row],[id]]&amp;Tabla14[[#This Row],[Resposable]]</f>
        <v>24Ever Morales</v>
      </c>
      <c r="M738" t="s">
        <v>255</v>
      </c>
    </row>
    <row r="739" spans="1:13" x14ac:dyDescent="0.25">
      <c r="A739" t="s">
        <v>38</v>
      </c>
      <c r="B739">
        <v>24</v>
      </c>
      <c r="C739" t="s">
        <v>5</v>
      </c>
      <c r="D739" t="s">
        <v>53</v>
      </c>
      <c r="E739" t="s">
        <v>47</v>
      </c>
      <c r="F739" s="4" t="s">
        <v>58</v>
      </c>
      <c r="G739" t="s">
        <v>253</v>
      </c>
      <c r="H739" t="s">
        <v>255</v>
      </c>
      <c r="I739" t="s">
        <v>380</v>
      </c>
      <c r="J739" t="s">
        <v>360</v>
      </c>
      <c r="K739" t="str">
        <f>Tabla14[[#This Row],[id]]&amp;Tabla14[[#This Row],[Resposable]]</f>
        <v>24Ever Morales</v>
      </c>
      <c r="L739" t="str">
        <f>Tabla14[[#This Row],[id]]&amp;Tabla14[[#This Row],[Resposable]]</f>
        <v>24Ever Morales</v>
      </c>
      <c r="M739" t="s">
        <v>255</v>
      </c>
    </row>
    <row r="740" spans="1:13" x14ac:dyDescent="0.25">
      <c r="A740" t="s">
        <v>38</v>
      </c>
      <c r="B740">
        <v>24</v>
      </c>
      <c r="C740" t="s">
        <v>5</v>
      </c>
      <c r="D740" t="s">
        <v>64</v>
      </c>
      <c r="E740" t="s">
        <v>47</v>
      </c>
      <c r="F740" s="4" t="s">
        <v>58</v>
      </c>
      <c r="G740" t="s">
        <v>253</v>
      </c>
      <c r="H740" t="s">
        <v>255</v>
      </c>
      <c r="I740" t="s">
        <v>380</v>
      </c>
      <c r="J740" t="s">
        <v>360</v>
      </c>
      <c r="K740" t="str">
        <f>Tabla14[[#This Row],[id]]&amp;Tabla14[[#This Row],[Resposable]]</f>
        <v>24Ever Morales</v>
      </c>
      <c r="L740" t="str">
        <f>Tabla14[[#This Row],[id]]&amp;Tabla14[[#This Row],[Resposable]]</f>
        <v>24Ever Morales</v>
      </c>
      <c r="M740" t="s">
        <v>255</v>
      </c>
    </row>
    <row r="741" spans="1:13" x14ac:dyDescent="0.25">
      <c r="A741" t="s">
        <v>37</v>
      </c>
      <c r="B741">
        <v>35</v>
      </c>
      <c r="C741" t="s">
        <v>5</v>
      </c>
      <c r="D741" t="s">
        <v>46</v>
      </c>
      <c r="E741" t="s">
        <v>47</v>
      </c>
      <c r="F741" s="4" t="s">
        <v>48</v>
      </c>
      <c r="G741" t="s">
        <v>253</v>
      </c>
      <c r="H741" t="s">
        <v>255</v>
      </c>
      <c r="I741" t="s">
        <v>380</v>
      </c>
      <c r="J741" t="s">
        <v>360</v>
      </c>
      <c r="K741" t="str">
        <f>Tabla14[[#This Row],[id]]&amp;Tabla14[[#This Row],[Resposable]]</f>
        <v>35Ever Morales</v>
      </c>
      <c r="L741" t="str">
        <f>Tabla14[[#This Row],[id]]&amp;Tabla14[[#This Row],[Resposable]]</f>
        <v>35Ever Morales</v>
      </c>
      <c r="M741" t="s">
        <v>255</v>
      </c>
    </row>
    <row r="742" spans="1:13" x14ac:dyDescent="0.25">
      <c r="A742" t="s">
        <v>37</v>
      </c>
      <c r="B742">
        <v>35</v>
      </c>
      <c r="C742" t="s">
        <v>5</v>
      </c>
      <c r="D742" t="s">
        <v>53</v>
      </c>
      <c r="E742" t="s">
        <v>47</v>
      </c>
      <c r="F742" s="4" t="s">
        <v>48</v>
      </c>
      <c r="G742" t="s">
        <v>253</v>
      </c>
      <c r="H742" t="s">
        <v>255</v>
      </c>
      <c r="I742" t="s">
        <v>380</v>
      </c>
      <c r="J742" t="s">
        <v>360</v>
      </c>
      <c r="K742" t="str">
        <f>Tabla14[[#This Row],[id]]&amp;Tabla14[[#This Row],[Resposable]]</f>
        <v>35Ever Morales</v>
      </c>
      <c r="L742" t="str">
        <f>Tabla14[[#This Row],[id]]&amp;Tabla14[[#This Row],[Resposable]]</f>
        <v>35Ever Morales</v>
      </c>
      <c r="M742" t="s">
        <v>255</v>
      </c>
    </row>
    <row r="743" spans="1:13" x14ac:dyDescent="0.25">
      <c r="A743" t="s">
        <v>37</v>
      </c>
      <c r="B743">
        <v>35</v>
      </c>
      <c r="C743" t="s">
        <v>5</v>
      </c>
      <c r="D743" t="s">
        <v>217</v>
      </c>
      <c r="E743" t="s">
        <v>47</v>
      </c>
      <c r="F743" s="4" t="s">
        <v>48</v>
      </c>
      <c r="G743" t="s">
        <v>253</v>
      </c>
      <c r="H743" t="s">
        <v>255</v>
      </c>
      <c r="I743" t="s">
        <v>380</v>
      </c>
      <c r="J743" t="s">
        <v>360</v>
      </c>
      <c r="K743" t="str">
        <f>Tabla14[[#This Row],[id]]&amp;Tabla14[[#This Row],[Resposable]]</f>
        <v>35Ever Morales</v>
      </c>
      <c r="L743" t="str">
        <f>Tabla14[[#This Row],[id]]&amp;Tabla14[[#This Row],[Resposable]]</f>
        <v>35Ever Morales</v>
      </c>
      <c r="M743" t="s">
        <v>255</v>
      </c>
    </row>
    <row r="744" spans="1:13" x14ac:dyDescent="0.25">
      <c r="A744" t="s">
        <v>37</v>
      </c>
      <c r="B744">
        <v>35</v>
      </c>
      <c r="C744" t="s">
        <v>5</v>
      </c>
      <c r="D744" t="s">
        <v>56</v>
      </c>
      <c r="E744" t="s">
        <v>47</v>
      </c>
      <c r="F744" s="4" t="s">
        <v>48</v>
      </c>
      <c r="G744" t="s">
        <v>253</v>
      </c>
      <c r="H744" t="s">
        <v>255</v>
      </c>
      <c r="I744" t="s">
        <v>380</v>
      </c>
      <c r="J744" t="s">
        <v>360</v>
      </c>
      <c r="K744" t="str">
        <f>Tabla14[[#This Row],[id]]&amp;Tabla14[[#This Row],[Resposable]]</f>
        <v>35Ever Morales</v>
      </c>
      <c r="L744" t="str">
        <f>Tabla14[[#This Row],[id]]&amp;Tabla14[[#This Row],[Resposable]]</f>
        <v>35Ever Morales</v>
      </c>
      <c r="M744" t="s">
        <v>255</v>
      </c>
    </row>
    <row r="745" spans="1:13" x14ac:dyDescent="0.25">
      <c r="A745" t="s">
        <v>17</v>
      </c>
      <c r="B745">
        <v>54</v>
      </c>
      <c r="C745" t="s">
        <v>5</v>
      </c>
      <c r="D745" t="s">
        <v>46</v>
      </c>
      <c r="E745" t="s">
        <v>47</v>
      </c>
      <c r="F745" s="4" t="s">
        <v>48</v>
      </c>
      <c r="G745" t="s">
        <v>253</v>
      </c>
      <c r="H745" t="s">
        <v>255</v>
      </c>
      <c r="I745" t="s">
        <v>380</v>
      </c>
      <c r="J745" t="s">
        <v>360</v>
      </c>
      <c r="K745" t="str">
        <f>Tabla14[[#This Row],[id]]&amp;Tabla14[[#This Row],[Resposable]]</f>
        <v>54Ever Morales</v>
      </c>
      <c r="L745" t="str">
        <f>Tabla14[[#This Row],[id]]&amp;Tabla14[[#This Row],[Resposable]]</f>
        <v>54Ever Morales</v>
      </c>
      <c r="M745" t="s">
        <v>255</v>
      </c>
    </row>
    <row r="746" spans="1:13" x14ac:dyDescent="0.25">
      <c r="A746" t="s">
        <v>17</v>
      </c>
      <c r="B746">
        <v>54</v>
      </c>
      <c r="C746" t="s">
        <v>5</v>
      </c>
      <c r="D746" t="s">
        <v>222</v>
      </c>
      <c r="E746" t="s">
        <v>47</v>
      </c>
      <c r="F746" s="4" t="s">
        <v>48</v>
      </c>
      <c r="G746" t="s">
        <v>253</v>
      </c>
      <c r="H746" t="s">
        <v>255</v>
      </c>
      <c r="I746" t="s">
        <v>380</v>
      </c>
      <c r="J746" t="s">
        <v>360</v>
      </c>
      <c r="K746" t="str">
        <f>Tabla14[[#This Row],[id]]&amp;Tabla14[[#This Row],[Resposable]]</f>
        <v>54Ever Morales</v>
      </c>
      <c r="L746" t="str">
        <f>Tabla14[[#This Row],[id]]&amp;Tabla14[[#This Row],[Resposable]]</f>
        <v>54Ever Morales</v>
      </c>
      <c r="M746" t="s">
        <v>255</v>
      </c>
    </row>
    <row r="747" spans="1:13" x14ac:dyDescent="0.25">
      <c r="A747" t="s">
        <v>17</v>
      </c>
      <c r="B747">
        <v>54</v>
      </c>
      <c r="C747" t="s">
        <v>5</v>
      </c>
      <c r="D747" t="s">
        <v>53</v>
      </c>
      <c r="E747" t="s">
        <v>47</v>
      </c>
      <c r="F747" s="4" t="s">
        <v>48</v>
      </c>
      <c r="G747" t="s">
        <v>253</v>
      </c>
      <c r="H747" t="s">
        <v>255</v>
      </c>
      <c r="I747" t="s">
        <v>380</v>
      </c>
      <c r="J747" t="s">
        <v>360</v>
      </c>
      <c r="K747" t="str">
        <f>Tabla14[[#This Row],[id]]&amp;Tabla14[[#This Row],[Resposable]]</f>
        <v>54Ever Morales</v>
      </c>
      <c r="L747" t="str">
        <f>Tabla14[[#This Row],[id]]&amp;Tabla14[[#This Row],[Resposable]]</f>
        <v>54Ever Morales</v>
      </c>
      <c r="M747" t="s">
        <v>255</v>
      </c>
    </row>
    <row r="748" spans="1:13" x14ac:dyDescent="0.25">
      <c r="A748" t="s">
        <v>17</v>
      </c>
      <c r="B748">
        <v>54</v>
      </c>
      <c r="C748" t="s">
        <v>5</v>
      </c>
      <c r="D748" t="s">
        <v>217</v>
      </c>
      <c r="E748" t="s">
        <v>47</v>
      </c>
      <c r="F748" s="4" t="s">
        <v>48</v>
      </c>
      <c r="G748" t="s">
        <v>253</v>
      </c>
      <c r="H748" t="s">
        <v>255</v>
      </c>
      <c r="I748" t="s">
        <v>380</v>
      </c>
      <c r="J748" t="s">
        <v>360</v>
      </c>
      <c r="K748" t="str">
        <f>Tabla14[[#This Row],[id]]&amp;Tabla14[[#This Row],[Resposable]]</f>
        <v>54Ever Morales</v>
      </c>
      <c r="L748" t="str">
        <f>Tabla14[[#This Row],[id]]&amp;Tabla14[[#This Row],[Resposable]]</f>
        <v>54Ever Morales</v>
      </c>
      <c r="M748" t="s">
        <v>255</v>
      </c>
    </row>
    <row r="749" spans="1:13" x14ac:dyDescent="0.25">
      <c r="A749" t="s">
        <v>17</v>
      </c>
      <c r="B749">
        <v>54</v>
      </c>
      <c r="C749" t="s">
        <v>5</v>
      </c>
      <c r="D749" t="s">
        <v>56</v>
      </c>
      <c r="E749" t="s">
        <v>47</v>
      </c>
      <c r="F749" s="4" t="s">
        <v>48</v>
      </c>
      <c r="G749" t="s">
        <v>253</v>
      </c>
      <c r="H749" t="s">
        <v>255</v>
      </c>
      <c r="I749" t="s">
        <v>380</v>
      </c>
      <c r="J749" t="s">
        <v>360</v>
      </c>
      <c r="K749" t="str">
        <f>Tabla14[[#This Row],[id]]&amp;Tabla14[[#This Row],[Resposable]]</f>
        <v>54Ever Morales</v>
      </c>
      <c r="L749" t="str">
        <f>Tabla14[[#This Row],[id]]&amp;Tabla14[[#This Row],[Resposable]]</f>
        <v>54Ever Morales</v>
      </c>
      <c r="M749" t="s">
        <v>255</v>
      </c>
    </row>
    <row r="750" spans="1:13" x14ac:dyDescent="0.25">
      <c r="A750" t="s">
        <v>39</v>
      </c>
      <c r="B750">
        <v>96</v>
      </c>
      <c r="C750" t="s">
        <v>5</v>
      </c>
      <c r="D750" t="s">
        <v>46</v>
      </c>
      <c r="E750" t="s">
        <v>47</v>
      </c>
      <c r="F750" s="4" t="s">
        <v>48</v>
      </c>
      <c r="G750" t="s">
        <v>253</v>
      </c>
      <c r="H750" t="s">
        <v>255</v>
      </c>
      <c r="I750" t="s">
        <v>380</v>
      </c>
      <c r="J750" t="s">
        <v>360</v>
      </c>
      <c r="K750" t="str">
        <f>Tabla14[[#This Row],[id]]&amp;Tabla14[[#This Row],[Resposable]]</f>
        <v>96Ever Morales</v>
      </c>
      <c r="L750" t="str">
        <f>Tabla14[[#This Row],[id]]&amp;Tabla14[[#This Row],[Resposable]]</f>
        <v>96Ever Morales</v>
      </c>
      <c r="M750" t="s">
        <v>255</v>
      </c>
    </row>
    <row r="751" spans="1:13" x14ac:dyDescent="0.25">
      <c r="A751" t="s">
        <v>39</v>
      </c>
      <c r="B751">
        <v>96</v>
      </c>
      <c r="C751" t="s">
        <v>5</v>
      </c>
      <c r="D751" t="s">
        <v>53</v>
      </c>
      <c r="E751" t="s">
        <v>47</v>
      </c>
      <c r="F751" s="4" t="s">
        <v>48</v>
      </c>
      <c r="G751" t="s">
        <v>253</v>
      </c>
      <c r="H751" t="s">
        <v>255</v>
      </c>
      <c r="I751" t="s">
        <v>380</v>
      </c>
      <c r="J751" t="s">
        <v>360</v>
      </c>
      <c r="K751" t="str">
        <f>Tabla14[[#This Row],[id]]&amp;Tabla14[[#This Row],[Resposable]]</f>
        <v>96Ever Morales</v>
      </c>
      <c r="L751" t="str">
        <f>Tabla14[[#This Row],[id]]&amp;Tabla14[[#This Row],[Resposable]]</f>
        <v>96Ever Morales</v>
      </c>
      <c r="M751" t="s">
        <v>255</v>
      </c>
    </row>
    <row r="752" spans="1:13" x14ac:dyDescent="0.25">
      <c r="A752" t="s">
        <v>39</v>
      </c>
      <c r="B752">
        <v>96</v>
      </c>
      <c r="C752" t="s">
        <v>5</v>
      </c>
      <c r="D752" t="s">
        <v>217</v>
      </c>
      <c r="E752" t="s">
        <v>47</v>
      </c>
      <c r="F752" s="4" t="s">
        <v>48</v>
      </c>
      <c r="G752" t="s">
        <v>253</v>
      </c>
      <c r="H752" t="s">
        <v>255</v>
      </c>
      <c r="I752" t="s">
        <v>380</v>
      </c>
      <c r="J752" t="s">
        <v>360</v>
      </c>
      <c r="K752" t="str">
        <f>Tabla14[[#This Row],[id]]&amp;Tabla14[[#This Row],[Resposable]]</f>
        <v>96Ever Morales</v>
      </c>
      <c r="L752" t="str">
        <f>Tabla14[[#This Row],[id]]&amp;Tabla14[[#This Row],[Resposable]]</f>
        <v>96Ever Morales</v>
      </c>
      <c r="M752" t="s">
        <v>255</v>
      </c>
    </row>
    <row r="753" spans="1:13" x14ac:dyDescent="0.25">
      <c r="A753" t="s">
        <v>39</v>
      </c>
      <c r="B753">
        <v>96</v>
      </c>
      <c r="C753" t="s">
        <v>5</v>
      </c>
      <c r="D753" t="s">
        <v>56</v>
      </c>
      <c r="E753" t="s">
        <v>47</v>
      </c>
      <c r="F753" s="4" t="s">
        <v>48</v>
      </c>
      <c r="G753" t="s">
        <v>253</v>
      </c>
      <c r="H753" t="s">
        <v>255</v>
      </c>
      <c r="I753" t="s">
        <v>380</v>
      </c>
      <c r="J753" t="s">
        <v>360</v>
      </c>
      <c r="K753" t="str">
        <f>Tabla14[[#This Row],[id]]&amp;Tabla14[[#This Row],[Resposable]]</f>
        <v>96Ever Morales</v>
      </c>
      <c r="L753" t="str">
        <f>Tabla14[[#This Row],[id]]&amp;Tabla14[[#This Row],[Resposable]]</f>
        <v>96Ever Morales</v>
      </c>
      <c r="M753" t="s">
        <v>255</v>
      </c>
    </row>
    <row r="754" spans="1:13" x14ac:dyDescent="0.25">
      <c r="A754" s="18" t="s">
        <v>35</v>
      </c>
      <c r="B754" s="18">
        <v>142</v>
      </c>
      <c r="C754" s="18" t="s">
        <v>5</v>
      </c>
      <c r="D754" s="18" t="s">
        <v>46</v>
      </c>
      <c r="E754" s="18" t="s">
        <v>47</v>
      </c>
      <c r="F754" s="19" t="s">
        <v>48</v>
      </c>
      <c r="G754" s="18" t="s">
        <v>253</v>
      </c>
      <c r="H754" t="s">
        <v>255</v>
      </c>
      <c r="I754" t="s">
        <v>380</v>
      </c>
      <c r="J754" t="s">
        <v>360</v>
      </c>
      <c r="K754" t="str">
        <f>Tabla14[[#This Row],[id]]&amp;Tabla14[[#This Row],[Resposable]]</f>
        <v>142Ever Morales</v>
      </c>
      <c r="L754" t="str">
        <f>Tabla14[[#This Row],[id]]&amp;Tabla14[[#This Row],[Resposable]]</f>
        <v>142Ever Morales</v>
      </c>
      <c r="M754" t="s">
        <v>255</v>
      </c>
    </row>
    <row r="755" spans="1:13" x14ac:dyDescent="0.25">
      <c r="A755" s="18" t="s">
        <v>35</v>
      </c>
      <c r="B755" s="18">
        <v>142</v>
      </c>
      <c r="C755" s="18" t="s">
        <v>5</v>
      </c>
      <c r="D755" s="18" t="s">
        <v>53</v>
      </c>
      <c r="E755" s="18" t="s">
        <v>47</v>
      </c>
      <c r="F755" s="19" t="s">
        <v>48</v>
      </c>
      <c r="G755" s="18" t="s">
        <v>253</v>
      </c>
      <c r="H755" t="s">
        <v>255</v>
      </c>
      <c r="I755" t="s">
        <v>380</v>
      </c>
      <c r="J755" t="s">
        <v>360</v>
      </c>
      <c r="K755" t="str">
        <f>Tabla14[[#This Row],[id]]&amp;Tabla14[[#This Row],[Resposable]]</f>
        <v>142Ever Morales</v>
      </c>
      <c r="L755" t="str">
        <f>Tabla14[[#This Row],[id]]&amp;Tabla14[[#This Row],[Resposable]]</f>
        <v>142Ever Morales</v>
      </c>
      <c r="M755" t="s">
        <v>255</v>
      </c>
    </row>
    <row r="756" spans="1:13" x14ac:dyDescent="0.25">
      <c r="A756" s="18" t="s">
        <v>35</v>
      </c>
      <c r="B756" s="18">
        <v>142</v>
      </c>
      <c r="C756" s="18" t="s">
        <v>5</v>
      </c>
      <c r="D756" s="18" t="s">
        <v>217</v>
      </c>
      <c r="E756" s="18" t="s">
        <v>47</v>
      </c>
      <c r="F756" s="19" t="s">
        <v>48</v>
      </c>
      <c r="G756" s="18" t="s">
        <v>253</v>
      </c>
      <c r="H756" t="s">
        <v>255</v>
      </c>
      <c r="I756" t="s">
        <v>380</v>
      </c>
      <c r="J756" t="s">
        <v>360</v>
      </c>
      <c r="K756" t="str">
        <f>Tabla14[[#This Row],[id]]&amp;Tabla14[[#This Row],[Resposable]]</f>
        <v>142Ever Morales</v>
      </c>
      <c r="L756" t="str">
        <f>Tabla14[[#This Row],[id]]&amp;Tabla14[[#This Row],[Resposable]]</f>
        <v>142Ever Morales</v>
      </c>
      <c r="M756" t="s">
        <v>255</v>
      </c>
    </row>
    <row r="757" spans="1:13" x14ac:dyDescent="0.25">
      <c r="A757" s="18" t="s">
        <v>35</v>
      </c>
      <c r="B757" s="18">
        <v>142</v>
      </c>
      <c r="C757" s="18" t="s">
        <v>5</v>
      </c>
      <c r="D757" s="18" t="s">
        <v>56</v>
      </c>
      <c r="E757" s="18" t="s">
        <v>47</v>
      </c>
      <c r="F757" s="19" t="s">
        <v>48</v>
      </c>
      <c r="G757" s="18" t="s">
        <v>253</v>
      </c>
      <c r="H757" t="s">
        <v>255</v>
      </c>
      <c r="I757" t="s">
        <v>380</v>
      </c>
      <c r="J757" t="s">
        <v>360</v>
      </c>
      <c r="K757" t="str">
        <f>Tabla14[[#This Row],[id]]&amp;Tabla14[[#This Row],[Resposable]]</f>
        <v>142Ever Morales</v>
      </c>
      <c r="L757" t="str">
        <f>Tabla14[[#This Row],[id]]&amp;Tabla14[[#This Row],[Resposable]]</f>
        <v>142Ever Morales</v>
      </c>
      <c r="M757" t="s">
        <v>255</v>
      </c>
    </row>
    <row r="758" spans="1:13" x14ac:dyDescent="0.25">
      <c r="A758" t="s">
        <v>328</v>
      </c>
      <c r="B758">
        <v>26</v>
      </c>
      <c r="C758" t="s">
        <v>5</v>
      </c>
      <c r="D758" t="s">
        <v>265</v>
      </c>
      <c r="E758" t="s">
        <v>47</v>
      </c>
      <c r="F758" s="4" t="s">
        <v>184</v>
      </c>
      <c r="G758" t="s">
        <v>257</v>
      </c>
      <c r="H758" t="s">
        <v>359</v>
      </c>
      <c r="I758" t="s">
        <v>380</v>
      </c>
      <c r="J758" t="s">
        <v>360</v>
      </c>
      <c r="K758" t="str">
        <f>Tabla14[[#This Row],[id]]&amp;Tabla14[[#This Row],[Resposable]]</f>
        <v>26Ever Morales</v>
      </c>
      <c r="L758" t="str">
        <f>Tabla14[[#This Row],[id]]&amp;Tabla14[[#This Row],[Resposable]]</f>
        <v>26Ever Morales</v>
      </c>
      <c r="M758" t="s">
        <v>359</v>
      </c>
    </row>
    <row r="759" spans="1:13" x14ac:dyDescent="0.25">
      <c r="A759" t="s">
        <v>328</v>
      </c>
      <c r="B759">
        <v>26</v>
      </c>
      <c r="C759" t="s">
        <v>6</v>
      </c>
      <c r="D759" t="s">
        <v>266</v>
      </c>
      <c r="E759" t="s">
        <v>47</v>
      </c>
      <c r="F759" s="4" t="s">
        <v>60</v>
      </c>
      <c r="G759" t="s">
        <v>257</v>
      </c>
      <c r="H759" t="s">
        <v>359</v>
      </c>
      <c r="I759" t="s">
        <v>380</v>
      </c>
      <c r="J759" t="s">
        <v>360</v>
      </c>
      <c r="K759" t="str">
        <f>Tabla14[[#This Row],[id]]&amp;Tabla14[[#This Row],[Resposable]]</f>
        <v>26Ever Morales</v>
      </c>
      <c r="L759" t="str">
        <f>Tabla14[[#This Row],[id]]&amp;Tabla14[[#This Row],[Resposable]]</f>
        <v>26Ever Morales</v>
      </c>
      <c r="M759" t="s">
        <v>359</v>
      </c>
    </row>
    <row r="760" spans="1:13" x14ac:dyDescent="0.25">
      <c r="A760" t="s">
        <v>328</v>
      </c>
      <c r="B760">
        <v>26</v>
      </c>
      <c r="C760" t="s">
        <v>7</v>
      </c>
      <c r="D760" t="s">
        <v>267</v>
      </c>
      <c r="E760" t="s">
        <v>47</v>
      </c>
      <c r="F760" s="4" t="s">
        <v>71</v>
      </c>
      <c r="G760" t="s">
        <v>257</v>
      </c>
      <c r="H760" t="s">
        <v>359</v>
      </c>
      <c r="I760" t="s">
        <v>380</v>
      </c>
      <c r="J760" t="s">
        <v>360</v>
      </c>
      <c r="K760" t="str">
        <f>Tabla14[[#This Row],[id]]&amp;Tabla14[[#This Row],[Resposable]]</f>
        <v>26Ever Morales</v>
      </c>
      <c r="L760" t="str">
        <f>Tabla14[[#This Row],[id]]&amp;Tabla14[[#This Row],[Resposable]]</f>
        <v>26Ever Morales</v>
      </c>
      <c r="M760" t="s">
        <v>359</v>
      </c>
    </row>
    <row r="761" spans="1:13" x14ac:dyDescent="0.25">
      <c r="A761" t="s">
        <v>328</v>
      </c>
      <c r="B761">
        <v>26</v>
      </c>
      <c r="C761" t="s">
        <v>9</v>
      </c>
      <c r="D761" t="s">
        <v>268</v>
      </c>
      <c r="E761" t="s">
        <v>47</v>
      </c>
      <c r="F761" s="4" t="s">
        <v>184</v>
      </c>
      <c r="G761" t="s">
        <v>257</v>
      </c>
      <c r="H761" t="s">
        <v>359</v>
      </c>
      <c r="I761" t="s">
        <v>380</v>
      </c>
      <c r="J761" t="s">
        <v>360</v>
      </c>
      <c r="K761" t="str">
        <f>Tabla14[[#This Row],[id]]&amp;Tabla14[[#This Row],[Resposable]]</f>
        <v>26Ever Morales</v>
      </c>
      <c r="L761" t="str">
        <f>Tabla14[[#This Row],[id]]&amp;Tabla14[[#This Row],[Resposable]]</f>
        <v>26Ever Morales</v>
      </c>
      <c r="M761" t="s">
        <v>359</v>
      </c>
    </row>
    <row r="762" spans="1:13" x14ac:dyDescent="0.25">
      <c r="A762" t="s">
        <v>328</v>
      </c>
      <c r="B762">
        <v>26</v>
      </c>
      <c r="C762" t="s">
        <v>9</v>
      </c>
      <c r="D762" t="s">
        <v>269</v>
      </c>
      <c r="E762" t="s">
        <v>47</v>
      </c>
      <c r="F762" s="4" t="s">
        <v>184</v>
      </c>
      <c r="G762" t="s">
        <v>257</v>
      </c>
      <c r="H762" t="s">
        <v>359</v>
      </c>
      <c r="I762" t="s">
        <v>380</v>
      </c>
      <c r="J762" t="s">
        <v>360</v>
      </c>
      <c r="K762" t="str">
        <f>Tabla14[[#This Row],[id]]&amp;Tabla14[[#This Row],[Resposable]]</f>
        <v>26Ever Morales</v>
      </c>
      <c r="L762" t="str">
        <f>Tabla14[[#This Row],[id]]&amp;Tabla14[[#This Row],[Resposable]]</f>
        <v>26Ever Morales</v>
      </c>
      <c r="M762" t="s">
        <v>359</v>
      </c>
    </row>
    <row r="763" spans="1:13" x14ac:dyDescent="0.25">
      <c r="A763" t="s">
        <v>328</v>
      </c>
      <c r="B763">
        <v>26</v>
      </c>
      <c r="C763" t="s">
        <v>9</v>
      </c>
      <c r="D763" t="s">
        <v>270</v>
      </c>
      <c r="E763" t="s">
        <v>47</v>
      </c>
      <c r="F763" s="4" t="s">
        <v>184</v>
      </c>
      <c r="G763" t="s">
        <v>257</v>
      </c>
      <c r="H763" t="s">
        <v>359</v>
      </c>
      <c r="I763" t="s">
        <v>380</v>
      </c>
      <c r="J763" t="s">
        <v>360</v>
      </c>
      <c r="K763" t="str">
        <f>Tabla14[[#This Row],[id]]&amp;Tabla14[[#This Row],[Resposable]]</f>
        <v>26Ever Morales</v>
      </c>
      <c r="L763" t="str">
        <f>Tabla14[[#This Row],[id]]&amp;Tabla14[[#This Row],[Resposable]]</f>
        <v>26Ever Morales</v>
      </c>
      <c r="M763" t="s">
        <v>359</v>
      </c>
    </row>
    <row r="764" spans="1:13" x14ac:dyDescent="0.25">
      <c r="A764" t="s">
        <v>328</v>
      </c>
      <c r="B764">
        <v>26</v>
      </c>
      <c r="C764" t="s">
        <v>7</v>
      </c>
      <c r="D764" t="s">
        <v>271</v>
      </c>
      <c r="E764" t="s">
        <v>47</v>
      </c>
      <c r="F764" s="4" t="s">
        <v>71</v>
      </c>
      <c r="G764" t="s">
        <v>257</v>
      </c>
      <c r="H764" t="s">
        <v>359</v>
      </c>
      <c r="I764" t="s">
        <v>380</v>
      </c>
      <c r="J764" t="s">
        <v>360</v>
      </c>
      <c r="K764" t="str">
        <f>Tabla14[[#This Row],[id]]&amp;Tabla14[[#This Row],[Resposable]]</f>
        <v>26Ever Morales</v>
      </c>
      <c r="L764" t="str">
        <f>Tabla14[[#This Row],[id]]&amp;Tabla14[[#This Row],[Resposable]]</f>
        <v>26Ever Morales</v>
      </c>
      <c r="M764" t="s">
        <v>359</v>
      </c>
    </row>
    <row r="765" spans="1:13" x14ac:dyDescent="0.25">
      <c r="A765" t="s">
        <v>328</v>
      </c>
      <c r="B765">
        <v>26</v>
      </c>
      <c r="C765" t="s">
        <v>7</v>
      </c>
      <c r="D765" t="s">
        <v>272</v>
      </c>
      <c r="E765" t="s">
        <v>47</v>
      </c>
      <c r="F765" s="4" t="s">
        <v>71</v>
      </c>
      <c r="G765" t="s">
        <v>257</v>
      </c>
      <c r="H765" t="s">
        <v>359</v>
      </c>
      <c r="I765" t="s">
        <v>380</v>
      </c>
      <c r="J765" t="s">
        <v>360</v>
      </c>
      <c r="K765" t="str">
        <f>Tabla14[[#This Row],[id]]&amp;Tabla14[[#This Row],[Resposable]]</f>
        <v>26Ever Morales</v>
      </c>
      <c r="L765" t="str">
        <f>Tabla14[[#This Row],[id]]&amp;Tabla14[[#This Row],[Resposable]]</f>
        <v>26Ever Morales</v>
      </c>
      <c r="M765" t="s">
        <v>359</v>
      </c>
    </row>
    <row r="766" spans="1:13" x14ac:dyDescent="0.25">
      <c r="A766" t="s">
        <v>328</v>
      </c>
      <c r="B766">
        <v>26</v>
      </c>
      <c r="C766" t="s">
        <v>6</v>
      </c>
      <c r="D766" t="s">
        <v>273</v>
      </c>
      <c r="E766" t="s">
        <v>47</v>
      </c>
      <c r="F766" s="4" t="s">
        <v>60</v>
      </c>
      <c r="G766" t="s">
        <v>257</v>
      </c>
      <c r="H766" t="s">
        <v>359</v>
      </c>
      <c r="I766" t="s">
        <v>380</v>
      </c>
      <c r="J766" t="s">
        <v>360</v>
      </c>
      <c r="K766" t="str">
        <f>Tabla14[[#This Row],[id]]&amp;Tabla14[[#This Row],[Resposable]]</f>
        <v>26Ever Morales</v>
      </c>
      <c r="L766" t="str">
        <f>Tabla14[[#This Row],[id]]&amp;Tabla14[[#This Row],[Resposable]]</f>
        <v>26Ever Morales</v>
      </c>
      <c r="M766" t="s">
        <v>359</v>
      </c>
    </row>
    <row r="767" spans="1:13" x14ac:dyDescent="0.25">
      <c r="A767" t="s">
        <v>328</v>
      </c>
      <c r="B767">
        <v>26</v>
      </c>
      <c r="C767" t="s">
        <v>7</v>
      </c>
      <c r="D767" t="s">
        <v>274</v>
      </c>
      <c r="E767" t="s">
        <v>47</v>
      </c>
      <c r="F767" s="4" t="s">
        <v>71</v>
      </c>
      <c r="G767" t="s">
        <v>257</v>
      </c>
      <c r="H767" t="s">
        <v>359</v>
      </c>
      <c r="I767" t="s">
        <v>380</v>
      </c>
      <c r="J767" t="s">
        <v>360</v>
      </c>
      <c r="K767" t="str">
        <f>Tabla14[[#This Row],[id]]&amp;Tabla14[[#This Row],[Resposable]]</f>
        <v>26Ever Morales</v>
      </c>
      <c r="L767" t="str">
        <f>Tabla14[[#This Row],[id]]&amp;Tabla14[[#This Row],[Resposable]]</f>
        <v>26Ever Morales</v>
      </c>
      <c r="M767" t="s">
        <v>359</v>
      </c>
    </row>
    <row r="768" spans="1:13" x14ac:dyDescent="0.25">
      <c r="A768" t="s">
        <v>328</v>
      </c>
      <c r="B768">
        <v>26</v>
      </c>
      <c r="C768" t="s">
        <v>6</v>
      </c>
      <c r="D768" t="s">
        <v>275</v>
      </c>
      <c r="E768" t="s">
        <v>47</v>
      </c>
      <c r="F768" s="4" t="s">
        <v>60</v>
      </c>
      <c r="G768" t="s">
        <v>257</v>
      </c>
      <c r="H768" t="s">
        <v>359</v>
      </c>
      <c r="I768" t="s">
        <v>380</v>
      </c>
      <c r="J768" t="s">
        <v>360</v>
      </c>
      <c r="K768" t="str">
        <f>Tabla14[[#This Row],[id]]&amp;Tabla14[[#This Row],[Resposable]]</f>
        <v>26Ever Morales</v>
      </c>
      <c r="L768" t="str">
        <f>Tabla14[[#This Row],[id]]&amp;Tabla14[[#This Row],[Resposable]]</f>
        <v>26Ever Morales</v>
      </c>
      <c r="M768" t="s">
        <v>359</v>
      </c>
    </row>
    <row r="769" spans="1:13" x14ac:dyDescent="0.25">
      <c r="A769" t="s">
        <v>328</v>
      </c>
      <c r="B769">
        <v>26</v>
      </c>
      <c r="C769" t="s">
        <v>6</v>
      </c>
      <c r="D769" t="s">
        <v>276</v>
      </c>
      <c r="E769" t="s">
        <v>47</v>
      </c>
      <c r="F769" s="4" t="s">
        <v>60</v>
      </c>
      <c r="G769" t="s">
        <v>257</v>
      </c>
      <c r="H769" t="s">
        <v>359</v>
      </c>
      <c r="I769" t="s">
        <v>380</v>
      </c>
      <c r="J769" t="s">
        <v>360</v>
      </c>
      <c r="K769" t="str">
        <f>Tabla14[[#This Row],[id]]&amp;Tabla14[[#This Row],[Resposable]]</f>
        <v>26Ever Morales</v>
      </c>
      <c r="L769" t="str">
        <f>Tabla14[[#This Row],[id]]&amp;Tabla14[[#This Row],[Resposable]]</f>
        <v>26Ever Morales</v>
      </c>
      <c r="M769" t="s">
        <v>359</v>
      </c>
    </row>
    <row r="770" spans="1:13" x14ac:dyDescent="0.25">
      <c r="A770" t="s">
        <v>328</v>
      </c>
      <c r="B770">
        <v>26</v>
      </c>
      <c r="C770" t="s">
        <v>6</v>
      </c>
      <c r="D770" t="s">
        <v>277</v>
      </c>
      <c r="E770" t="s">
        <v>47</v>
      </c>
      <c r="F770" s="4" t="s">
        <v>60</v>
      </c>
      <c r="G770" t="s">
        <v>257</v>
      </c>
      <c r="H770" t="s">
        <v>359</v>
      </c>
      <c r="I770" t="s">
        <v>380</v>
      </c>
      <c r="J770" t="s">
        <v>360</v>
      </c>
      <c r="K770" t="str">
        <f>Tabla14[[#This Row],[id]]&amp;Tabla14[[#This Row],[Resposable]]</f>
        <v>26Ever Morales</v>
      </c>
      <c r="L770" t="str">
        <f>Tabla14[[#This Row],[id]]&amp;Tabla14[[#This Row],[Resposable]]</f>
        <v>26Ever Morales</v>
      </c>
      <c r="M770" t="s">
        <v>359</v>
      </c>
    </row>
    <row r="771" spans="1:13" x14ac:dyDescent="0.25">
      <c r="A771" t="s">
        <v>328</v>
      </c>
      <c r="B771">
        <v>26</v>
      </c>
      <c r="C771" t="s">
        <v>8</v>
      </c>
      <c r="D771" t="s">
        <v>278</v>
      </c>
      <c r="E771" t="s">
        <v>47</v>
      </c>
      <c r="F771" s="4" t="s">
        <v>60</v>
      </c>
      <c r="G771" t="s">
        <v>257</v>
      </c>
      <c r="H771" t="s">
        <v>359</v>
      </c>
      <c r="I771" t="s">
        <v>380</v>
      </c>
      <c r="J771" t="s">
        <v>360</v>
      </c>
      <c r="K771" t="str">
        <f>Tabla14[[#This Row],[id]]&amp;Tabla14[[#This Row],[Resposable]]</f>
        <v>26Ever Morales</v>
      </c>
      <c r="L771" t="str">
        <f>Tabla14[[#This Row],[id]]&amp;Tabla14[[#This Row],[Resposable]]</f>
        <v>26Ever Morales</v>
      </c>
      <c r="M771" t="s">
        <v>359</v>
      </c>
    </row>
    <row r="772" spans="1:13" x14ac:dyDescent="0.25">
      <c r="A772" s="8" t="s">
        <v>329</v>
      </c>
      <c r="B772" s="8">
        <v>27</v>
      </c>
      <c r="C772" s="8" t="s">
        <v>5</v>
      </c>
      <c r="D772" s="8" t="s">
        <v>265</v>
      </c>
      <c r="E772" s="8" t="s">
        <v>47</v>
      </c>
      <c r="F772" s="14" t="s">
        <v>184</v>
      </c>
      <c r="G772" s="8" t="s">
        <v>257</v>
      </c>
      <c r="H772" t="s">
        <v>359</v>
      </c>
      <c r="I772" t="s">
        <v>380</v>
      </c>
      <c r="J772" t="s">
        <v>360</v>
      </c>
      <c r="K772" t="str">
        <f>Tabla14[[#This Row],[id]]&amp;Tabla14[[#This Row],[Resposable]]</f>
        <v>27Ever Morales</v>
      </c>
      <c r="L772" t="str">
        <f>Tabla14[[#This Row],[id]]&amp;Tabla14[[#This Row],[Resposable]]</f>
        <v>27Ever Morales</v>
      </c>
      <c r="M772" t="s">
        <v>359</v>
      </c>
    </row>
    <row r="773" spans="1:13" x14ac:dyDescent="0.25">
      <c r="A773" s="8" t="s">
        <v>329</v>
      </c>
      <c r="B773" s="8">
        <v>27</v>
      </c>
      <c r="C773" s="13" t="s">
        <v>6</v>
      </c>
      <c r="D773" s="13" t="s">
        <v>266</v>
      </c>
      <c r="E773" s="13" t="s">
        <v>47</v>
      </c>
      <c r="F773" s="16" t="s">
        <v>60</v>
      </c>
      <c r="G773" s="13" t="s">
        <v>257</v>
      </c>
      <c r="H773" t="s">
        <v>359</v>
      </c>
      <c r="I773" t="s">
        <v>380</v>
      </c>
      <c r="J773" t="s">
        <v>360</v>
      </c>
      <c r="K773" t="str">
        <f>Tabla14[[#This Row],[id]]&amp;Tabla14[[#This Row],[Resposable]]</f>
        <v>27Ever Morales</v>
      </c>
      <c r="L773" t="str">
        <f>Tabla14[[#This Row],[id]]&amp;Tabla14[[#This Row],[Resposable]]</f>
        <v>27Ever Morales</v>
      </c>
      <c r="M773" t="s">
        <v>359</v>
      </c>
    </row>
    <row r="774" spans="1:13" x14ac:dyDescent="0.25">
      <c r="A774" s="8" t="s">
        <v>329</v>
      </c>
      <c r="B774" s="8">
        <v>27</v>
      </c>
      <c r="C774" s="8" t="s">
        <v>7</v>
      </c>
      <c r="D774" s="8" t="s">
        <v>267</v>
      </c>
      <c r="E774" s="8" t="s">
        <v>47</v>
      </c>
      <c r="F774" s="14" t="s">
        <v>71</v>
      </c>
      <c r="G774" s="8" t="s">
        <v>257</v>
      </c>
      <c r="H774" t="s">
        <v>359</v>
      </c>
      <c r="I774" t="s">
        <v>380</v>
      </c>
      <c r="J774" t="s">
        <v>360</v>
      </c>
      <c r="K774" t="str">
        <f>Tabla14[[#This Row],[id]]&amp;Tabla14[[#This Row],[Resposable]]</f>
        <v>27Ever Morales</v>
      </c>
      <c r="L774" t="str">
        <f>Tabla14[[#This Row],[id]]&amp;Tabla14[[#This Row],[Resposable]]</f>
        <v>27Ever Morales</v>
      </c>
      <c r="M774" t="s">
        <v>359</v>
      </c>
    </row>
    <row r="775" spans="1:13" x14ac:dyDescent="0.25">
      <c r="A775" s="8" t="s">
        <v>329</v>
      </c>
      <c r="B775" s="8">
        <v>27</v>
      </c>
      <c r="C775" s="13" t="s">
        <v>9</v>
      </c>
      <c r="D775" s="13" t="s">
        <v>268</v>
      </c>
      <c r="E775" s="13" t="s">
        <v>47</v>
      </c>
      <c r="F775" s="16" t="s">
        <v>184</v>
      </c>
      <c r="G775" s="13" t="s">
        <v>257</v>
      </c>
      <c r="H775" t="s">
        <v>359</v>
      </c>
      <c r="I775" t="s">
        <v>380</v>
      </c>
      <c r="J775" t="s">
        <v>360</v>
      </c>
      <c r="K775" t="str">
        <f>Tabla14[[#This Row],[id]]&amp;Tabla14[[#This Row],[Resposable]]</f>
        <v>27Ever Morales</v>
      </c>
      <c r="L775" t="str">
        <f>Tabla14[[#This Row],[id]]&amp;Tabla14[[#This Row],[Resposable]]</f>
        <v>27Ever Morales</v>
      </c>
      <c r="M775" t="s">
        <v>359</v>
      </c>
    </row>
    <row r="776" spans="1:13" x14ac:dyDescent="0.25">
      <c r="A776" s="8" t="s">
        <v>329</v>
      </c>
      <c r="B776" s="8">
        <v>27</v>
      </c>
      <c r="C776" s="8" t="s">
        <v>9</v>
      </c>
      <c r="D776" s="8" t="s">
        <v>269</v>
      </c>
      <c r="E776" s="8" t="s">
        <v>47</v>
      </c>
      <c r="F776" s="14" t="s">
        <v>184</v>
      </c>
      <c r="G776" s="8" t="s">
        <v>257</v>
      </c>
      <c r="H776" t="s">
        <v>359</v>
      </c>
      <c r="I776" t="s">
        <v>380</v>
      </c>
      <c r="J776" t="s">
        <v>360</v>
      </c>
      <c r="K776" t="str">
        <f>Tabla14[[#This Row],[id]]&amp;Tabla14[[#This Row],[Resposable]]</f>
        <v>27Ever Morales</v>
      </c>
      <c r="L776" t="str">
        <f>Tabla14[[#This Row],[id]]&amp;Tabla14[[#This Row],[Resposable]]</f>
        <v>27Ever Morales</v>
      </c>
      <c r="M776" t="s">
        <v>359</v>
      </c>
    </row>
    <row r="777" spans="1:13" x14ac:dyDescent="0.25">
      <c r="A777" s="8" t="s">
        <v>329</v>
      </c>
      <c r="B777" s="8">
        <v>27</v>
      </c>
      <c r="C777" s="13" t="s">
        <v>9</v>
      </c>
      <c r="D777" s="13" t="s">
        <v>270</v>
      </c>
      <c r="E777" s="13" t="s">
        <v>47</v>
      </c>
      <c r="F777" s="16" t="s">
        <v>184</v>
      </c>
      <c r="G777" s="13" t="s">
        <v>257</v>
      </c>
      <c r="H777" t="s">
        <v>359</v>
      </c>
      <c r="I777" t="s">
        <v>380</v>
      </c>
      <c r="J777" t="s">
        <v>360</v>
      </c>
      <c r="K777" t="str">
        <f>Tabla14[[#This Row],[id]]&amp;Tabla14[[#This Row],[Resposable]]</f>
        <v>27Ever Morales</v>
      </c>
      <c r="L777" t="str">
        <f>Tabla14[[#This Row],[id]]&amp;Tabla14[[#This Row],[Resposable]]</f>
        <v>27Ever Morales</v>
      </c>
      <c r="M777" t="s">
        <v>359</v>
      </c>
    </row>
    <row r="778" spans="1:13" x14ac:dyDescent="0.25">
      <c r="A778" s="8" t="s">
        <v>329</v>
      </c>
      <c r="B778" s="8">
        <v>27</v>
      </c>
      <c r="C778" s="8" t="s">
        <v>7</v>
      </c>
      <c r="D778" s="8" t="s">
        <v>271</v>
      </c>
      <c r="E778" s="8" t="s">
        <v>47</v>
      </c>
      <c r="F778" s="14" t="s">
        <v>71</v>
      </c>
      <c r="G778" s="8" t="s">
        <v>257</v>
      </c>
      <c r="H778" t="s">
        <v>359</v>
      </c>
      <c r="I778" t="s">
        <v>380</v>
      </c>
      <c r="J778" t="s">
        <v>360</v>
      </c>
      <c r="K778" t="str">
        <f>Tabla14[[#This Row],[id]]&amp;Tabla14[[#This Row],[Resposable]]</f>
        <v>27Ever Morales</v>
      </c>
      <c r="L778" t="str">
        <f>Tabla14[[#This Row],[id]]&amp;Tabla14[[#This Row],[Resposable]]</f>
        <v>27Ever Morales</v>
      </c>
      <c r="M778" t="s">
        <v>359</v>
      </c>
    </row>
    <row r="779" spans="1:13" x14ac:dyDescent="0.25">
      <c r="A779" s="8" t="s">
        <v>329</v>
      </c>
      <c r="B779" s="8">
        <v>27</v>
      </c>
      <c r="C779" s="13" t="s">
        <v>7</v>
      </c>
      <c r="D779" s="13" t="s">
        <v>272</v>
      </c>
      <c r="E779" s="13" t="s">
        <v>47</v>
      </c>
      <c r="F779" s="16" t="s">
        <v>71</v>
      </c>
      <c r="G779" s="13" t="s">
        <v>257</v>
      </c>
      <c r="H779" t="s">
        <v>359</v>
      </c>
      <c r="I779" t="s">
        <v>380</v>
      </c>
      <c r="J779" t="s">
        <v>360</v>
      </c>
      <c r="K779" t="str">
        <f>Tabla14[[#This Row],[id]]&amp;Tabla14[[#This Row],[Resposable]]</f>
        <v>27Ever Morales</v>
      </c>
      <c r="L779" t="str">
        <f>Tabla14[[#This Row],[id]]&amp;Tabla14[[#This Row],[Resposable]]</f>
        <v>27Ever Morales</v>
      </c>
      <c r="M779" t="s">
        <v>359</v>
      </c>
    </row>
    <row r="780" spans="1:13" x14ac:dyDescent="0.25">
      <c r="A780" s="8" t="s">
        <v>329</v>
      </c>
      <c r="B780" s="8">
        <v>27</v>
      </c>
      <c r="C780" s="8" t="s">
        <v>6</v>
      </c>
      <c r="D780" s="8" t="s">
        <v>273</v>
      </c>
      <c r="E780" s="8" t="s">
        <v>47</v>
      </c>
      <c r="F780" s="14" t="s">
        <v>60</v>
      </c>
      <c r="G780" s="8" t="s">
        <v>257</v>
      </c>
      <c r="H780" t="s">
        <v>359</v>
      </c>
      <c r="I780" t="s">
        <v>380</v>
      </c>
      <c r="J780" t="s">
        <v>360</v>
      </c>
      <c r="K780" t="str">
        <f>Tabla14[[#This Row],[id]]&amp;Tabla14[[#This Row],[Resposable]]</f>
        <v>27Ever Morales</v>
      </c>
      <c r="L780" t="str">
        <f>Tabla14[[#This Row],[id]]&amp;Tabla14[[#This Row],[Resposable]]</f>
        <v>27Ever Morales</v>
      </c>
      <c r="M780" t="s">
        <v>359</v>
      </c>
    </row>
    <row r="781" spans="1:13" x14ac:dyDescent="0.25">
      <c r="A781" s="8" t="s">
        <v>329</v>
      </c>
      <c r="B781" s="8">
        <v>27</v>
      </c>
      <c r="C781" s="13" t="s">
        <v>7</v>
      </c>
      <c r="D781" s="13" t="s">
        <v>274</v>
      </c>
      <c r="E781" s="13" t="s">
        <v>47</v>
      </c>
      <c r="F781" s="16" t="s">
        <v>71</v>
      </c>
      <c r="G781" s="13" t="s">
        <v>257</v>
      </c>
      <c r="H781" t="s">
        <v>359</v>
      </c>
      <c r="I781" t="s">
        <v>380</v>
      </c>
      <c r="J781" t="s">
        <v>360</v>
      </c>
      <c r="K781" t="str">
        <f>Tabla14[[#This Row],[id]]&amp;Tabla14[[#This Row],[Resposable]]</f>
        <v>27Ever Morales</v>
      </c>
      <c r="L781" t="str">
        <f>Tabla14[[#This Row],[id]]&amp;Tabla14[[#This Row],[Resposable]]</f>
        <v>27Ever Morales</v>
      </c>
      <c r="M781" t="s">
        <v>359</v>
      </c>
    </row>
    <row r="782" spans="1:13" x14ac:dyDescent="0.25">
      <c r="A782" s="8" t="s">
        <v>329</v>
      </c>
      <c r="B782" s="8">
        <v>27</v>
      </c>
      <c r="C782" s="8" t="s">
        <v>6</v>
      </c>
      <c r="D782" s="8" t="s">
        <v>275</v>
      </c>
      <c r="E782" s="8" t="s">
        <v>47</v>
      </c>
      <c r="F782" s="14" t="s">
        <v>60</v>
      </c>
      <c r="G782" s="8" t="s">
        <v>257</v>
      </c>
      <c r="H782" t="s">
        <v>359</v>
      </c>
      <c r="I782" t="s">
        <v>380</v>
      </c>
      <c r="J782" t="s">
        <v>360</v>
      </c>
      <c r="K782" t="str">
        <f>Tabla14[[#This Row],[id]]&amp;Tabla14[[#This Row],[Resposable]]</f>
        <v>27Ever Morales</v>
      </c>
      <c r="L782" t="str">
        <f>Tabla14[[#This Row],[id]]&amp;Tabla14[[#This Row],[Resposable]]</f>
        <v>27Ever Morales</v>
      </c>
      <c r="M782" t="s">
        <v>359</v>
      </c>
    </row>
    <row r="783" spans="1:13" x14ac:dyDescent="0.25">
      <c r="A783" s="8" t="s">
        <v>329</v>
      </c>
      <c r="B783" s="8">
        <v>27</v>
      </c>
      <c r="C783" s="13" t="s">
        <v>6</v>
      </c>
      <c r="D783" s="13" t="s">
        <v>276</v>
      </c>
      <c r="E783" s="13" t="s">
        <v>47</v>
      </c>
      <c r="F783" s="16" t="s">
        <v>60</v>
      </c>
      <c r="G783" s="13" t="s">
        <v>257</v>
      </c>
      <c r="H783" t="s">
        <v>359</v>
      </c>
      <c r="I783" t="s">
        <v>380</v>
      </c>
      <c r="J783" t="s">
        <v>360</v>
      </c>
      <c r="K783" t="str">
        <f>Tabla14[[#This Row],[id]]&amp;Tabla14[[#This Row],[Resposable]]</f>
        <v>27Ever Morales</v>
      </c>
      <c r="L783" t="str">
        <f>Tabla14[[#This Row],[id]]&amp;Tabla14[[#This Row],[Resposable]]</f>
        <v>27Ever Morales</v>
      </c>
      <c r="M783" t="s">
        <v>359</v>
      </c>
    </row>
    <row r="784" spans="1:13" x14ac:dyDescent="0.25">
      <c r="A784" s="8" t="s">
        <v>329</v>
      </c>
      <c r="B784" s="8">
        <v>27</v>
      </c>
      <c r="C784" s="8" t="s">
        <v>6</v>
      </c>
      <c r="D784" s="8" t="s">
        <v>277</v>
      </c>
      <c r="E784" s="8" t="s">
        <v>47</v>
      </c>
      <c r="F784" s="14" t="s">
        <v>60</v>
      </c>
      <c r="G784" s="8" t="s">
        <v>257</v>
      </c>
      <c r="H784" t="s">
        <v>359</v>
      </c>
      <c r="I784" t="s">
        <v>380</v>
      </c>
      <c r="J784" t="s">
        <v>360</v>
      </c>
      <c r="K784" t="str">
        <f>Tabla14[[#This Row],[id]]&amp;Tabla14[[#This Row],[Resposable]]</f>
        <v>27Ever Morales</v>
      </c>
      <c r="L784" t="str">
        <f>Tabla14[[#This Row],[id]]&amp;Tabla14[[#This Row],[Resposable]]</f>
        <v>27Ever Morales</v>
      </c>
      <c r="M784" t="s">
        <v>359</v>
      </c>
    </row>
    <row r="785" spans="1:13" x14ac:dyDescent="0.25">
      <c r="A785" s="8" t="s">
        <v>329</v>
      </c>
      <c r="B785" s="8">
        <v>27</v>
      </c>
      <c r="C785" s="13" t="s">
        <v>8</v>
      </c>
      <c r="D785" s="13" t="s">
        <v>278</v>
      </c>
      <c r="E785" s="13" t="s">
        <v>47</v>
      </c>
      <c r="F785" s="16" t="s">
        <v>60</v>
      </c>
      <c r="G785" s="13" t="s">
        <v>257</v>
      </c>
      <c r="H785" t="s">
        <v>359</v>
      </c>
      <c r="I785" t="s">
        <v>380</v>
      </c>
      <c r="J785" t="s">
        <v>360</v>
      </c>
      <c r="K785" t="str">
        <f>Tabla14[[#This Row],[id]]&amp;Tabla14[[#This Row],[Resposable]]</f>
        <v>27Ever Morales</v>
      </c>
      <c r="L785" t="str">
        <f>Tabla14[[#This Row],[id]]&amp;Tabla14[[#This Row],[Resposable]]</f>
        <v>27Ever Morales</v>
      </c>
      <c r="M785" t="s">
        <v>359</v>
      </c>
    </row>
    <row r="786" spans="1:13" x14ac:dyDescent="0.25">
      <c r="A786" s="8" t="s">
        <v>330</v>
      </c>
      <c r="B786" s="8">
        <v>28</v>
      </c>
      <c r="C786" s="8" t="s">
        <v>5</v>
      </c>
      <c r="D786" s="8" t="s">
        <v>265</v>
      </c>
      <c r="E786" s="8" t="s">
        <v>47</v>
      </c>
      <c r="F786" s="14" t="s">
        <v>184</v>
      </c>
      <c r="G786" s="8" t="s">
        <v>257</v>
      </c>
      <c r="H786" t="s">
        <v>359</v>
      </c>
      <c r="I786" t="s">
        <v>380</v>
      </c>
      <c r="J786" t="s">
        <v>360</v>
      </c>
      <c r="K786" t="str">
        <f>Tabla14[[#This Row],[id]]&amp;Tabla14[[#This Row],[Resposable]]</f>
        <v>28Ever Morales</v>
      </c>
      <c r="L786" t="str">
        <f>Tabla14[[#This Row],[id]]&amp;Tabla14[[#This Row],[Resposable]]</f>
        <v>28Ever Morales</v>
      </c>
      <c r="M786" t="s">
        <v>359</v>
      </c>
    </row>
    <row r="787" spans="1:13" x14ac:dyDescent="0.25">
      <c r="A787" s="8" t="s">
        <v>330</v>
      </c>
      <c r="B787" s="8">
        <v>28</v>
      </c>
      <c r="C787" s="13" t="s">
        <v>6</v>
      </c>
      <c r="D787" s="13" t="s">
        <v>266</v>
      </c>
      <c r="E787" s="13" t="s">
        <v>47</v>
      </c>
      <c r="F787" s="16" t="s">
        <v>60</v>
      </c>
      <c r="G787" s="13" t="s">
        <v>257</v>
      </c>
      <c r="H787" t="s">
        <v>359</v>
      </c>
      <c r="I787" t="s">
        <v>380</v>
      </c>
      <c r="J787" t="s">
        <v>360</v>
      </c>
      <c r="K787" t="str">
        <f>Tabla14[[#This Row],[id]]&amp;Tabla14[[#This Row],[Resposable]]</f>
        <v>28Ever Morales</v>
      </c>
      <c r="L787" t="str">
        <f>Tabla14[[#This Row],[id]]&amp;Tabla14[[#This Row],[Resposable]]</f>
        <v>28Ever Morales</v>
      </c>
      <c r="M787" t="s">
        <v>359</v>
      </c>
    </row>
    <row r="788" spans="1:13" x14ac:dyDescent="0.25">
      <c r="A788" s="8" t="s">
        <v>330</v>
      </c>
      <c r="B788" s="8">
        <v>28</v>
      </c>
      <c r="C788" s="8" t="s">
        <v>7</v>
      </c>
      <c r="D788" s="8" t="s">
        <v>267</v>
      </c>
      <c r="E788" s="8" t="s">
        <v>47</v>
      </c>
      <c r="F788" s="14" t="s">
        <v>71</v>
      </c>
      <c r="G788" s="8" t="s">
        <v>257</v>
      </c>
      <c r="H788" t="s">
        <v>359</v>
      </c>
      <c r="I788" t="s">
        <v>380</v>
      </c>
      <c r="J788" t="s">
        <v>360</v>
      </c>
      <c r="K788" t="str">
        <f>Tabla14[[#This Row],[id]]&amp;Tabla14[[#This Row],[Resposable]]</f>
        <v>28Ever Morales</v>
      </c>
      <c r="L788" t="str">
        <f>Tabla14[[#This Row],[id]]&amp;Tabla14[[#This Row],[Resposable]]</f>
        <v>28Ever Morales</v>
      </c>
      <c r="M788" t="s">
        <v>359</v>
      </c>
    </row>
    <row r="789" spans="1:13" x14ac:dyDescent="0.25">
      <c r="A789" s="8" t="s">
        <v>330</v>
      </c>
      <c r="B789" s="8">
        <v>28</v>
      </c>
      <c r="C789" s="13" t="s">
        <v>9</v>
      </c>
      <c r="D789" s="13" t="s">
        <v>268</v>
      </c>
      <c r="E789" s="13" t="s">
        <v>47</v>
      </c>
      <c r="F789" s="16" t="s">
        <v>184</v>
      </c>
      <c r="G789" s="13" t="s">
        <v>257</v>
      </c>
      <c r="H789" t="s">
        <v>359</v>
      </c>
      <c r="I789" t="s">
        <v>380</v>
      </c>
      <c r="J789" t="s">
        <v>360</v>
      </c>
      <c r="K789" t="str">
        <f>Tabla14[[#This Row],[id]]&amp;Tabla14[[#This Row],[Resposable]]</f>
        <v>28Ever Morales</v>
      </c>
      <c r="L789" t="str">
        <f>Tabla14[[#This Row],[id]]&amp;Tabla14[[#This Row],[Resposable]]</f>
        <v>28Ever Morales</v>
      </c>
      <c r="M789" t="s">
        <v>359</v>
      </c>
    </row>
    <row r="790" spans="1:13" x14ac:dyDescent="0.25">
      <c r="A790" s="8" t="s">
        <v>330</v>
      </c>
      <c r="B790" s="8">
        <v>28</v>
      </c>
      <c r="C790" s="8" t="s">
        <v>9</v>
      </c>
      <c r="D790" s="8" t="s">
        <v>269</v>
      </c>
      <c r="E790" s="8" t="s">
        <v>47</v>
      </c>
      <c r="F790" s="14" t="s">
        <v>184</v>
      </c>
      <c r="G790" s="8" t="s">
        <v>257</v>
      </c>
      <c r="H790" t="s">
        <v>359</v>
      </c>
      <c r="I790" t="s">
        <v>380</v>
      </c>
      <c r="J790" t="s">
        <v>360</v>
      </c>
      <c r="K790" t="str">
        <f>Tabla14[[#This Row],[id]]&amp;Tabla14[[#This Row],[Resposable]]</f>
        <v>28Ever Morales</v>
      </c>
      <c r="L790" t="str">
        <f>Tabla14[[#This Row],[id]]&amp;Tabla14[[#This Row],[Resposable]]</f>
        <v>28Ever Morales</v>
      </c>
      <c r="M790" t="s">
        <v>359</v>
      </c>
    </row>
    <row r="791" spans="1:13" x14ac:dyDescent="0.25">
      <c r="A791" s="8" t="s">
        <v>330</v>
      </c>
      <c r="B791" s="8">
        <v>28</v>
      </c>
      <c r="C791" s="13" t="s">
        <v>9</v>
      </c>
      <c r="D791" s="13" t="s">
        <v>270</v>
      </c>
      <c r="E791" s="13" t="s">
        <v>47</v>
      </c>
      <c r="F791" s="16" t="s">
        <v>184</v>
      </c>
      <c r="G791" s="13" t="s">
        <v>257</v>
      </c>
      <c r="H791" t="s">
        <v>359</v>
      </c>
      <c r="I791" t="s">
        <v>380</v>
      </c>
      <c r="J791" t="s">
        <v>360</v>
      </c>
      <c r="K791" t="str">
        <f>Tabla14[[#This Row],[id]]&amp;Tabla14[[#This Row],[Resposable]]</f>
        <v>28Ever Morales</v>
      </c>
      <c r="L791" t="str">
        <f>Tabla14[[#This Row],[id]]&amp;Tabla14[[#This Row],[Resposable]]</f>
        <v>28Ever Morales</v>
      </c>
      <c r="M791" t="s">
        <v>359</v>
      </c>
    </row>
    <row r="792" spans="1:13" x14ac:dyDescent="0.25">
      <c r="A792" s="8" t="s">
        <v>330</v>
      </c>
      <c r="B792" s="8">
        <v>28</v>
      </c>
      <c r="C792" s="8" t="s">
        <v>7</v>
      </c>
      <c r="D792" s="8" t="s">
        <v>271</v>
      </c>
      <c r="E792" s="8" t="s">
        <v>47</v>
      </c>
      <c r="F792" s="14" t="s">
        <v>71</v>
      </c>
      <c r="G792" s="8" t="s">
        <v>257</v>
      </c>
      <c r="H792" t="s">
        <v>359</v>
      </c>
      <c r="I792" t="s">
        <v>380</v>
      </c>
      <c r="J792" t="s">
        <v>360</v>
      </c>
      <c r="K792" t="str">
        <f>Tabla14[[#This Row],[id]]&amp;Tabla14[[#This Row],[Resposable]]</f>
        <v>28Ever Morales</v>
      </c>
      <c r="L792" t="str">
        <f>Tabla14[[#This Row],[id]]&amp;Tabla14[[#This Row],[Resposable]]</f>
        <v>28Ever Morales</v>
      </c>
      <c r="M792" t="s">
        <v>359</v>
      </c>
    </row>
    <row r="793" spans="1:13" x14ac:dyDescent="0.25">
      <c r="A793" s="8" t="s">
        <v>330</v>
      </c>
      <c r="B793" s="8">
        <v>28</v>
      </c>
      <c r="C793" s="13" t="s">
        <v>7</v>
      </c>
      <c r="D793" s="13" t="s">
        <v>272</v>
      </c>
      <c r="E793" s="13" t="s">
        <v>47</v>
      </c>
      <c r="F793" s="16" t="s">
        <v>71</v>
      </c>
      <c r="G793" s="13" t="s">
        <v>257</v>
      </c>
      <c r="H793" t="s">
        <v>359</v>
      </c>
      <c r="I793" t="s">
        <v>380</v>
      </c>
      <c r="J793" t="s">
        <v>360</v>
      </c>
      <c r="K793" t="str">
        <f>Tabla14[[#This Row],[id]]&amp;Tabla14[[#This Row],[Resposable]]</f>
        <v>28Ever Morales</v>
      </c>
      <c r="L793" t="str">
        <f>Tabla14[[#This Row],[id]]&amp;Tabla14[[#This Row],[Resposable]]</f>
        <v>28Ever Morales</v>
      </c>
      <c r="M793" t="s">
        <v>359</v>
      </c>
    </row>
    <row r="794" spans="1:13" x14ac:dyDescent="0.25">
      <c r="A794" s="8" t="s">
        <v>330</v>
      </c>
      <c r="B794" s="8">
        <v>28</v>
      </c>
      <c r="C794" s="8" t="s">
        <v>6</v>
      </c>
      <c r="D794" s="8" t="s">
        <v>273</v>
      </c>
      <c r="E794" s="8" t="s">
        <v>47</v>
      </c>
      <c r="F794" s="14" t="s">
        <v>60</v>
      </c>
      <c r="G794" s="8" t="s">
        <v>257</v>
      </c>
      <c r="H794" t="s">
        <v>359</v>
      </c>
      <c r="I794" t="s">
        <v>380</v>
      </c>
      <c r="J794" t="s">
        <v>360</v>
      </c>
      <c r="K794" t="str">
        <f>Tabla14[[#This Row],[id]]&amp;Tabla14[[#This Row],[Resposable]]</f>
        <v>28Ever Morales</v>
      </c>
      <c r="L794" t="str">
        <f>Tabla14[[#This Row],[id]]&amp;Tabla14[[#This Row],[Resposable]]</f>
        <v>28Ever Morales</v>
      </c>
      <c r="M794" t="s">
        <v>359</v>
      </c>
    </row>
    <row r="795" spans="1:13" x14ac:dyDescent="0.25">
      <c r="A795" s="8" t="s">
        <v>330</v>
      </c>
      <c r="B795" s="8">
        <v>28</v>
      </c>
      <c r="C795" s="13" t="s">
        <v>7</v>
      </c>
      <c r="D795" s="13" t="s">
        <v>274</v>
      </c>
      <c r="E795" s="13" t="s">
        <v>47</v>
      </c>
      <c r="F795" s="16" t="s">
        <v>71</v>
      </c>
      <c r="G795" s="13" t="s">
        <v>257</v>
      </c>
      <c r="H795" t="s">
        <v>359</v>
      </c>
      <c r="I795" t="s">
        <v>380</v>
      </c>
      <c r="J795" t="s">
        <v>360</v>
      </c>
      <c r="K795" t="str">
        <f>Tabla14[[#This Row],[id]]&amp;Tabla14[[#This Row],[Resposable]]</f>
        <v>28Ever Morales</v>
      </c>
      <c r="L795" t="str">
        <f>Tabla14[[#This Row],[id]]&amp;Tabla14[[#This Row],[Resposable]]</f>
        <v>28Ever Morales</v>
      </c>
      <c r="M795" t="s">
        <v>359</v>
      </c>
    </row>
    <row r="796" spans="1:13" x14ac:dyDescent="0.25">
      <c r="A796" s="8" t="s">
        <v>330</v>
      </c>
      <c r="B796" s="8">
        <v>28</v>
      </c>
      <c r="C796" s="8" t="s">
        <v>6</v>
      </c>
      <c r="D796" s="8" t="s">
        <v>275</v>
      </c>
      <c r="E796" s="8" t="s">
        <v>47</v>
      </c>
      <c r="F796" s="14" t="s">
        <v>60</v>
      </c>
      <c r="G796" s="8" t="s">
        <v>257</v>
      </c>
      <c r="H796" t="s">
        <v>359</v>
      </c>
      <c r="I796" t="s">
        <v>380</v>
      </c>
      <c r="J796" t="s">
        <v>360</v>
      </c>
      <c r="K796" t="str">
        <f>Tabla14[[#This Row],[id]]&amp;Tabla14[[#This Row],[Resposable]]</f>
        <v>28Ever Morales</v>
      </c>
      <c r="L796" t="str">
        <f>Tabla14[[#This Row],[id]]&amp;Tabla14[[#This Row],[Resposable]]</f>
        <v>28Ever Morales</v>
      </c>
      <c r="M796" t="s">
        <v>359</v>
      </c>
    </row>
    <row r="797" spans="1:13" x14ac:dyDescent="0.25">
      <c r="A797" s="8" t="s">
        <v>330</v>
      </c>
      <c r="B797" s="8">
        <v>28</v>
      </c>
      <c r="C797" s="13" t="s">
        <v>6</v>
      </c>
      <c r="D797" s="13" t="s">
        <v>276</v>
      </c>
      <c r="E797" s="13" t="s">
        <v>47</v>
      </c>
      <c r="F797" s="16" t="s">
        <v>60</v>
      </c>
      <c r="G797" s="13" t="s">
        <v>257</v>
      </c>
      <c r="H797" t="s">
        <v>359</v>
      </c>
      <c r="I797" t="s">
        <v>380</v>
      </c>
      <c r="J797" t="s">
        <v>360</v>
      </c>
      <c r="K797" t="str">
        <f>Tabla14[[#This Row],[id]]&amp;Tabla14[[#This Row],[Resposable]]</f>
        <v>28Ever Morales</v>
      </c>
      <c r="L797" t="str">
        <f>Tabla14[[#This Row],[id]]&amp;Tabla14[[#This Row],[Resposable]]</f>
        <v>28Ever Morales</v>
      </c>
      <c r="M797" t="s">
        <v>359</v>
      </c>
    </row>
    <row r="798" spans="1:13" x14ac:dyDescent="0.25">
      <c r="A798" s="8" t="s">
        <v>330</v>
      </c>
      <c r="B798" s="8">
        <v>28</v>
      </c>
      <c r="C798" s="8" t="s">
        <v>6</v>
      </c>
      <c r="D798" s="8" t="s">
        <v>277</v>
      </c>
      <c r="E798" s="8" t="s">
        <v>47</v>
      </c>
      <c r="F798" s="14" t="s">
        <v>60</v>
      </c>
      <c r="G798" s="8" t="s">
        <v>257</v>
      </c>
      <c r="H798" t="s">
        <v>359</v>
      </c>
      <c r="I798" t="s">
        <v>380</v>
      </c>
      <c r="J798" t="s">
        <v>360</v>
      </c>
      <c r="K798" t="str">
        <f>Tabla14[[#This Row],[id]]&amp;Tabla14[[#This Row],[Resposable]]</f>
        <v>28Ever Morales</v>
      </c>
      <c r="L798" t="str">
        <f>Tabla14[[#This Row],[id]]&amp;Tabla14[[#This Row],[Resposable]]</f>
        <v>28Ever Morales</v>
      </c>
      <c r="M798" t="s">
        <v>359</v>
      </c>
    </row>
    <row r="799" spans="1:13" x14ac:dyDescent="0.25">
      <c r="A799" s="8" t="s">
        <v>330</v>
      </c>
      <c r="B799" s="8">
        <v>28</v>
      </c>
      <c r="C799" s="13" t="s">
        <v>8</v>
      </c>
      <c r="D799" s="13" t="s">
        <v>278</v>
      </c>
      <c r="E799" s="13" t="s">
        <v>47</v>
      </c>
      <c r="F799" s="16" t="s">
        <v>60</v>
      </c>
      <c r="G799" s="13" t="s">
        <v>257</v>
      </c>
      <c r="H799" t="s">
        <v>359</v>
      </c>
      <c r="I799" t="s">
        <v>380</v>
      </c>
      <c r="J799" t="s">
        <v>360</v>
      </c>
      <c r="K799" t="str">
        <f>Tabla14[[#This Row],[id]]&amp;Tabla14[[#This Row],[Resposable]]</f>
        <v>28Ever Morales</v>
      </c>
      <c r="L799" t="str">
        <f>Tabla14[[#This Row],[id]]&amp;Tabla14[[#This Row],[Resposable]]</f>
        <v>28Ever Morales</v>
      </c>
      <c r="M799" t="s">
        <v>359</v>
      </c>
    </row>
    <row r="800" spans="1:13" x14ac:dyDescent="0.25">
      <c r="A800" s="8" t="s">
        <v>331</v>
      </c>
      <c r="B800" s="8">
        <v>29</v>
      </c>
      <c r="C800" s="8" t="s">
        <v>5</v>
      </c>
      <c r="D800" s="8" t="s">
        <v>265</v>
      </c>
      <c r="E800" s="8" t="s">
        <v>47</v>
      </c>
      <c r="F800" s="14" t="s">
        <v>184</v>
      </c>
      <c r="G800" s="8" t="s">
        <v>257</v>
      </c>
      <c r="H800" t="s">
        <v>359</v>
      </c>
      <c r="I800" t="s">
        <v>380</v>
      </c>
      <c r="J800" t="s">
        <v>360</v>
      </c>
      <c r="K800" t="str">
        <f>Tabla14[[#This Row],[id]]&amp;Tabla14[[#This Row],[Resposable]]</f>
        <v>29Ever Morales</v>
      </c>
      <c r="L800" t="str">
        <f>Tabla14[[#This Row],[id]]&amp;Tabla14[[#This Row],[Resposable]]</f>
        <v>29Ever Morales</v>
      </c>
      <c r="M800" t="s">
        <v>359</v>
      </c>
    </row>
    <row r="801" spans="1:13" x14ac:dyDescent="0.25">
      <c r="A801" s="8" t="s">
        <v>331</v>
      </c>
      <c r="B801" s="8">
        <v>29</v>
      </c>
      <c r="C801" s="13" t="s">
        <v>6</v>
      </c>
      <c r="D801" s="13" t="s">
        <v>266</v>
      </c>
      <c r="E801" s="13" t="s">
        <v>47</v>
      </c>
      <c r="F801" s="16" t="s">
        <v>60</v>
      </c>
      <c r="G801" s="13" t="s">
        <v>257</v>
      </c>
      <c r="H801" t="s">
        <v>359</v>
      </c>
      <c r="I801" t="s">
        <v>380</v>
      </c>
      <c r="J801" t="s">
        <v>360</v>
      </c>
      <c r="K801" t="str">
        <f>Tabla14[[#This Row],[id]]&amp;Tabla14[[#This Row],[Resposable]]</f>
        <v>29Ever Morales</v>
      </c>
      <c r="L801" t="str">
        <f>Tabla14[[#This Row],[id]]&amp;Tabla14[[#This Row],[Resposable]]</f>
        <v>29Ever Morales</v>
      </c>
      <c r="M801" t="s">
        <v>359</v>
      </c>
    </row>
    <row r="802" spans="1:13" x14ac:dyDescent="0.25">
      <c r="A802" s="8" t="s">
        <v>331</v>
      </c>
      <c r="B802" s="8">
        <v>29</v>
      </c>
      <c r="C802" s="8" t="s">
        <v>7</v>
      </c>
      <c r="D802" s="8" t="s">
        <v>267</v>
      </c>
      <c r="E802" s="8" t="s">
        <v>47</v>
      </c>
      <c r="F802" s="14" t="s">
        <v>71</v>
      </c>
      <c r="G802" s="8" t="s">
        <v>257</v>
      </c>
      <c r="H802" t="s">
        <v>359</v>
      </c>
      <c r="I802" t="s">
        <v>380</v>
      </c>
      <c r="J802" t="s">
        <v>360</v>
      </c>
      <c r="K802" t="str">
        <f>Tabla14[[#This Row],[id]]&amp;Tabla14[[#This Row],[Resposable]]</f>
        <v>29Ever Morales</v>
      </c>
      <c r="L802" t="str">
        <f>Tabla14[[#This Row],[id]]&amp;Tabla14[[#This Row],[Resposable]]</f>
        <v>29Ever Morales</v>
      </c>
      <c r="M802" t="s">
        <v>359</v>
      </c>
    </row>
    <row r="803" spans="1:13" x14ac:dyDescent="0.25">
      <c r="A803" s="8" t="s">
        <v>331</v>
      </c>
      <c r="B803" s="8">
        <v>29</v>
      </c>
      <c r="C803" s="13" t="s">
        <v>9</v>
      </c>
      <c r="D803" s="13" t="s">
        <v>268</v>
      </c>
      <c r="E803" s="13" t="s">
        <v>47</v>
      </c>
      <c r="F803" s="16" t="s">
        <v>184</v>
      </c>
      <c r="G803" s="13" t="s">
        <v>257</v>
      </c>
      <c r="H803" t="s">
        <v>359</v>
      </c>
      <c r="I803" t="s">
        <v>380</v>
      </c>
      <c r="J803" t="s">
        <v>360</v>
      </c>
      <c r="K803" t="str">
        <f>Tabla14[[#This Row],[id]]&amp;Tabla14[[#This Row],[Resposable]]</f>
        <v>29Ever Morales</v>
      </c>
      <c r="L803" t="str">
        <f>Tabla14[[#This Row],[id]]&amp;Tabla14[[#This Row],[Resposable]]</f>
        <v>29Ever Morales</v>
      </c>
      <c r="M803" t="s">
        <v>359</v>
      </c>
    </row>
    <row r="804" spans="1:13" x14ac:dyDescent="0.25">
      <c r="A804" s="8" t="s">
        <v>331</v>
      </c>
      <c r="B804" s="8">
        <v>29</v>
      </c>
      <c r="C804" s="8" t="s">
        <v>9</v>
      </c>
      <c r="D804" s="8" t="s">
        <v>269</v>
      </c>
      <c r="E804" s="8" t="s">
        <v>47</v>
      </c>
      <c r="F804" s="14" t="s">
        <v>184</v>
      </c>
      <c r="G804" s="8" t="s">
        <v>257</v>
      </c>
      <c r="H804" t="s">
        <v>359</v>
      </c>
      <c r="I804" t="s">
        <v>380</v>
      </c>
      <c r="J804" t="s">
        <v>360</v>
      </c>
      <c r="K804" t="str">
        <f>Tabla14[[#This Row],[id]]&amp;Tabla14[[#This Row],[Resposable]]</f>
        <v>29Ever Morales</v>
      </c>
      <c r="L804" t="str">
        <f>Tabla14[[#This Row],[id]]&amp;Tabla14[[#This Row],[Resposable]]</f>
        <v>29Ever Morales</v>
      </c>
      <c r="M804" t="s">
        <v>359</v>
      </c>
    </row>
    <row r="805" spans="1:13" x14ac:dyDescent="0.25">
      <c r="A805" s="8" t="s">
        <v>331</v>
      </c>
      <c r="B805" s="8">
        <v>29</v>
      </c>
      <c r="C805" s="13" t="s">
        <v>9</v>
      </c>
      <c r="D805" s="13" t="s">
        <v>270</v>
      </c>
      <c r="E805" s="13" t="s">
        <v>47</v>
      </c>
      <c r="F805" s="16" t="s">
        <v>184</v>
      </c>
      <c r="G805" s="13" t="s">
        <v>257</v>
      </c>
      <c r="H805" t="s">
        <v>359</v>
      </c>
      <c r="I805" t="s">
        <v>380</v>
      </c>
      <c r="J805" t="s">
        <v>360</v>
      </c>
      <c r="K805" t="str">
        <f>Tabla14[[#This Row],[id]]&amp;Tabla14[[#This Row],[Resposable]]</f>
        <v>29Ever Morales</v>
      </c>
      <c r="L805" t="str">
        <f>Tabla14[[#This Row],[id]]&amp;Tabla14[[#This Row],[Resposable]]</f>
        <v>29Ever Morales</v>
      </c>
      <c r="M805" t="s">
        <v>359</v>
      </c>
    </row>
    <row r="806" spans="1:13" x14ac:dyDescent="0.25">
      <c r="A806" s="8" t="s">
        <v>331</v>
      </c>
      <c r="B806" s="8">
        <v>29</v>
      </c>
      <c r="C806" s="8" t="s">
        <v>7</v>
      </c>
      <c r="D806" s="8" t="s">
        <v>271</v>
      </c>
      <c r="E806" s="8" t="s">
        <v>47</v>
      </c>
      <c r="F806" s="14" t="s">
        <v>71</v>
      </c>
      <c r="G806" s="8" t="s">
        <v>257</v>
      </c>
      <c r="H806" t="s">
        <v>359</v>
      </c>
      <c r="I806" t="s">
        <v>380</v>
      </c>
      <c r="J806" t="s">
        <v>360</v>
      </c>
      <c r="K806" t="str">
        <f>Tabla14[[#This Row],[id]]&amp;Tabla14[[#This Row],[Resposable]]</f>
        <v>29Ever Morales</v>
      </c>
      <c r="L806" t="str">
        <f>Tabla14[[#This Row],[id]]&amp;Tabla14[[#This Row],[Resposable]]</f>
        <v>29Ever Morales</v>
      </c>
      <c r="M806" t="s">
        <v>359</v>
      </c>
    </row>
    <row r="807" spans="1:13" x14ac:dyDescent="0.25">
      <c r="A807" s="8" t="s">
        <v>331</v>
      </c>
      <c r="B807" s="8">
        <v>29</v>
      </c>
      <c r="C807" s="13" t="s">
        <v>7</v>
      </c>
      <c r="D807" s="13" t="s">
        <v>272</v>
      </c>
      <c r="E807" s="13" t="s">
        <v>47</v>
      </c>
      <c r="F807" s="16" t="s">
        <v>71</v>
      </c>
      <c r="G807" s="13" t="s">
        <v>257</v>
      </c>
      <c r="H807" t="s">
        <v>359</v>
      </c>
      <c r="I807" t="s">
        <v>380</v>
      </c>
      <c r="J807" t="s">
        <v>360</v>
      </c>
      <c r="K807" t="str">
        <f>Tabla14[[#This Row],[id]]&amp;Tabla14[[#This Row],[Resposable]]</f>
        <v>29Ever Morales</v>
      </c>
      <c r="L807" t="str">
        <f>Tabla14[[#This Row],[id]]&amp;Tabla14[[#This Row],[Resposable]]</f>
        <v>29Ever Morales</v>
      </c>
      <c r="M807" t="s">
        <v>359</v>
      </c>
    </row>
    <row r="808" spans="1:13" x14ac:dyDescent="0.25">
      <c r="A808" s="8" t="s">
        <v>331</v>
      </c>
      <c r="B808" s="8">
        <v>29</v>
      </c>
      <c r="C808" s="8" t="s">
        <v>6</v>
      </c>
      <c r="D808" s="8" t="s">
        <v>273</v>
      </c>
      <c r="E808" s="8" t="s">
        <v>47</v>
      </c>
      <c r="F808" s="14" t="s">
        <v>60</v>
      </c>
      <c r="G808" s="8" t="s">
        <v>257</v>
      </c>
      <c r="H808" t="s">
        <v>359</v>
      </c>
      <c r="I808" t="s">
        <v>380</v>
      </c>
      <c r="J808" t="s">
        <v>360</v>
      </c>
      <c r="K808" t="str">
        <f>Tabla14[[#This Row],[id]]&amp;Tabla14[[#This Row],[Resposable]]</f>
        <v>29Ever Morales</v>
      </c>
      <c r="L808" t="str">
        <f>Tabla14[[#This Row],[id]]&amp;Tabla14[[#This Row],[Resposable]]</f>
        <v>29Ever Morales</v>
      </c>
      <c r="M808" t="s">
        <v>359</v>
      </c>
    </row>
    <row r="809" spans="1:13" x14ac:dyDescent="0.25">
      <c r="A809" s="8" t="s">
        <v>331</v>
      </c>
      <c r="B809" s="8">
        <v>29</v>
      </c>
      <c r="C809" s="13" t="s">
        <v>7</v>
      </c>
      <c r="D809" s="13" t="s">
        <v>274</v>
      </c>
      <c r="E809" s="13" t="s">
        <v>47</v>
      </c>
      <c r="F809" s="16" t="s">
        <v>71</v>
      </c>
      <c r="G809" s="13" t="s">
        <v>257</v>
      </c>
      <c r="H809" t="s">
        <v>359</v>
      </c>
      <c r="I809" t="s">
        <v>380</v>
      </c>
      <c r="J809" t="s">
        <v>360</v>
      </c>
      <c r="K809" t="str">
        <f>Tabla14[[#This Row],[id]]&amp;Tabla14[[#This Row],[Resposable]]</f>
        <v>29Ever Morales</v>
      </c>
      <c r="L809" t="str">
        <f>Tabla14[[#This Row],[id]]&amp;Tabla14[[#This Row],[Resposable]]</f>
        <v>29Ever Morales</v>
      </c>
      <c r="M809" t="s">
        <v>359</v>
      </c>
    </row>
    <row r="810" spans="1:13" x14ac:dyDescent="0.25">
      <c r="A810" s="8" t="s">
        <v>331</v>
      </c>
      <c r="B810" s="8">
        <v>29</v>
      </c>
      <c r="C810" s="8" t="s">
        <v>6</v>
      </c>
      <c r="D810" s="8" t="s">
        <v>275</v>
      </c>
      <c r="E810" s="8" t="s">
        <v>47</v>
      </c>
      <c r="F810" s="14" t="s">
        <v>60</v>
      </c>
      <c r="G810" s="8" t="s">
        <v>257</v>
      </c>
      <c r="H810" t="s">
        <v>359</v>
      </c>
      <c r="I810" t="s">
        <v>380</v>
      </c>
      <c r="J810" t="s">
        <v>360</v>
      </c>
      <c r="K810" t="str">
        <f>Tabla14[[#This Row],[id]]&amp;Tabla14[[#This Row],[Resposable]]</f>
        <v>29Ever Morales</v>
      </c>
      <c r="L810" t="str">
        <f>Tabla14[[#This Row],[id]]&amp;Tabla14[[#This Row],[Resposable]]</f>
        <v>29Ever Morales</v>
      </c>
      <c r="M810" t="s">
        <v>359</v>
      </c>
    </row>
    <row r="811" spans="1:13" x14ac:dyDescent="0.25">
      <c r="A811" s="8" t="s">
        <v>331</v>
      </c>
      <c r="B811" s="8">
        <v>29</v>
      </c>
      <c r="C811" s="13" t="s">
        <v>6</v>
      </c>
      <c r="D811" s="13" t="s">
        <v>276</v>
      </c>
      <c r="E811" s="13" t="s">
        <v>47</v>
      </c>
      <c r="F811" s="16" t="s">
        <v>60</v>
      </c>
      <c r="G811" s="13" t="s">
        <v>257</v>
      </c>
      <c r="H811" t="s">
        <v>359</v>
      </c>
      <c r="I811" t="s">
        <v>380</v>
      </c>
      <c r="J811" t="s">
        <v>360</v>
      </c>
      <c r="K811" t="str">
        <f>Tabla14[[#This Row],[id]]&amp;Tabla14[[#This Row],[Resposable]]</f>
        <v>29Ever Morales</v>
      </c>
      <c r="L811" t="str">
        <f>Tabla14[[#This Row],[id]]&amp;Tabla14[[#This Row],[Resposable]]</f>
        <v>29Ever Morales</v>
      </c>
      <c r="M811" t="s">
        <v>359</v>
      </c>
    </row>
    <row r="812" spans="1:13" x14ac:dyDescent="0.25">
      <c r="A812" s="8" t="s">
        <v>331</v>
      </c>
      <c r="B812" s="8">
        <v>29</v>
      </c>
      <c r="C812" s="8" t="s">
        <v>6</v>
      </c>
      <c r="D812" s="8" t="s">
        <v>277</v>
      </c>
      <c r="E812" s="8" t="s">
        <v>47</v>
      </c>
      <c r="F812" s="14" t="s">
        <v>60</v>
      </c>
      <c r="G812" s="8" t="s">
        <v>257</v>
      </c>
      <c r="H812" t="s">
        <v>359</v>
      </c>
      <c r="I812" t="s">
        <v>380</v>
      </c>
      <c r="J812" t="s">
        <v>360</v>
      </c>
      <c r="K812" t="str">
        <f>Tabla14[[#This Row],[id]]&amp;Tabla14[[#This Row],[Resposable]]</f>
        <v>29Ever Morales</v>
      </c>
      <c r="L812" t="str">
        <f>Tabla14[[#This Row],[id]]&amp;Tabla14[[#This Row],[Resposable]]</f>
        <v>29Ever Morales</v>
      </c>
      <c r="M812" t="s">
        <v>359</v>
      </c>
    </row>
    <row r="813" spans="1:13" x14ac:dyDescent="0.25">
      <c r="A813" s="8" t="s">
        <v>331</v>
      </c>
      <c r="B813" s="8">
        <v>29</v>
      </c>
      <c r="C813" s="13" t="s">
        <v>8</v>
      </c>
      <c r="D813" s="13" t="s">
        <v>278</v>
      </c>
      <c r="E813" s="13" t="s">
        <v>47</v>
      </c>
      <c r="F813" s="16" t="s">
        <v>60</v>
      </c>
      <c r="G813" s="13" t="s">
        <v>257</v>
      </c>
      <c r="H813" t="s">
        <v>359</v>
      </c>
      <c r="I813" t="s">
        <v>380</v>
      </c>
      <c r="J813" t="s">
        <v>360</v>
      </c>
      <c r="K813" t="str">
        <f>Tabla14[[#This Row],[id]]&amp;Tabla14[[#This Row],[Resposable]]</f>
        <v>29Ever Morales</v>
      </c>
      <c r="L813" t="str">
        <f>Tabla14[[#This Row],[id]]&amp;Tabla14[[#This Row],[Resposable]]</f>
        <v>29Ever Morales</v>
      </c>
      <c r="M813" t="s">
        <v>359</v>
      </c>
    </row>
    <row r="814" spans="1:13" x14ac:dyDescent="0.25">
      <c r="A814" s="8" t="s">
        <v>332</v>
      </c>
      <c r="B814" s="8">
        <v>30</v>
      </c>
      <c r="C814" s="8" t="s">
        <v>5</v>
      </c>
      <c r="D814" s="8" t="s">
        <v>265</v>
      </c>
      <c r="E814" s="8" t="s">
        <v>47</v>
      </c>
      <c r="F814" s="14" t="s">
        <v>184</v>
      </c>
      <c r="G814" s="8" t="s">
        <v>257</v>
      </c>
      <c r="H814" t="s">
        <v>359</v>
      </c>
      <c r="I814" t="s">
        <v>380</v>
      </c>
      <c r="J814" t="s">
        <v>360</v>
      </c>
      <c r="K814" t="str">
        <f>Tabla14[[#This Row],[id]]&amp;Tabla14[[#This Row],[Resposable]]</f>
        <v>30Ever Morales</v>
      </c>
      <c r="L814" t="str">
        <f>Tabla14[[#This Row],[id]]&amp;Tabla14[[#This Row],[Resposable]]</f>
        <v>30Ever Morales</v>
      </c>
      <c r="M814" t="s">
        <v>359</v>
      </c>
    </row>
    <row r="815" spans="1:13" x14ac:dyDescent="0.25">
      <c r="A815" s="8" t="s">
        <v>332</v>
      </c>
      <c r="B815" s="8">
        <v>30</v>
      </c>
      <c r="C815" s="13" t="s">
        <v>6</v>
      </c>
      <c r="D815" s="13" t="s">
        <v>266</v>
      </c>
      <c r="E815" s="13" t="s">
        <v>47</v>
      </c>
      <c r="F815" s="16" t="s">
        <v>60</v>
      </c>
      <c r="G815" s="13" t="s">
        <v>257</v>
      </c>
      <c r="H815" t="s">
        <v>359</v>
      </c>
      <c r="I815" t="s">
        <v>380</v>
      </c>
      <c r="J815" t="s">
        <v>360</v>
      </c>
      <c r="K815" t="str">
        <f>Tabla14[[#This Row],[id]]&amp;Tabla14[[#This Row],[Resposable]]</f>
        <v>30Ever Morales</v>
      </c>
      <c r="L815" t="str">
        <f>Tabla14[[#This Row],[id]]&amp;Tabla14[[#This Row],[Resposable]]</f>
        <v>30Ever Morales</v>
      </c>
      <c r="M815" t="s">
        <v>359</v>
      </c>
    </row>
    <row r="816" spans="1:13" x14ac:dyDescent="0.25">
      <c r="A816" s="8" t="s">
        <v>332</v>
      </c>
      <c r="B816" s="8">
        <v>30</v>
      </c>
      <c r="C816" s="8" t="s">
        <v>7</v>
      </c>
      <c r="D816" s="8" t="s">
        <v>267</v>
      </c>
      <c r="E816" s="8" t="s">
        <v>47</v>
      </c>
      <c r="F816" s="14" t="s">
        <v>71</v>
      </c>
      <c r="G816" s="8" t="s">
        <v>257</v>
      </c>
      <c r="H816" t="s">
        <v>359</v>
      </c>
      <c r="I816" t="s">
        <v>380</v>
      </c>
      <c r="J816" t="s">
        <v>360</v>
      </c>
      <c r="K816" t="str">
        <f>Tabla14[[#This Row],[id]]&amp;Tabla14[[#This Row],[Resposable]]</f>
        <v>30Ever Morales</v>
      </c>
      <c r="L816" t="str">
        <f>Tabla14[[#This Row],[id]]&amp;Tabla14[[#This Row],[Resposable]]</f>
        <v>30Ever Morales</v>
      </c>
      <c r="M816" t="s">
        <v>359</v>
      </c>
    </row>
    <row r="817" spans="1:13" x14ac:dyDescent="0.25">
      <c r="A817" s="8" t="s">
        <v>332</v>
      </c>
      <c r="B817" s="8">
        <v>30</v>
      </c>
      <c r="C817" s="13" t="s">
        <v>9</v>
      </c>
      <c r="D817" s="13" t="s">
        <v>268</v>
      </c>
      <c r="E817" s="13" t="s">
        <v>47</v>
      </c>
      <c r="F817" s="16" t="s">
        <v>184</v>
      </c>
      <c r="G817" s="13" t="s">
        <v>257</v>
      </c>
      <c r="H817" t="s">
        <v>359</v>
      </c>
      <c r="I817" t="s">
        <v>380</v>
      </c>
      <c r="J817" t="s">
        <v>360</v>
      </c>
      <c r="K817" t="str">
        <f>Tabla14[[#This Row],[id]]&amp;Tabla14[[#This Row],[Resposable]]</f>
        <v>30Ever Morales</v>
      </c>
      <c r="L817" t="str">
        <f>Tabla14[[#This Row],[id]]&amp;Tabla14[[#This Row],[Resposable]]</f>
        <v>30Ever Morales</v>
      </c>
      <c r="M817" t="s">
        <v>359</v>
      </c>
    </row>
    <row r="818" spans="1:13" x14ac:dyDescent="0.25">
      <c r="A818" s="8" t="s">
        <v>332</v>
      </c>
      <c r="B818" s="8">
        <v>30</v>
      </c>
      <c r="C818" s="8" t="s">
        <v>9</v>
      </c>
      <c r="D818" s="8" t="s">
        <v>269</v>
      </c>
      <c r="E818" s="8" t="s">
        <v>47</v>
      </c>
      <c r="F818" s="14" t="s">
        <v>184</v>
      </c>
      <c r="G818" s="8" t="s">
        <v>257</v>
      </c>
      <c r="H818" t="s">
        <v>359</v>
      </c>
      <c r="I818" t="s">
        <v>380</v>
      </c>
      <c r="J818" t="s">
        <v>360</v>
      </c>
      <c r="K818" t="str">
        <f>Tabla14[[#This Row],[id]]&amp;Tabla14[[#This Row],[Resposable]]</f>
        <v>30Ever Morales</v>
      </c>
      <c r="L818" t="str">
        <f>Tabla14[[#This Row],[id]]&amp;Tabla14[[#This Row],[Resposable]]</f>
        <v>30Ever Morales</v>
      </c>
      <c r="M818" t="s">
        <v>359</v>
      </c>
    </row>
    <row r="819" spans="1:13" x14ac:dyDescent="0.25">
      <c r="A819" s="8" t="s">
        <v>332</v>
      </c>
      <c r="B819" s="8">
        <v>30</v>
      </c>
      <c r="C819" s="13" t="s">
        <v>9</v>
      </c>
      <c r="D819" s="13" t="s">
        <v>270</v>
      </c>
      <c r="E819" s="13" t="s">
        <v>47</v>
      </c>
      <c r="F819" s="16" t="s">
        <v>184</v>
      </c>
      <c r="G819" s="13" t="s">
        <v>257</v>
      </c>
      <c r="H819" t="s">
        <v>359</v>
      </c>
      <c r="I819" t="s">
        <v>380</v>
      </c>
      <c r="J819" t="s">
        <v>360</v>
      </c>
      <c r="K819" t="str">
        <f>Tabla14[[#This Row],[id]]&amp;Tabla14[[#This Row],[Resposable]]</f>
        <v>30Ever Morales</v>
      </c>
      <c r="L819" t="str">
        <f>Tabla14[[#This Row],[id]]&amp;Tabla14[[#This Row],[Resposable]]</f>
        <v>30Ever Morales</v>
      </c>
      <c r="M819" t="s">
        <v>359</v>
      </c>
    </row>
    <row r="820" spans="1:13" x14ac:dyDescent="0.25">
      <c r="A820" s="8" t="s">
        <v>332</v>
      </c>
      <c r="B820" s="8">
        <v>30</v>
      </c>
      <c r="C820" s="8" t="s">
        <v>7</v>
      </c>
      <c r="D820" s="8" t="s">
        <v>271</v>
      </c>
      <c r="E820" s="8" t="s">
        <v>47</v>
      </c>
      <c r="F820" s="14" t="s">
        <v>71</v>
      </c>
      <c r="G820" s="8" t="s">
        <v>257</v>
      </c>
      <c r="H820" t="s">
        <v>359</v>
      </c>
      <c r="I820" t="s">
        <v>380</v>
      </c>
      <c r="J820" t="s">
        <v>360</v>
      </c>
      <c r="K820" t="str">
        <f>Tabla14[[#This Row],[id]]&amp;Tabla14[[#This Row],[Resposable]]</f>
        <v>30Ever Morales</v>
      </c>
      <c r="L820" t="str">
        <f>Tabla14[[#This Row],[id]]&amp;Tabla14[[#This Row],[Resposable]]</f>
        <v>30Ever Morales</v>
      </c>
      <c r="M820" t="s">
        <v>359</v>
      </c>
    </row>
    <row r="821" spans="1:13" x14ac:dyDescent="0.25">
      <c r="A821" s="8" t="s">
        <v>332</v>
      </c>
      <c r="B821" s="8">
        <v>30</v>
      </c>
      <c r="C821" s="13" t="s">
        <v>7</v>
      </c>
      <c r="D821" s="13" t="s">
        <v>272</v>
      </c>
      <c r="E821" s="13" t="s">
        <v>47</v>
      </c>
      <c r="F821" s="16" t="s">
        <v>71</v>
      </c>
      <c r="G821" s="13" t="s">
        <v>257</v>
      </c>
      <c r="H821" t="s">
        <v>359</v>
      </c>
      <c r="I821" t="s">
        <v>380</v>
      </c>
      <c r="J821" t="s">
        <v>360</v>
      </c>
      <c r="K821" t="str">
        <f>Tabla14[[#This Row],[id]]&amp;Tabla14[[#This Row],[Resposable]]</f>
        <v>30Ever Morales</v>
      </c>
      <c r="L821" t="str">
        <f>Tabla14[[#This Row],[id]]&amp;Tabla14[[#This Row],[Resposable]]</f>
        <v>30Ever Morales</v>
      </c>
      <c r="M821" t="s">
        <v>359</v>
      </c>
    </row>
    <row r="822" spans="1:13" x14ac:dyDescent="0.25">
      <c r="A822" s="8" t="s">
        <v>332</v>
      </c>
      <c r="B822" s="8">
        <v>30</v>
      </c>
      <c r="C822" s="8" t="s">
        <v>6</v>
      </c>
      <c r="D822" s="8" t="s">
        <v>273</v>
      </c>
      <c r="E822" s="8" t="s">
        <v>47</v>
      </c>
      <c r="F822" s="14" t="s">
        <v>60</v>
      </c>
      <c r="G822" s="8" t="s">
        <v>257</v>
      </c>
      <c r="H822" t="s">
        <v>359</v>
      </c>
      <c r="I822" t="s">
        <v>380</v>
      </c>
      <c r="J822" t="s">
        <v>360</v>
      </c>
      <c r="K822" t="str">
        <f>Tabla14[[#This Row],[id]]&amp;Tabla14[[#This Row],[Resposable]]</f>
        <v>30Ever Morales</v>
      </c>
      <c r="L822" t="str">
        <f>Tabla14[[#This Row],[id]]&amp;Tabla14[[#This Row],[Resposable]]</f>
        <v>30Ever Morales</v>
      </c>
      <c r="M822" t="s">
        <v>359</v>
      </c>
    </row>
    <row r="823" spans="1:13" x14ac:dyDescent="0.25">
      <c r="A823" s="8" t="s">
        <v>332</v>
      </c>
      <c r="B823" s="8">
        <v>30</v>
      </c>
      <c r="C823" s="13" t="s">
        <v>7</v>
      </c>
      <c r="D823" s="13" t="s">
        <v>274</v>
      </c>
      <c r="E823" s="13" t="s">
        <v>47</v>
      </c>
      <c r="F823" s="16" t="s">
        <v>71</v>
      </c>
      <c r="G823" s="13" t="s">
        <v>257</v>
      </c>
      <c r="H823" t="s">
        <v>359</v>
      </c>
      <c r="I823" t="s">
        <v>380</v>
      </c>
      <c r="J823" t="s">
        <v>360</v>
      </c>
      <c r="K823" t="str">
        <f>Tabla14[[#This Row],[id]]&amp;Tabla14[[#This Row],[Resposable]]</f>
        <v>30Ever Morales</v>
      </c>
      <c r="L823" t="str">
        <f>Tabla14[[#This Row],[id]]&amp;Tabla14[[#This Row],[Resposable]]</f>
        <v>30Ever Morales</v>
      </c>
      <c r="M823" t="s">
        <v>359</v>
      </c>
    </row>
    <row r="824" spans="1:13" x14ac:dyDescent="0.25">
      <c r="A824" s="8" t="s">
        <v>332</v>
      </c>
      <c r="B824" s="8">
        <v>30</v>
      </c>
      <c r="C824" s="8" t="s">
        <v>6</v>
      </c>
      <c r="D824" s="8" t="s">
        <v>275</v>
      </c>
      <c r="E824" s="8" t="s">
        <v>47</v>
      </c>
      <c r="F824" s="14" t="s">
        <v>60</v>
      </c>
      <c r="G824" s="8" t="s">
        <v>257</v>
      </c>
      <c r="H824" t="s">
        <v>359</v>
      </c>
      <c r="I824" t="s">
        <v>380</v>
      </c>
      <c r="J824" t="s">
        <v>360</v>
      </c>
      <c r="K824" t="str">
        <f>Tabla14[[#This Row],[id]]&amp;Tabla14[[#This Row],[Resposable]]</f>
        <v>30Ever Morales</v>
      </c>
      <c r="L824" t="str">
        <f>Tabla14[[#This Row],[id]]&amp;Tabla14[[#This Row],[Resposable]]</f>
        <v>30Ever Morales</v>
      </c>
      <c r="M824" t="s">
        <v>359</v>
      </c>
    </row>
    <row r="825" spans="1:13" x14ac:dyDescent="0.25">
      <c r="A825" s="8" t="s">
        <v>332</v>
      </c>
      <c r="B825" s="8">
        <v>30</v>
      </c>
      <c r="C825" s="13" t="s">
        <v>6</v>
      </c>
      <c r="D825" s="13" t="s">
        <v>276</v>
      </c>
      <c r="E825" s="13" t="s">
        <v>47</v>
      </c>
      <c r="F825" s="16" t="s">
        <v>60</v>
      </c>
      <c r="G825" s="13" t="s">
        <v>257</v>
      </c>
      <c r="H825" t="s">
        <v>359</v>
      </c>
      <c r="I825" t="s">
        <v>380</v>
      </c>
      <c r="J825" t="s">
        <v>360</v>
      </c>
      <c r="K825" t="str">
        <f>Tabla14[[#This Row],[id]]&amp;Tabla14[[#This Row],[Resposable]]</f>
        <v>30Ever Morales</v>
      </c>
      <c r="L825" t="str">
        <f>Tabla14[[#This Row],[id]]&amp;Tabla14[[#This Row],[Resposable]]</f>
        <v>30Ever Morales</v>
      </c>
      <c r="M825" t="s">
        <v>359</v>
      </c>
    </row>
    <row r="826" spans="1:13" x14ac:dyDescent="0.25">
      <c r="A826" s="8" t="s">
        <v>332</v>
      </c>
      <c r="B826" s="8">
        <v>30</v>
      </c>
      <c r="C826" s="8" t="s">
        <v>6</v>
      </c>
      <c r="D826" s="8" t="s">
        <v>277</v>
      </c>
      <c r="E826" s="8" t="s">
        <v>47</v>
      </c>
      <c r="F826" s="14" t="s">
        <v>60</v>
      </c>
      <c r="G826" s="8" t="s">
        <v>257</v>
      </c>
      <c r="H826" t="s">
        <v>359</v>
      </c>
      <c r="I826" t="s">
        <v>380</v>
      </c>
      <c r="J826" t="s">
        <v>360</v>
      </c>
      <c r="K826" t="str">
        <f>Tabla14[[#This Row],[id]]&amp;Tabla14[[#This Row],[Resposable]]</f>
        <v>30Ever Morales</v>
      </c>
      <c r="L826" t="str">
        <f>Tabla14[[#This Row],[id]]&amp;Tabla14[[#This Row],[Resposable]]</f>
        <v>30Ever Morales</v>
      </c>
      <c r="M826" t="s">
        <v>359</v>
      </c>
    </row>
    <row r="827" spans="1:13" x14ac:dyDescent="0.25">
      <c r="A827" s="8" t="s">
        <v>332</v>
      </c>
      <c r="B827" s="8">
        <v>30</v>
      </c>
      <c r="C827" s="13" t="s">
        <v>8</v>
      </c>
      <c r="D827" s="13" t="s">
        <v>278</v>
      </c>
      <c r="E827" s="13" t="s">
        <v>47</v>
      </c>
      <c r="F827" s="16" t="s">
        <v>60</v>
      </c>
      <c r="G827" s="13" t="s">
        <v>257</v>
      </c>
      <c r="H827" t="s">
        <v>359</v>
      </c>
      <c r="I827" t="s">
        <v>380</v>
      </c>
      <c r="J827" t="s">
        <v>360</v>
      </c>
      <c r="K827" t="str">
        <f>Tabla14[[#This Row],[id]]&amp;Tabla14[[#This Row],[Resposable]]</f>
        <v>30Ever Morales</v>
      </c>
      <c r="L827" t="str">
        <f>Tabla14[[#This Row],[id]]&amp;Tabla14[[#This Row],[Resposable]]</f>
        <v>30Ever Morales</v>
      </c>
      <c r="M827" t="s">
        <v>359</v>
      </c>
    </row>
    <row r="828" spans="1:13" x14ac:dyDescent="0.25">
      <c r="A828" t="s">
        <v>17</v>
      </c>
      <c r="B828">
        <v>53</v>
      </c>
      <c r="C828" t="s">
        <v>5</v>
      </c>
      <c r="D828" t="s">
        <v>46</v>
      </c>
      <c r="E828" t="s">
        <v>47</v>
      </c>
      <c r="F828" s="4" t="s">
        <v>48</v>
      </c>
      <c r="G828" t="s">
        <v>239</v>
      </c>
      <c r="H828" t="s">
        <v>299</v>
      </c>
      <c r="I828" t="s">
        <v>380</v>
      </c>
      <c r="J828" t="s">
        <v>360</v>
      </c>
      <c r="K828" t="str">
        <f>Tabla14[[#This Row],[id]]&amp;Tabla14[[#This Row],[Resposable]]</f>
        <v>53Ever Morales</v>
      </c>
      <c r="L828" t="str">
        <f>Tabla14[[#This Row],[id]]&amp;Tabla14[[#This Row],[Resposable]]</f>
        <v>53Ever Morales</v>
      </c>
      <c r="M828" t="s">
        <v>299</v>
      </c>
    </row>
    <row r="829" spans="1:13" x14ac:dyDescent="0.25">
      <c r="A829" t="s">
        <v>245</v>
      </c>
      <c r="B829">
        <v>2</v>
      </c>
      <c r="C829" t="s">
        <v>5</v>
      </c>
      <c r="D829" t="s">
        <v>52</v>
      </c>
      <c r="E829" t="s">
        <v>47</v>
      </c>
      <c r="F829" s="4" t="s">
        <v>48</v>
      </c>
      <c r="G829" t="s">
        <v>239</v>
      </c>
      <c r="H829" t="s">
        <v>241</v>
      </c>
      <c r="I829" t="s">
        <v>380</v>
      </c>
      <c r="J829" t="s">
        <v>365</v>
      </c>
      <c r="K829" t="str">
        <f>Tabla14[[#This Row],[id]]&amp;Tabla14[[#This Row],[Resposable]]</f>
        <v>2Ever Morales</v>
      </c>
      <c r="L829" t="str">
        <f>Tabla14[[#This Row],[id]]&amp;Tabla14[[#This Row],[Resposable]]</f>
        <v>2Ever Morales</v>
      </c>
      <c r="M829" t="s">
        <v>241</v>
      </c>
    </row>
    <row r="830" spans="1:13" x14ac:dyDescent="0.25">
      <c r="A830" t="s">
        <v>245</v>
      </c>
      <c r="B830">
        <v>2</v>
      </c>
      <c r="C830" t="s">
        <v>5</v>
      </c>
      <c r="D830" t="s">
        <v>53</v>
      </c>
      <c r="E830" t="s">
        <v>54</v>
      </c>
      <c r="F830" s="4" t="s">
        <v>48</v>
      </c>
      <c r="G830" t="s">
        <v>239</v>
      </c>
      <c r="H830" t="s">
        <v>241</v>
      </c>
      <c r="I830" t="s">
        <v>380</v>
      </c>
      <c r="J830" t="s">
        <v>365</v>
      </c>
      <c r="K830" t="str">
        <f>Tabla14[[#This Row],[id]]&amp;Tabla14[[#This Row],[Resposable]]</f>
        <v>2Ever Morales</v>
      </c>
      <c r="L830" t="str">
        <f>Tabla14[[#This Row],[id]]&amp;Tabla14[[#This Row],[Resposable]]</f>
        <v>2Ever Morales</v>
      </c>
      <c r="M830" t="s">
        <v>241</v>
      </c>
    </row>
    <row r="831" spans="1:13" x14ac:dyDescent="0.25">
      <c r="A831" t="s">
        <v>245</v>
      </c>
      <c r="B831">
        <v>2</v>
      </c>
      <c r="C831" t="s">
        <v>5</v>
      </c>
      <c r="D831" t="s">
        <v>56</v>
      </c>
      <c r="E831" t="s">
        <v>47</v>
      </c>
      <c r="F831" s="4" t="s">
        <v>48</v>
      </c>
      <c r="G831" t="s">
        <v>239</v>
      </c>
      <c r="H831" t="s">
        <v>241</v>
      </c>
      <c r="I831" t="s">
        <v>380</v>
      </c>
      <c r="J831" t="s">
        <v>360</v>
      </c>
      <c r="K831" t="str">
        <f>Tabla14[[#This Row],[id]]&amp;Tabla14[[#This Row],[Resposable]]</f>
        <v>2Ever Morales</v>
      </c>
      <c r="L831" t="str">
        <f>Tabla14[[#This Row],[id]]&amp;Tabla14[[#This Row],[Resposable]]</f>
        <v>2Ever Morales</v>
      </c>
      <c r="M831" t="s">
        <v>241</v>
      </c>
    </row>
    <row r="832" spans="1:13" x14ac:dyDescent="0.25">
      <c r="A832" t="s">
        <v>246</v>
      </c>
      <c r="B832">
        <v>7</v>
      </c>
      <c r="C832" t="s">
        <v>5</v>
      </c>
      <c r="D832" t="s">
        <v>46</v>
      </c>
      <c r="E832" t="s">
        <v>47</v>
      </c>
      <c r="F832" s="4" t="s">
        <v>58</v>
      </c>
      <c r="G832" t="s">
        <v>239</v>
      </c>
      <c r="H832" t="s">
        <v>241</v>
      </c>
      <c r="I832" t="s">
        <v>380</v>
      </c>
      <c r="J832" t="s">
        <v>360</v>
      </c>
      <c r="K832" t="str">
        <f>Tabla14[[#This Row],[id]]&amp;Tabla14[[#This Row],[Resposable]]</f>
        <v>7Ever Morales</v>
      </c>
      <c r="L832" t="str">
        <f>Tabla14[[#This Row],[id]]&amp;Tabla14[[#This Row],[Resposable]]</f>
        <v>7Ever Morales</v>
      </c>
      <c r="M832" t="s">
        <v>241</v>
      </c>
    </row>
    <row r="833" spans="1:13" x14ac:dyDescent="0.25">
      <c r="A833" t="s">
        <v>246</v>
      </c>
      <c r="B833">
        <v>7</v>
      </c>
      <c r="C833" t="s">
        <v>5</v>
      </c>
      <c r="D833" t="s">
        <v>52</v>
      </c>
      <c r="E833" t="s">
        <v>47</v>
      </c>
      <c r="F833" s="4" t="s">
        <v>58</v>
      </c>
      <c r="G833" t="s">
        <v>239</v>
      </c>
      <c r="H833" t="s">
        <v>241</v>
      </c>
      <c r="I833" t="s">
        <v>380</v>
      </c>
      <c r="J833" t="s">
        <v>365</v>
      </c>
      <c r="K833" t="str">
        <f>Tabla14[[#This Row],[id]]&amp;Tabla14[[#This Row],[Resposable]]</f>
        <v>7Ever Morales</v>
      </c>
      <c r="L833" t="str">
        <f>Tabla14[[#This Row],[id]]&amp;Tabla14[[#This Row],[Resposable]]</f>
        <v>7Ever Morales</v>
      </c>
      <c r="M833" t="s">
        <v>241</v>
      </c>
    </row>
    <row r="834" spans="1:13" x14ac:dyDescent="0.25">
      <c r="A834" t="s">
        <v>246</v>
      </c>
      <c r="B834">
        <v>7</v>
      </c>
      <c r="C834" t="s">
        <v>5</v>
      </c>
      <c r="D834" t="s">
        <v>53</v>
      </c>
      <c r="E834" t="s">
        <v>54</v>
      </c>
      <c r="F834" s="4" t="s">
        <v>58</v>
      </c>
      <c r="G834" t="s">
        <v>239</v>
      </c>
      <c r="H834" t="s">
        <v>241</v>
      </c>
      <c r="I834" t="s">
        <v>380</v>
      </c>
      <c r="J834" t="s">
        <v>360</v>
      </c>
      <c r="K834" t="str">
        <f>Tabla14[[#This Row],[id]]&amp;Tabla14[[#This Row],[Resposable]]</f>
        <v>7Ever Morales</v>
      </c>
      <c r="L834" t="str">
        <f>Tabla14[[#This Row],[id]]&amp;Tabla14[[#This Row],[Resposable]]</f>
        <v>7Ever Morales</v>
      </c>
      <c r="M834" t="s">
        <v>241</v>
      </c>
    </row>
    <row r="835" spans="1:13" x14ac:dyDescent="0.25">
      <c r="A835" t="s">
        <v>246</v>
      </c>
      <c r="B835">
        <v>7</v>
      </c>
      <c r="C835" t="s">
        <v>5</v>
      </c>
      <c r="D835" t="s">
        <v>64</v>
      </c>
      <c r="E835" t="s">
        <v>47</v>
      </c>
      <c r="F835" s="4" t="s">
        <v>65</v>
      </c>
      <c r="G835" t="s">
        <v>239</v>
      </c>
      <c r="H835" t="s">
        <v>241</v>
      </c>
      <c r="I835" t="s">
        <v>380</v>
      </c>
      <c r="J835" t="s">
        <v>360</v>
      </c>
      <c r="K835" t="str">
        <f>Tabla14[[#This Row],[id]]&amp;Tabla14[[#This Row],[Resposable]]</f>
        <v>7Ever Morales</v>
      </c>
      <c r="L835" t="str">
        <f>Tabla14[[#This Row],[id]]&amp;Tabla14[[#This Row],[Resposable]]</f>
        <v>7Ever Morales</v>
      </c>
      <c r="M835" t="s">
        <v>241</v>
      </c>
    </row>
    <row r="836" spans="1:13" x14ac:dyDescent="0.25">
      <c r="A836" t="s">
        <v>17</v>
      </c>
      <c r="B836">
        <v>50</v>
      </c>
      <c r="C836" t="s">
        <v>5</v>
      </c>
      <c r="D836" t="s">
        <v>46</v>
      </c>
      <c r="E836" t="s">
        <v>47</v>
      </c>
      <c r="F836" s="4" t="s">
        <v>48</v>
      </c>
      <c r="G836" t="s">
        <v>239</v>
      </c>
      <c r="H836" t="s">
        <v>241</v>
      </c>
      <c r="I836" t="s">
        <v>380</v>
      </c>
      <c r="J836" t="s">
        <v>360</v>
      </c>
      <c r="K836" t="str">
        <f>Tabla14[[#This Row],[id]]&amp;Tabla14[[#This Row],[Resposable]]</f>
        <v>50Ever Morales</v>
      </c>
      <c r="L836" t="str">
        <f>Tabla14[[#This Row],[id]]&amp;Tabla14[[#This Row],[Resposable]]</f>
        <v>50Ever Morales</v>
      </c>
      <c r="M836" t="s">
        <v>241</v>
      </c>
    </row>
    <row r="837" spans="1:13" x14ac:dyDescent="0.25">
      <c r="A837" t="s">
        <v>17</v>
      </c>
      <c r="B837">
        <v>50</v>
      </c>
      <c r="C837" t="s">
        <v>5</v>
      </c>
      <c r="D837" t="s">
        <v>52</v>
      </c>
      <c r="E837" t="s">
        <v>47</v>
      </c>
      <c r="F837" s="4" t="s">
        <v>48</v>
      </c>
      <c r="G837" t="s">
        <v>239</v>
      </c>
      <c r="H837" t="s">
        <v>241</v>
      </c>
      <c r="I837" t="s">
        <v>380</v>
      </c>
      <c r="J837" t="s">
        <v>360</v>
      </c>
      <c r="K837" t="str">
        <f>Tabla14[[#This Row],[id]]&amp;Tabla14[[#This Row],[Resposable]]</f>
        <v>50Ever Morales</v>
      </c>
      <c r="L837" t="str">
        <f>Tabla14[[#This Row],[id]]&amp;Tabla14[[#This Row],[Resposable]]</f>
        <v>50Ever Morales</v>
      </c>
      <c r="M837" t="s">
        <v>241</v>
      </c>
    </row>
    <row r="838" spans="1:13" x14ac:dyDescent="0.25">
      <c r="A838" t="s">
        <v>17</v>
      </c>
      <c r="B838">
        <v>50</v>
      </c>
      <c r="C838" t="s">
        <v>5</v>
      </c>
      <c r="D838" t="s">
        <v>53</v>
      </c>
      <c r="E838" t="s">
        <v>54</v>
      </c>
      <c r="F838" s="4" t="s">
        <v>48</v>
      </c>
      <c r="G838" t="s">
        <v>239</v>
      </c>
      <c r="H838" t="s">
        <v>241</v>
      </c>
      <c r="I838" t="s">
        <v>380</v>
      </c>
      <c r="J838" t="s">
        <v>360</v>
      </c>
      <c r="K838" t="str">
        <f>Tabla14[[#This Row],[id]]&amp;Tabla14[[#This Row],[Resposable]]</f>
        <v>50Ever Morales</v>
      </c>
      <c r="L838" t="str">
        <f>Tabla14[[#This Row],[id]]&amp;Tabla14[[#This Row],[Resposable]]</f>
        <v>50Ever Morales</v>
      </c>
      <c r="M838" t="s">
        <v>241</v>
      </c>
    </row>
    <row r="839" spans="1:13" x14ac:dyDescent="0.25">
      <c r="A839" t="s">
        <v>17</v>
      </c>
      <c r="B839">
        <v>50</v>
      </c>
      <c r="C839" t="s">
        <v>5</v>
      </c>
      <c r="D839" t="s">
        <v>64</v>
      </c>
      <c r="E839" t="s">
        <v>47</v>
      </c>
      <c r="F839" s="4" t="s">
        <v>48</v>
      </c>
      <c r="G839" t="s">
        <v>239</v>
      </c>
      <c r="H839" t="s">
        <v>241</v>
      </c>
      <c r="I839" t="s">
        <v>380</v>
      </c>
      <c r="J839" t="s">
        <v>360</v>
      </c>
      <c r="K839" t="str">
        <f>Tabla14[[#This Row],[id]]&amp;Tabla14[[#This Row],[Resposable]]</f>
        <v>50Ever Morales</v>
      </c>
      <c r="L839" t="str">
        <f>Tabla14[[#This Row],[id]]&amp;Tabla14[[#This Row],[Resposable]]</f>
        <v>50Ever Morales</v>
      </c>
      <c r="M839" t="s">
        <v>241</v>
      </c>
    </row>
    <row r="840" spans="1:13" x14ac:dyDescent="0.25">
      <c r="A840" t="s">
        <v>306</v>
      </c>
      <c r="B840">
        <v>63</v>
      </c>
      <c r="C840" t="s">
        <v>5</v>
      </c>
      <c r="D840" t="s">
        <v>46</v>
      </c>
      <c r="E840" t="s">
        <v>47</v>
      </c>
      <c r="F840" s="4" t="s">
        <v>48</v>
      </c>
      <c r="G840" t="s">
        <v>239</v>
      </c>
      <c r="H840" t="s">
        <v>241</v>
      </c>
      <c r="I840" t="s">
        <v>380</v>
      </c>
      <c r="J840" t="s">
        <v>360</v>
      </c>
      <c r="K840" t="str">
        <f>Tabla14[[#This Row],[id]]&amp;Tabla14[[#This Row],[Resposable]]</f>
        <v>63Ever Morales</v>
      </c>
      <c r="L840" t="str">
        <f>Tabla14[[#This Row],[id]]&amp;Tabla14[[#This Row],[Resposable]]</f>
        <v>63Ever Morales</v>
      </c>
      <c r="M840" t="s">
        <v>241</v>
      </c>
    </row>
    <row r="841" spans="1:13" x14ac:dyDescent="0.25">
      <c r="A841" t="s">
        <v>306</v>
      </c>
      <c r="B841">
        <v>63</v>
      </c>
      <c r="C841" t="s">
        <v>7</v>
      </c>
      <c r="D841" t="s">
        <v>98</v>
      </c>
      <c r="E841" t="s">
        <v>47</v>
      </c>
      <c r="F841" s="4" t="s">
        <v>48</v>
      </c>
      <c r="G841" t="s">
        <v>239</v>
      </c>
      <c r="H841" t="s">
        <v>241</v>
      </c>
      <c r="I841" t="s">
        <v>380</v>
      </c>
      <c r="J841" t="s">
        <v>360</v>
      </c>
      <c r="K841" t="str">
        <f>Tabla14[[#This Row],[id]]&amp;Tabla14[[#This Row],[Resposable]]</f>
        <v>63Ever Morales</v>
      </c>
      <c r="L841" t="str">
        <f>Tabla14[[#This Row],[id]]&amp;Tabla14[[#This Row],[Resposable]]</f>
        <v>63Ever Morales</v>
      </c>
      <c r="M841" t="s">
        <v>241</v>
      </c>
    </row>
    <row r="842" spans="1:13" x14ac:dyDescent="0.25">
      <c r="A842" t="s">
        <v>306</v>
      </c>
      <c r="B842">
        <v>63</v>
      </c>
      <c r="C842" t="s">
        <v>5</v>
      </c>
      <c r="D842" t="s">
        <v>52</v>
      </c>
      <c r="E842" t="s">
        <v>47</v>
      </c>
      <c r="F842" s="4" t="s">
        <v>48</v>
      </c>
      <c r="G842" t="s">
        <v>239</v>
      </c>
      <c r="H842" t="s">
        <v>241</v>
      </c>
      <c r="I842" t="s">
        <v>380</v>
      </c>
      <c r="J842" t="s">
        <v>360</v>
      </c>
      <c r="K842" t="str">
        <f>Tabla14[[#This Row],[id]]&amp;Tabla14[[#This Row],[Resposable]]</f>
        <v>63Ever Morales</v>
      </c>
      <c r="L842" t="str">
        <f>Tabla14[[#This Row],[id]]&amp;Tabla14[[#This Row],[Resposable]]</f>
        <v>63Ever Morales</v>
      </c>
      <c r="M842" t="s">
        <v>241</v>
      </c>
    </row>
    <row r="843" spans="1:13" x14ac:dyDescent="0.25">
      <c r="A843" t="s">
        <v>306</v>
      </c>
      <c r="B843">
        <v>63</v>
      </c>
      <c r="C843" t="s">
        <v>5</v>
      </c>
      <c r="D843" t="s">
        <v>53</v>
      </c>
      <c r="E843" t="s">
        <v>54</v>
      </c>
      <c r="F843" s="4" t="s">
        <v>48</v>
      </c>
      <c r="G843" t="s">
        <v>239</v>
      </c>
      <c r="H843" t="s">
        <v>241</v>
      </c>
      <c r="I843" t="s">
        <v>380</v>
      </c>
      <c r="J843" t="s">
        <v>360</v>
      </c>
      <c r="K843" t="str">
        <f>Tabla14[[#This Row],[id]]&amp;Tabla14[[#This Row],[Resposable]]</f>
        <v>63Ever Morales</v>
      </c>
      <c r="L843" t="str">
        <f>Tabla14[[#This Row],[id]]&amp;Tabla14[[#This Row],[Resposable]]</f>
        <v>63Ever Morales</v>
      </c>
      <c r="M843" t="s">
        <v>241</v>
      </c>
    </row>
    <row r="844" spans="1:13" x14ac:dyDescent="0.25">
      <c r="A844" t="s">
        <v>306</v>
      </c>
      <c r="B844">
        <v>63</v>
      </c>
      <c r="C844" t="s">
        <v>5</v>
      </c>
      <c r="D844" t="s">
        <v>56</v>
      </c>
      <c r="E844" t="s">
        <v>47</v>
      </c>
      <c r="F844" s="4" t="s">
        <v>48</v>
      </c>
      <c r="G844" t="s">
        <v>239</v>
      </c>
      <c r="H844" t="s">
        <v>241</v>
      </c>
      <c r="I844" t="s">
        <v>380</v>
      </c>
      <c r="J844" t="s">
        <v>360</v>
      </c>
      <c r="K844" t="str">
        <f>Tabla14[[#This Row],[id]]&amp;Tabla14[[#This Row],[Resposable]]</f>
        <v>63Ever Morales</v>
      </c>
      <c r="L844" t="str">
        <f>Tabla14[[#This Row],[id]]&amp;Tabla14[[#This Row],[Resposable]]</f>
        <v>63Ever Morales</v>
      </c>
      <c r="M844" t="s">
        <v>241</v>
      </c>
    </row>
    <row r="845" spans="1:13" x14ac:dyDescent="0.25">
      <c r="A845" t="s">
        <v>307</v>
      </c>
      <c r="B845">
        <v>64</v>
      </c>
      <c r="C845" t="s">
        <v>5</v>
      </c>
      <c r="D845" t="s">
        <v>46</v>
      </c>
      <c r="E845" t="s">
        <v>47</v>
      </c>
      <c r="F845" s="4" t="s">
        <v>48</v>
      </c>
      <c r="G845" t="s">
        <v>239</v>
      </c>
      <c r="H845" t="s">
        <v>241</v>
      </c>
      <c r="I845" t="s">
        <v>380</v>
      </c>
      <c r="J845" t="s">
        <v>360</v>
      </c>
      <c r="K845" t="str">
        <f>Tabla14[[#This Row],[id]]&amp;Tabla14[[#This Row],[Resposable]]</f>
        <v>64Ever Morales</v>
      </c>
      <c r="L845" t="str">
        <f>Tabla14[[#This Row],[id]]&amp;Tabla14[[#This Row],[Resposable]]</f>
        <v>64Ever Morales</v>
      </c>
      <c r="M845" t="s">
        <v>241</v>
      </c>
    </row>
    <row r="846" spans="1:13" x14ac:dyDescent="0.25">
      <c r="A846" t="s">
        <v>307</v>
      </c>
      <c r="B846">
        <v>64</v>
      </c>
      <c r="C846" t="s">
        <v>7</v>
      </c>
      <c r="D846" t="s">
        <v>98</v>
      </c>
      <c r="E846" t="s">
        <v>47</v>
      </c>
      <c r="F846" s="4" t="s">
        <v>48</v>
      </c>
      <c r="G846" t="s">
        <v>239</v>
      </c>
      <c r="H846" t="s">
        <v>241</v>
      </c>
      <c r="I846" t="s">
        <v>380</v>
      </c>
      <c r="J846" t="s">
        <v>360</v>
      </c>
      <c r="K846" t="str">
        <f>Tabla14[[#This Row],[id]]&amp;Tabla14[[#This Row],[Resposable]]</f>
        <v>64Ever Morales</v>
      </c>
      <c r="L846" t="str">
        <f>Tabla14[[#This Row],[id]]&amp;Tabla14[[#This Row],[Resposable]]</f>
        <v>64Ever Morales</v>
      </c>
      <c r="M846" t="s">
        <v>241</v>
      </c>
    </row>
    <row r="847" spans="1:13" x14ac:dyDescent="0.25">
      <c r="A847" t="s">
        <v>307</v>
      </c>
      <c r="B847">
        <v>64</v>
      </c>
      <c r="C847" t="s">
        <v>5</v>
      </c>
      <c r="D847" t="s">
        <v>52</v>
      </c>
      <c r="E847" t="s">
        <v>47</v>
      </c>
      <c r="F847" s="4" t="s">
        <v>48</v>
      </c>
      <c r="G847" t="s">
        <v>239</v>
      </c>
      <c r="H847" t="s">
        <v>241</v>
      </c>
      <c r="I847" t="s">
        <v>380</v>
      </c>
      <c r="J847" t="s">
        <v>360</v>
      </c>
      <c r="K847" t="str">
        <f>Tabla14[[#This Row],[id]]&amp;Tabla14[[#This Row],[Resposable]]</f>
        <v>64Ever Morales</v>
      </c>
      <c r="L847" t="str">
        <f>Tabla14[[#This Row],[id]]&amp;Tabla14[[#This Row],[Resposable]]</f>
        <v>64Ever Morales</v>
      </c>
      <c r="M847" t="s">
        <v>241</v>
      </c>
    </row>
    <row r="848" spans="1:13" x14ac:dyDescent="0.25">
      <c r="A848" t="s">
        <v>307</v>
      </c>
      <c r="B848">
        <v>64</v>
      </c>
      <c r="C848" t="s">
        <v>5</v>
      </c>
      <c r="D848" t="s">
        <v>53</v>
      </c>
      <c r="E848" t="s">
        <v>54</v>
      </c>
      <c r="F848" s="4" t="s">
        <v>48</v>
      </c>
      <c r="G848" t="s">
        <v>239</v>
      </c>
      <c r="H848" t="s">
        <v>241</v>
      </c>
      <c r="I848" t="s">
        <v>380</v>
      </c>
      <c r="J848" t="s">
        <v>360</v>
      </c>
      <c r="K848" t="str">
        <f>Tabla14[[#This Row],[id]]&amp;Tabla14[[#This Row],[Resposable]]</f>
        <v>64Ever Morales</v>
      </c>
      <c r="L848" t="str">
        <f>Tabla14[[#This Row],[id]]&amp;Tabla14[[#This Row],[Resposable]]</f>
        <v>64Ever Morales</v>
      </c>
      <c r="M848" t="s">
        <v>241</v>
      </c>
    </row>
    <row r="849" spans="1:13" x14ac:dyDescent="0.25">
      <c r="A849" t="s">
        <v>307</v>
      </c>
      <c r="B849">
        <v>64</v>
      </c>
      <c r="C849" t="s">
        <v>5</v>
      </c>
      <c r="D849" t="s">
        <v>56</v>
      </c>
      <c r="E849" t="s">
        <v>47</v>
      </c>
      <c r="F849" s="4" t="s">
        <v>48</v>
      </c>
      <c r="G849" t="s">
        <v>239</v>
      </c>
      <c r="H849" t="s">
        <v>241</v>
      </c>
      <c r="I849" t="s">
        <v>380</v>
      </c>
      <c r="J849" t="s">
        <v>360</v>
      </c>
      <c r="K849" t="str">
        <f>Tabla14[[#This Row],[id]]&amp;Tabla14[[#This Row],[Resposable]]</f>
        <v>64Ever Morales</v>
      </c>
      <c r="L849" t="str">
        <f>Tabla14[[#This Row],[id]]&amp;Tabla14[[#This Row],[Resposable]]</f>
        <v>64Ever Morales</v>
      </c>
      <c r="M849" t="s">
        <v>241</v>
      </c>
    </row>
    <row r="850" spans="1:13" x14ac:dyDescent="0.25">
      <c r="A850" t="s">
        <v>24</v>
      </c>
      <c r="B850">
        <v>104</v>
      </c>
      <c r="C850" t="s">
        <v>5</v>
      </c>
      <c r="D850" t="s">
        <v>116</v>
      </c>
      <c r="E850" t="s">
        <v>47</v>
      </c>
      <c r="F850" s="4" t="s">
        <v>58</v>
      </c>
      <c r="G850" t="s">
        <v>239</v>
      </c>
      <c r="H850" t="s">
        <v>241</v>
      </c>
      <c r="I850" t="s">
        <v>380</v>
      </c>
      <c r="J850" t="s">
        <v>360</v>
      </c>
      <c r="K850" t="str">
        <f>Tabla14[[#This Row],[id]]&amp;Tabla14[[#This Row],[Resposable]]</f>
        <v>104Ever Morales</v>
      </c>
      <c r="L850" t="str">
        <f>Tabla14[[#This Row],[id]]&amp;Tabla14[[#This Row],[Resposable]]</f>
        <v>104Ever Morales</v>
      </c>
      <c r="M850" t="s">
        <v>241</v>
      </c>
    </row>
    <row r="851" spans="1:13" x14ac:dyDescent="0.25">
      <c r="A851" t="s">
        <v>24</v>
      </c>
      <c r="B851">
        <v>104</v>
      </c>
      <c r="C851" t="s">
        <v>5</v>
      </c>
      <c r="D851" t="s">
        <v>46</v>
      </c>
      <c r="E851" t="s">
        <v>47</v>
      </c>
      <c r="F851" s="4" t="s">
        <v>96</v>
      </c>
      <c r="G851" t="s">
        <v>239</v>
      </c>
      <c r="H851" t="s">
        <v>241</v>
      </c>
      <c r="I851" t="s">
        <v>380</v>
      </c>
      <c r="J851" t="s">
        <v>360</v>
      </c>
      <c r="K851" t="str">
        <f>Tabla14[[#This Row],[id]]&amp;Tabla14[[#This Row],[Resposable]]</f>
        <v>104Ever Morales</v>
      </c>
      <c r="L851" t="str">
        <f>Tabla14[[#This Row],[id]]&amp;Tabla14[[#This Row],[Resposable]]</f>
        <v>104Ever Morales</v>
      </c>
      <c r="M851" t="s">
        <v>241</v>
      </c>
    </row>
    <row r="852" spans="1:13" x14ac:dyDescent="0.25">
      <c r="A852" t="s">
        <v>25</v>
      </c>
      <c r="B852">
        <v>104</v>
      </c>
      <c r="C852" t="s">
        <v>5</v>
      </c>
      <c r="D852" t="s">
        <v>53</v>
      </c>
      <c r="E852" t="s">
        <v>47</v>
      </c>
      <c r="F852" s="4" t="s">
        <v>96</v>
      </c>
      <c r="G852" t="s">
        <v>239</v>
      </c>
      <c r="H852" t="s">
        <v>241</v>
      </c>
      <c r="I852" t="s">
        <v>380</v>
      </c>
      <c r="J852" t="s">
        <v>360</v>
      </c>
      <c r="K852" t="str">
        <f>Tabla14[[#This Row],[id]]&amp;Tabla14[[#This Row],[Resposable]]</f>
        <v>104Ever Morales</v>
      </c>
      <c r="L852" t="str">
        <f>Tabla14[[#This Row],[id]]&amp;Tabla14[[#This Row],[Resposable]]</f>
        <v>104Ever Morales</v>
      </c>
      <c r="M852" t="s">
        <v>241</v>
      </c>
    </row>
    <row r="853" spans="1:13" x14ac:dyDescent="0.25">
      <c r="A853" t="s">
        <v>25</v>
      </c>
      <c r="B853">
        <v>104</v>
      </c>
      <c r="C853" t="s">
        <v>5</v>
      </c>
      <c r="D853" t="s">
        <v>147</v>
      </c>
      <c r="E853" t="s">
        <v>47</v>
      </c>
      <c r="F853" s="4" t="s">
        <v>96</v>
      </c>
      <c r="G853" t="s">
        <v>239</v>
      </c>
      <c r="H853" t="s">
        <v>241</v>
      </c>
      <c r="I853" t="s">
        <v>380</v>
      </c>
      <c r="J853" t="s">
        <v>360</v>
      </c>
      <c r="K853" t="str">
        <f>Tabla14[[#This Row],[id]]&amp;Tabla14[[#This Row],[Resposable]]</f>
        <v>104Ever Morales</v>
      </c>
      <c r="L853" t="str">
        <f>Tabla14[[#This Row],[id]]&amp;Tabla14[[#This Row],[Resposable]]</f>
        <v>104Ever Morales</v>
      </c>
      <c r="M853" t="s">
        <v>241</v>
      </c>
    </row>
    <row r="854" spans="1:13" x14ac:dyDescent="0.25">
      <c r="A854" t="s">
        <v>25</v>
      </c>
      <c r="B854">
        <v>104</v>
      </c>
      <c r="C854" t="s">
        <v>5</v>
      </c>
      <c r="D854" t="s">
        <v>64</v>
      </c>
      <c r="E854" t="s">
        <v>47</v>
      </c>
      <c r="F854" s="4" t="s">
        <v>96</v>
      </c>
      <c r="G854" t="s">
        <v>239</v>
      </c>
      <c r="H854" t="s">
        <v>241</v>
      </c>
      <c r="I854" t="s">
        <v>380</v>
      </c>
      <c r="J854" t="s">
        <v>360</v>
      </c>
      <c r="K854" t="str">
        <f>Tabla14[[#This Row],[id]]&amp;Tabla14[[#This Row],[Resposable]]</f>
        <v>104Ever Morales</v>
      </c>
      <c r="L854" t="str">
        <f>Tabla14[[#This Row],[id]]&amp;Tabla14[[#This Row],[Resposable]]</f>
        <v>104Ever Morales</v>
      </c>
      <c r="M854" t="s">
        <v>241</v>
      </c>
    </row>
    <row r="855" spans="1:13" x14ac:dyDescent="0.25">
      <c r="A855" t="s">
        <v>28</v>
      </c>
      <c r="B855">
        <v>104</v>
      </c>
      <c r="C855" t="s">
        <v>5</v>
      </c>
      <c r="D855" t="s">
        <v>46</v>
      </c>
      <c r="E855" t="s">
        <v>47</v>
      </c>
      <c r="F855" s="4" t="s">
        <v>48</v>
      </c>
      <c r="G855" t="s">
        <v>239</v>
      </c>
      <c r="H855" t="s">
        <v>241</v>
      </c>
      <c r="I855" t="s">
        <v>380</v>
      </c>
      <c r="J855" t="s">
        <v>360</v>
      </c>
      <c r="K855" t="str">
        <f>Tabla14[[#This Row],[id]]&amp;Tabla14[[#This Row],[Resposable]]</f>
        <v>104Ever Morales</v>
      </c>
      <c r="L855" t="str">
        <f>Tabla14[[#This Row],[id]]&amp;Tabla14[[#This Row],[Resposable]]</f>
        <v>104Ever Morales</v>
      </c>
      <c r="M855" t="s">
        <v>241</v>
      </c>
    </row>
    <row r="856" spans="1:13" x14ac:dyDescent="0.25">
      <c r="A856" t="s">
        <v>28</v>
      </c>
      <c r="B856">
        <v>104</v>
      </c>
      <c r="C856" t="s">
        <v>5</v>
      </c>
      <c r="D856" t="s">
        <v>52</v>
      </c>
      <c r="E856" t="s">
        <v>47</v>
      </c>
      <c r="F856" s="4" t="s">
        <v>48</v>
      </c>
      <c r="G856" t="s">
        <v>239</v>
      </c>
      <c r="H856" t="s">
        <v>241</v>
      </c>
      <c r="I856" t="s">
        <v>380</v>
      </c>
      <c r="J856" t="s">
        <v>360</v>
      </c>
      <c r="K856" t="str">
        <f>Tabla14[[#This Row],[id]]&amp;Tabla14[[#This Row],[Resposable]]</f>
        <v>104Ever Morales</v>
      </c>
      <c r="L856" t="str">
        <f>Tabla14[[#This Row],[id]]&amp;Tabla14[[#This Row],[Resposable]]</f>
        <v>104Ever Morales</v>
      </c>
      <c r="M856" t="s">
        <v>241</v>
      </c>
    </row>
    <row r="857" spans="1:13" x14ac:dyDescent="0.25">
      <c r="A857" t="s">
        <v>28</v>
      </c>
      <c r="B857">
        <v>104</v>
      </c>
      <c r="C857" t="s">
        <v>5</v>
      </c>
      <c r="D857" t="s">
        <v>53</v>
      </c>
      <c r="E857" t="s">
        <v>54</v>
      </c>
      <c r="F857" s="4" t="s">
        <v>48</v>
      </c>
      <c r="G857" t="s">
        <v>239</v>
      </c>
      <c r="H857" t="s">
        <v>241</v>
      </c>
      <c r="I857" t="s">
        <v>380</v>
      </c>
      <c r="J857" t="s">
        <v>360</v>
      </c>
      <c r="K857" t="str">
        <f>Tabla14[[#This Row],[id]]&amp;Tabla14[[#This Row],[Resposable]]</f>
        <v>104Ever Morales</v>
      </c>
      <c r="L857" t="str">
        <f>Tabla14[[#This Row],[id]]&amp;Tabla14[[#This Row],[Resposable]]</f>
        <v>104Ever Morales</v>
      </c>
      <c r="M857" t="s">
        <v>241</v>
      </c>
    </row>
    <row r="858" spans="1:13" x14ac:dyDescent="0.25">
      <c r="A858" t="s">
        <v>28</v>
      </c>
      <c r="B858">
        <v>104</v>
      </c>
      <c r="C858" t="s">
        <v>5</v>
      </c>
      <c r="D858" t="s">
        <v>64</v>
      </c>
      <c r="E858" t="s">
        <v>47</v>
      </c>
      <c r="F858" s="4" t="s">
        <v>48</v>
      </c>
      <c r="G858" t="s">
        <v>239</v>
      </c>
      <c r="H858" t="s">
        <v>241</v>
      </c>
      <c r="I858" t="s">
        <v>380</v>
      </c>
      <c r="J858" t="s">
        <v>360</v>
      </c>
      <c r="K858" t="str">
        <f>Tabla14[[#This Row],[id]]&amp;Tabla14[[#This Row],[Resposable]]</f>
        <v>104Ever Morales</v>
      </c>
      <c r="L858" t="str">
        <f>Tabla14[[#This Row],[id]]&amp;Tabla14[[#This Row],[Resposable]]</f>
        <v>104Ever Morales</v>
      </c>
      <c r="M858" t="s">
        <v>241</v>
      </c>
    </row>
    <row r="859" spans="1:13" x14ac:dyDescent="0.25">
      <c r="A859" t="s">
        <v>27</v>
      </c>
      <c r="B859">
        <v>109</v>
      </c>
      <c r="C859" t="s">
        <v>5</v>
      </c>
      <c r="D859" t="s">
        <v>46</v>
      </c>
      <c r="E859" t="s">
        <v>47</v>
      </c>
      <c r="F859" s="4" t="s">
        <v>48</v>
      </c>
      <c r="G859" t="s">
        <v>239</v>
      </c>
      <c r="H859" t="s">
        <v>241</v>
      </c>
      <c r="I859" t="s">
        <v>380</v>
      </c>
      <c r="J859" t="s">
        <v>360</v>
      </c>
      <c r="K859" t="str">
        <f>Tabla14[[#This Row],[id]]&amp;Tabla14[[#This Row],[Resposable]]</f>
        <v>109Ever Morales</v>
      </c>
      <c r="L859" t="str">
        <f>Tabla14[[#This Row],[id]]&amp;Tabla14[[#This Row],[Resposable]]</f>
        <v>109Ever Morales</v>
      </c>
      <c r="M859" t="s">
        <v>241</v>
      </c>
    </row>
    <row r="860" spans="1:13" x14ac:dyDescent="0.25">
      <c r="A860" t="s">
        <v>27</v>
      </c>
      <c r="B860">
        <v>109</v>
      </c>
      <c r="C860" t="s">
        <v>7</v>
      </c>
      <c r="D860" t="s">
        <v>98</v>
      </c>
      <c r="E860" t="s">
        <v>47</v>
      </c>
      <c r="F860" s="4" t="s">
        <v>82</v>
      </c>
      <c r="G860" t="s">
        <v>239</v>
      </c>
      <c r="H860" t="s">
        <v>241</v>
      </c>
      <c r="I860" t="s">
        <v>380</v>
      </c>
      <c r="J860" t="s">
        <v>360</v>
      </c>
      <c r="K860" t="str">
        <f>Tabla14[[#This Row],[id]]&amp;Tabla14[[#This Row],[Resposable]]</f>
        <v>109Ever Morales</v>
      </c>
      <c r="L860" t="str">
        <f>Tabla14[[#This Row],[id]]&amp;Tabla14[[#This Row],[Resposable]]</f>
        <v>109Ever Morales</v>
      </c>
      <c r="M860" t="s">
        <v>241</v>
      </c>
    </row>
    <row r="861" spans="1:13" x14ac:dyDescent="0.25">
      <c r="A861" t="s">
        <v>27</v>
      </c>
      <c r="B861">
        <v>109</v>
      </c>
      <c r="C861" t="s">
        <v>5</v>
      </c>
      <c r="D861" t="s">
        <v>52</v>
      </c>
      <c r="E861" t="s">
        <v>47</v>
      </c>
      <c r="F861" s="4" t="s">
        <v>48</v>
      </c>
      <c r="G861" t="s">
        <v>239</v>
      </c>
      <c r="H861" t="s">
        <v>241</v>
      </c>
      <c r="I861" t="s">
        <v>380</v>
      </c>
      <c r="J861" t="s">
        <v>360</v>
      </c>
      <c r="K861" t="str">
        <f>Tabla14[[#This Row],[id]]&amp;Tabla14[[#This Row],[Resposable]]</f>
        <v>109Ever Morales</v>
      </c>
      <c r="L861" t="str">
        <f>Tabla14[[#This Row],[id]]&amp;Tabla14[[#This Row],[Resposable]]</f>
        <v>109Ever Morales</v>
      </c>
      <c r="M861" t="s">
        <v>241</v>
      </c>
    </row>
    <row r="862" spans="1:13" x14ac:dyDescent="0.25">
      <c r="A862" t="s">
        <v>27</v>
      </c>
      <c r="B862">
        <v>109</v>
      </c>
      <c r="C862" t="s">
        <v>5</v>
      </c>
      <c r="D862" t="s">
        <v>53</v>
      </c>
      <c r="E862" t="s">
        <v>54</v>
      </c>
      <c r="F862" s="4" t="s">
        <v>48</v>
      </c>
      <c r="G862" t="s">
        <v>239</v>
      </c>
      <c r="H862" t="s">
        <v>241</v>
      </c>
      <c r="I862" t="s">
        <v>380</v>
      </c>
      <c r="J862" t="s">
        <v>360</v>
      </c>
      <c r="K862" t="str">
        <f>Tabla14[[#This Row],[id]]&amp;Tabla14[[#This Row],[Resposable]]</f>
        <v>109Ever Morales</v>
      </c>
      <c r="L862" t="str">
        <f>Tabla14[[#This Row],[id]]&amp;Tabla14[[#This Row],[Resposable]]</f>
        <v>109Ever Morales</v>
      </c>
      <c r="M862" t="s">
        <v>241</v>
      </c>
    </row>
    <row r="863" spans="1:13" x14ac:dyDescent="0.25">
      <c r="A863" t="s">
        <v>27</v>
      </c>
      <c r="B863">
        <v>109</v>
      </c>
      <c r="C863" t="s">
        <v>5</v>
      </c>
      <c r="D863" t="s">
        <v>64</v>
      </c>
      <c r="E863" t="s">
        <v>47</v>
      </c>
      <c r="F863" s="4" t="s">
        <v>48</v>
      </c>
      <c r="G863" t="s">
        <v>239</v>
      </c>
      <c r="H863" t="s">
        <v>241</v>
      </c>
      <c r="I863" t="s">
        <v>380</v>
      </c>
      <c r="J863" t="s">
        <v>360</v>
      </c>
      <c r="K863" t="str">
        <f>Tabla14[[#This Row],[id]]&amp;Tabla14[[#This Row],[Resposable]]</f>
        <v>109Ever Morales</v>
      </c>
      <c r="L863" t="str">
        <f>Tabla14[[#This Row],[id]]&amp;Tabla14[[#This Row],[Resposable]]</f>
        <v>109Ever Morales</v>
      </c>
      <c r="M863" t="s">
        <v>241</v>
      </c>
    </row>
    <row r="864" spans="1:13" x14ac:dyDescent="0.25">
      <c r="A864" t="s">
        <v>31</v>
      </c>
      <c r="B864">
        <v>133</v>
      </c>
      <c r="C864" t="s">
        <v>5</v>
      </c>
      <c r="D864" t="s">
        <v>46</v>
      </c>
      <c r="E864" t="s">
        <v>47</v>
      </c>
      <c r="F864" s="4" t="s">
        <v>48</v>
      </c>
      <c r="G864" t="s">
        <v>239</v>
      </c>
      <c r="H864" t="s">
        <v>241</v>
      </c>
      <c r="I864" t="s">
        <v>380</v>
      </c>
      <c r="J864" t="s">
        <v>360</v>
      </c>
      <c r="K864" t="str">
        <f>Tabla14[[#This Row],[id]]&amp;Tabla14[[#This Row],[Resposable]]</f>
        <v>133Ever Morales</v>
      </c>
      <c r="L864" t="str">
        <f>Tabla14[[#This Row],[id]]&amp;Tabla14[[#This Row],[Resposable]]</f>
        <v>133Ever Morales</v>
      </c>
      <c r="M864" t="s">
        <v>241</v>
      </c>
    </row>
    <row r="865" spans="1:13" x14ac:dyDescent="0.25">
      <c r="A865" t="s">
        <v>31</v>
      </c>
      <c r="B865">
        <v>133</v>
      </c>
      <c r="C865" t="s">
        <v>5</v>
      </c>
      <c r="D865" t="s">
        <v>52</v>
      </c>
      <c r="E865" t="s">
        <v>47</v>
      </c>
      <c r="F865" s="4" t="s">
        <v>48</v>
      </c>
      <c r="G865" t="s">
        <v>239</v>
      </c>
      <c r="H865" t="s">
        <v>241</v>
      </c>
      <c r="I865" t="s">
        <v>380</v>
      </c>
      <c r="J865" t="s">
        <v>360</v>
      </c>
      <c r="K865" t="str">
        <f>Tabla14[[#This Row],[id]]&amp;Tabla14[[#This Row],[Resposable]]</f>
        <v>133Ever Morales</v>
      </c>
      <c r="L865" t="str">
        <f>Tabla14[[#This Row],[id]]&amp;Tabla14[[#This Row],[Resposable]]</f>
        <v>133Ever Morales</v>
      </c>
      <c r="M865" t="s">
        <v>241</v>
      </c>
    </row>
    <row r="866" spans="1:13" x14ac:dyDescent="0.25">
      <c r="A866" t="s">
        <v>31</v>
      </c>
      <c r="B866">
        <v>133</v>
      </c>
      <c r="C866" t="s">
        <v>5</v>
      </c>
      <c r="D866" t="s">
        <v>53</v>
      </c>
      <c r="E866" t="s">
        <v>54</v>
      </c>
      <c r="F866" s="4" t="s">
        <v>48</v>
      </c>
      <c r="G866" t="s">
        <v>239</v>
      </c>
      <c r="H866" t="s">
        <v>241</v>
      </c>
      <c r="I866" t="s">
        <v>380</v>
      </c>
      <c r="J866" t="s">
        <v>360</v>
      </c>
      <c r="K866" t="str">
        <f>Tabla14[[#This Row],[id]]&amp;Tabla14[[#This Row],[Resposable]]</f>
        <v>133Ever Morales</v>
      </c>
      <c r="L866" t="str">
        <f>Tabla14[[#This Row],[id]]&amp;Tabla14[[#This Row],[Resposable]]</f>
        <v>133Ever Morales</v>
      </c>
      <c r="M866" t="s">
        <v>241</v>
      </c>
    </row>
    <row r="867" spans="1:13" x14ac:dyDescent="0.25">
      <c r="A867" t="s">
        <v>31</v>
      </c>
      <c r="B867">
        <v>133</v>
      </c>
      <c r="C867" t="s">
        <v>5</v>
      </c>
      <c r="D867" t="s">
        <v>64</v>
      </c>
      <c r="E867" t="s">
        <v>47</v>
      </c>
      <c r="F867" s="4" t="s">
        <v>48</v>
      </c>
      <c r="G867" t="s">
        <v>239</v>
      </c>
      <c r="H867" t="s">
        <v>241</v>
      </c>
      <c r="I867" t="s">
        <v>380</v>
      </c>
      <c r="J867" t="s">
        <v>360</v>
      </c>
      <c r="K867" t="str">
        <f>Tabla14[[#This Row],[id]]&amp;Tabla14[[#This Row],[Resposable]]</f>
        <v>133Ever Morales</v>
      </c>
      <c r="L867" t="str">
        <f>Tabla14[[#This Row],[id]]&amp;Tabla14[[#This Row],[Resposable]]</f>
        <v>133Ever Morales</v>
      </c>
      <c r="M867" t="s">
        <v>241</v>
      </c>
    </row>
    <row r="868" spans="1:13" x14ac:dyDescent="0.25">
      <c r="A868" t="s">
        <v>369</v>
      </c>
      <c r="B868">
        <v>179</v>
      </c>
      <c r="C868" t="s">
        <v>5</v>
      </c>
      <c r="D868" t="s">
        <v>46</v>
      </c>
      <c r="E868" s="18" t="s">
        <v>47</v>
      </c>
      <c r="F868" s="4" t="s">
        <v>48</v>
      </c>
      <c r="G868" s="18" t="s">
        <v>239</v>
      </c>
      <c r="H868" t="s">
        <v>241</v>
      </c>
      <c r="I868" t="s">
        <v>380</v>
      </c>
      <c r="J868" t="s">
        <v>360</v>
      </c>
      <c r="K868" t="str">
        <f>Tabla14[[#This Row],[id]]&amp;Tabla14[[#This Row],[Resposable]]</f>
        <v>179Ever Morales</v>
      </c>
      <c r="L868" t="str">
        <f>Tabla14[[#This Row],[id]]&amp;Tabla14[[#This Row],[Resposable]]</f>
        <v>179Ever Morales</v>
      </c>
      <c r="M868" t="s">
        <v>241</v>
      </c>
    </row>
    <row r="869" spans="1:13" x14ac:dyDescent="0.25">
      <c r="A869" t="s">
        <v>369</v>
      </c>
      <c r="B869">
        <v>179</v>
      </c>
      <c r="C869" t="s">
        <v>5</v>
      </c>
      <c r="D869" t="s">
        <v>52</v>
      </c>
      <c r="E869" s="18" t="s">
        <v>47</v>
      </c>
      <c r="F869" s="4" t="s">
        <v>48</v>
      </c>
      <c r="G869" s="18" t="s">
        <v>239</v>
      </c>
      <c r="H869" t="s">
        <v>241</v>
      </c>
      <c r="I869" t="s">
        <v>380</v>
      </c>
      <c r="J869" t="s">
        <v>360</v>
      </c>
      <c r="K869" t="str">
        <f>Tabla14[[#This Row],[id]]&amp;Tabla14[[#This Row],[Resposable]]</f>
        <v>179Ever Morales</v>
      </c>
      <c r="L869" t="str">
        <f>Tabla14[[#This Row],[id]]&amp;Tabla14[[#This Row],[Resposable]]</f>
        <v>179Ever Morales</v>
      </c>
      <c r="M869" t="s">
        <v>241</v>
      </c>
    </row>
    <row r="870" spans="1:13" x14ac:dyDescent="0.25">
      <c r="A870" t="s">
        <v>369</v>
      </c>
      <c r="B870">
        <v>179</v>
      </c>
      <c r="C870" t="s">
        <v>5</v>
      </c>
      <c r="D870" t="s">
        <v>53</v>
      </c>
      <c r="E870" s="18" t="s">
        <v>54</v>
      </c>
      <c r="F870" s="4" t="s">
        <v>48</v>
      </c>
      <c r="G870" s="18" t="s">
        <v>239</v>
      </c>
      <c r="H870" t="s">
        <v>241</v>
      </c>
      <c r="I870" t="s">
        <v>380</v>
      </c>
      <c r="J870" t="s">
        <v>360</v>
      </c>
      <c r="K870" t="str">
        <f>Tabla14[[#This Row],[id]]&amp;Tabla14[[#This Row],[Resposable]]</f>
        <v>179Ever Morales</v>
      </c>
      <c r="L870" t="str">
        <f>Tabla14[[#This Row],[id]]&amp;Tabla14[[#This Row],[Resposable]]</f>
        <v>179Ever Morales</v>
      </c>
      <c r="M870" t="s">
        <v>241</v>
      </c>
    </row>
    <row r="871" spans="1:13" x14ac:dyDescent="0.25">
      <c r="A871" t="s">
        <v>369</v>
      </c>
      <c r="B871">
        <v>179</v>
      </c>
      <c r="C871" t="s">
        <v>5</v>
      </c>
      <c r="D871" t="s">
        <v>64</v>
      </c>
      <c r="E871" s="18" t="s">
        <v>47</v>
      </c>
      <c r="F871" s="4" t="s">
        <v>48</v>
      </c>
      <c r="G871" s="18" t="s">
        <v>239</v>
      </c>
      <c r="H871" t="s">
        <v>241</v>
      </c>
      <c r="I871" t="s">
        <v>380</v>
      </c>
      <c r="J871" t="s">
        <v>360</v>
      </c>
      <c r="K871" t="str">
        <f>Tabla14[[#This Row],[id]]&amp;Tabla14[[#This Row],[Resposable]]</f>
        <v>179Ever Morales</v>
      </c>
      <c r="L871" t="str">
        <f>Tabla14[[#This Row],[id]]&amp;Tabla14[[#This Row],[Resposable]]</f>
        <v>179Ever Morales</v>
      </c>
      <c r="M871" t="s">
        <v>241</v>
      </c>
    </row>
    <row r="872" spans="1:13" x14ac:dyDescent="0.25">
      <c r="A872" t="s">
        <v>245</v>
      </c>
      <c r="B872">
        <v>3</v>
      </c>
      <c r="C872" t="s">
        <v>5</v>
      </c>
      <c r="D872" t="s">
        <v>46</v>
      </c>
      <c r="E872" t="s">
        <v>47</v>
      </c>
      <c r="F872" s="4" t="s">
        <v>48</v>
      </c>
      <c r="G872" t="s">
        <v>239</v>
      </c>
      <c r="H872" t="s">
        <v>300</v>
      </c>
      <c r="I872" t="s">
        <v>380</v>
      </c>
      <c r="J872" t="s">
        <v>360</v>
      </c>
      <c r="K872" t="str">
        <f>Tabla14[[#This Row],[id]]&amp;Tabla14[[#This Row],[Resposable]]</f>
        <v>3Ever Morales</v>
      </c>
      <c r="L872" t="str">
        <f>Tabla14[[#This Row],[id]]&amp;Tabla14[[#This Row],[Resposable]]</f>
        <v>3Ever Morales</v>
      </c>
      <c r="M872" t="s">
        <v>300</v>
      </c>
    </row>
    <row r="873" spans="1:13" x14ac:dyDescent="0.25">
      <c r="A873" t="s">
        <v>245</v>
      </c>
      <c r="B873">
        <v>3</v>
      </c>
      <c r="C873" t="s">
        <v>5</v>
      </c>
      <c r="D873" t="s">
        <v>52</v>
      </c>
      <c r="E873" t="s">
        <v>47</v>
      </c>
      <c r="F873" s="4" t="s">
        <v>48</v>
      </c>
      <c r="G873" t="s">
        <v>239</v>
      </c>
      <c r="H873" t="s">
        <v>300</v>
      </c>
      <c r="I873" t="s">
        <v>380</v>
      </c>
      <c r="J873" t="s">
        <v>365</v>
      </c>
      <c r="K873" t="str">
        <f>Tabla14[[#This Row],[id]]&amp;Tabla14[[#This Row],[Resposable]]</f>
        <v>3Ever Morales</v>
      </c>
      <c r="L873" t="str">
        <f>Tabla14[[#This Row],[id]]&amp;Tabla14[[#This Row],[Resposable]]</f>
        <v>3Ever Morales</v>
      </c>
      <c r="M873" t="s">
        <v>300</v>
      </c>
    </row>
    <row r="874" spans="1:13" x14ac:dyDescent="0.25">
      <c r="A874" t="s">
        <v>245</v>
      </c>
      <c r="B874">
        <v>3</v>
      </c>
      <c r="C874" t="s">
        <v>5</v>
      </c>
      <c r="D874" t="s">
        <v>53</v>
      </c>
      <c r="E874" t="s">
        <v>54</v>
      </c>
      <c r="F874" s="4" t="s">
        <v>48</v>
      </c>
      <c r="G874" t="s">
        <v>239</v>
      </c>
      <c r="H874" t="s">
        <v>300</v>
      </c>
      <c r="I874" t="s">
        <v>380</v>
      </c>
      <c r="J874" t="s">
        <v>365</v>
      </c>
      <c r="K874" t="str">
        <f>Tabla14[[#This Row],[id]]&amp;Tabla14[[#This Row],[Resposable]]</f>
        <v>3Ever Morales</v>
      </c>
      <c r="L874" t="str">
        <f>Tabla14[[#This Row],[id]]&amp;Tabla14[[#This Row],[Resposable]]</f>
        <v>3Ever Morales</v>
      </c>
      <c r="M874" t="s">
        <v>300</v>
      </c>
    </row>
    <row r="875" spans="1:13" x14ac:dyDescent="0.25">
      <c r="A875" t="s">
        <v>245</v>
      </c>
      <c r="B875">
        <v>3</v>
      </c>
      <c r="C875" t="s">
        <v>5</v>
      </c>
      <c r="D875" t="s">
        <v>56</v>
      </c>
      <c r="E875" t="s">
        <v>47</v>
      </c>
      <c r="F875" s="4" t="s">
        <v>48</v>
      </c>
      <c r="G875" t="s">
        <v>239</v>
      </c>
      <c r="H875" t="s">
        <v>300</v>
      </c>
      <c r="I875" t="s">
        <v>380</v>
      </c>
      <c r="J875" t="s">
        <v>360</v>
      </c>
      <c r="K875" t="str">
        <f>Tabla14[[#This Row],[id]]&amp;Tabla14[[#This Row],[Resposable]]</f>
        <v>3Ever Morales</v>
      </c>
      <c r="L875" t="str">
        <f>Tabla14[[#This Row],[id]]&amp;Tabla14[[#This Row],[Resposable]]</f>
        <v>3Ever Morales</v>
      </c>
      <c r="M875" t="s">
        <v>300</v>
      </c>
    </row>
    <row r="876" spans="1:13" x14ac:dyDescent="0.25">
      <c r="A876" t="s">
        <v>246</v>
      </c>
      <c r="B876">
        <v>8</v>
      </c>
      <c r="C876" t="s">
        <v>5</v>
      </c>
      <c r="D876" t="s">
        <v>46</v>
      </c>
      <c r="E876" t="s">
        <v>47</v>
      </c>
      <c r="F876" s="4" t="s">
        <v>58</v>
      </c>
      <c r="G876" t="s">
        <v>239</v>
      </c>
      <c r="H876" t="s">
        <v>300</v>
      </c>
      <c r="I876" t="s">
        <v>380</v>
      </c>
      <c r="J876" t="s">
        <v>360</v>
      </c>
      <c r="K876" t="str">
        <f>Tabla14[[#This Row],[id]]&amp;Tabla14[[#This Row],[Resposable]]</f>
        <v>8Ever Morales</v>
      </c>
      <c r="L876" t="str">
        <f>Tabla14[[#This Row],[id]]&amp;Tabla14[[#This Row],[Resposable]]</f>
        <v>8Ever Morales</v>
      </c>
      <c r="M876" t="s">
        <v>300</v>
      </c>
    </row>
    <row r="877" spans="1:13" x14ac:dyDescent="0.25">
      <c r="A877" t="s">
        <v>246</v>
      </c>
      <c r="B877">
        <v>8</v>
      </c>
      <c r="C877" t="s">
        <v>5</v>
      </c>
      <c r="D877" t="s">
        <v>52</v>
      </c>
      <c r="E877" t="s">
        <v>47</v>
      </c>
      <c r="F877" s="4" t="s">
        <v>58</v>
      </c>
      <c r="G877" t="s">
        <v>239</v>
      </c>
      <c r="H877" t="s">
        <v>300</v>
      </c>
      <c r="I877" t="s">
        <v>380</v>
      </c>
      <c r="J877" t="s">
        <v>365</v>
      </c>
      <c r="K877" t="str">
        <f>Tabla14[[#This Row],[id]]&amp;Tabla14[[#This Row],[Resposable]]</f>
        <v>8Ever Morales</v>
      </c>
      <c r="L877" t="str">
        <f>Tabla14[[#This Row],[id]]&amp;Tabla14[[#This Row],[Resposable]]</f>
        <v>8Ever Morales</v>
      </c>
      <c r="M877" t="s">
        <v>300</v>
      </c>
    </row>
    <row r="878" spans="1:13" x14ac:dyDescent="0.25">
      <c r="A878" t="s">
        <v>246</v>
      </c>
      <c r="B878">
        <v>8</v>
      </c>
      <c r="C878" t="s">
        <v>5</v>
      </c>
      <c r="D878" t="s">
        <v>53</v>
      </c>
      <c r="E878" t="s">
        <v>54</v>
      </c>
      <c r="F878" s="4" t="s">
        <v>58</v>
      </c>
      <c r="G878" t="s">
        <v>239</v>
      </c>
      <c r="H878" t="s">
        <v>300</v>
      </c>
      <c r="I878" t="s">
        <v>380</v>
      </c>
      <c r="J878" t="s">
        <v>360</v>
      </c>
      <c r="K878" t="str">
        <f>Tabla14[[#This Row],[id]]&amp;Tabla14[[#This Row],[Resposable]]</f>
        <v>8Ever Morales</v>
      </c>
      <c r="L878" t="str">
        <f>Tabla14[[#This Row],[id]]&amp;Tabla14[[#This Row],[Resposable]]</f>
        <v>8Ever Morales</v>
      </c>
      <c r="M878" t="s">
        <v>300</v>
      </c>
    </row>
    <row r="879" spans="1:13" x14ac:dyDescent="0.25">
      <c r="A879" t="s">
        <v>246</v>
      </c>
      <c r="B879">
        <v>8</v>
      </c>
      <c r="C879" t="s">
        <v>5</v>
      </c>
      <c r="D879" t="s">
        <v>64</v>
      </c>
      <c r="E879" t="s">
        <v>47</v>
      </c>
      <c r="F879" s="4" t="s">
        <v>65</v>
      </c>
      <c r="G879" t="s">
        <v>239</v>
      </c>
      <c r="H879" t="s">
        <v>300</v>
      </c>
      <c r="I879" t="s">
        <v>380</v>
      </c>
      <c r="J879" t="s">
        <v>360</v>
      </c>
      <c r="K879" t="str">
        <f>Tabla14[[#This Row],[id]]&amp;Tabla14[[#This Row],[Resposable]]</f>
        <v>8Ever Morales</v>
      </c>
      <c r="L879" t="str">
        <f>Tabla14[[#This Row],[id]]&amp;Tabla14[[#This Row],[Resposable]]</f>
        <v>8Ever Morales</v>
      </c>
      <c r="M879" t="s">
        <v>300</v>
      </c>
    </row>
    <row r="880" spans="1:13" x14ac:dyDescent="0.25">
      <c r="A880" t="s">
        <v>10</v>
      </c>
      <c r="B880">
        <v>16</v>
      </c>
      <c r="C880" t="s">
        <v>5</v>
      </c>
      <c r="D880" t="s">
        <v>46</v>
      </c>
      <c r="E880" t="s">
        <v>47</v>
      </c>
      <c r="F880" s="4" t="s">
        <v>48</v>
      </c>
      <c r="G880" t="s">
        <v>239</v>
      </c>
      <c r="H880" t="s">
        <v>300</v>
      </c>
      <c r="I880" t="s">
        <v>380</v>
      </c>
      <c r="J880" t="s">
        <v>360</v>
      </c>
      <c r="K880" t="str">
        <f>Tabla14[[#This Row],[id]]&amp;Tabla14[[#This Row],[Resposable]]</f>
        <v>16Ever Morales</v>
      </c>
      <c r="L880" t="str">
        <f>Tabla14[[#This Row],[id]]&amp;Tabla14[[#This Row],[Resposable]]</f>
        <v>16Ever Morales</v>
      </c>
      <c r="M880" t="s">
        <v>300</v>
      </c>
    </row>
    <row r="881" spans="1:13" x14ac:dyDescent="0.25">
      <c r="A881" t="s">
        <v>10</v>
      </c>
      <c r="B881">
        <v>16</v>
      </c>
      <c r="C881" t="s">
        <v>5</v>
      </c>
      <c r="D881" t="s">
        <v>52</v>
      </c>
      <c r="E881" t="s">
        <v>47</v>
      </c>
      <c r="F881" s="4" t="s">
        <v>48</v>
      </c>
      <c r="G881" t="s">
        <v>239</v>
      </c>
      <c r="H881" t="s">
        <v>300</v>
      </c>
      <c r="I881" t="s">
        <v>380</v>
      </c>
      <c r="J881" t="s">
        <v>365</v>
      </c>
      <c r="K881" t="str">
        <f>Tabla14[[#This Row],[id]]&amp;Tabla14[[#This Row],[Resposable]]</f>
        <v>16Ever Morales</v>
      </c>
      <c r="L881" t="str">
        <f>Tabla14[[#This Row],[id]]&amp;Tabla14[[#This Row],[Resposable]]</f>
        <v>16Ever Morales</v>
      </c>
      <c r="M881" t="s">
        <v>300</v>
      </c>
    </row>
    <row r="882" spans="1:13" x14ac:dyDescent="0.25">
      <c r="A882" t="s">
        <v>10</v>
      </c>
      <c r="B882">
        <v>16</v>
      </c>
      <c r="C882" t="s">
        <v>5</v>
      </c>
      <c r="D882" t="s">
        <v>53</v>
      </c>
      <c r="E882" t="s">
        <v>54</v>
      </c>
      <c r="F882" s="4" t="s">
        <v>48</v>
      </c>
      <c r="G882" t="s">
        <v>239</v>
      </c>
      <c r="H882" t="s">
        <v>300</v>
      </c>
      <c r="I882" t="s">
        <v>380</v>
      </c>
      <c r="J882" t="s">
        <v>365</v>
      </c>
      <c r="K882" t="str">
        <f>Tabla14[[#This Row],[id]]&amp;Tabla14[[#This Row],[Resposable]]</f>
        <v>16Ever Morales</v>
      </c>
      <c r="L882" t="str">
        <f>Tabla14[[#This Row],[id]]&amp;Tabla14[[#This Row],[Resposable]]</f>
        <v>16Ever Morales</v>
      </c>
      <c r="M882" t="s">
        <v>300</v>
      </c>
    </row>
    <row r="883" spans="1:13" x14ac:dyDescent="0.25">
      <c r="A883" t="s">
        <v>10</v>
      </c>
      <c r="B883">
        <v>16</v>
      </c>
      <c r="C883" t="s">
        <v>5</v>
      </c>
      <c r="D883" t="s">
        <v>64</v>
      </c>
      <c r="E883" t="s">
        <v>47</v>
      </c>
      <c r="F883" s="4" t="s">
        <v>48</v>
      </c>
      <c r="G883" t="s">
        <v>239</v>
      </c>
      <c r="H883" t="s">
        <v>300</v>
      </c>
      <c r="I883" t="s">
        <v>380</v>
      </c>
      <c r="J883" t="s">
        <v>360</v>
      </c>
      <c r="K883" t="str">
        <f>Tabla14[[#This Row],[id]]&amp;Tabla14[[#This Row],[Resposable]]</f>
        <v>16Ever Morales</v>
      </c>
      <c r="L883" t="str">
        <f>Tabla14[[#This Row],[id]]&amp;Tabla14[[#This Row],[Resposable]]</f>
        <v>16Ever Morales</v>
      </c>
      <c r="M883" t="s">
        <v>300</v>
      </c>
    </row>
    <row r="884" spans="1:13" x14ac:dyDescent="0.25">
      <c r="A884" t="s">
        <v>17</v>
      </c>
      <c r="B884">
        <v>51</v>
      </c>
      <c r="C884" t="s">
        <v>5</v>
      </c>
      <c r="D884" t="s">
        <v>46</v>
      </c>
      <c r="E884" t="s">
        <v>47</v>
      </c>
      <c r="F884" s="4" t="s">
        <v>48</v>
      </c>
      <c r="G884" t="s">
        <v>239</v>
      </c>
      <c r="H884" t="s">
        <v>300</v>
      </c>
      <c r="I884" t="s">
        <v>380</v>
      </c>
      <c r="J884" t="s">
        <v>360</v>
      </c>
      <c r="K884" t="str">
        <f>Tabla14[[#This Row],[id]]&amp;Tabla14[[#This Row],[Resposable]]</f>
        <v>51Ever Morales</v>
      </c>
      <c r="L884" t="str">
        <f>Tabla14[[#This Row],[id]]&amp;Tabla14[[#This Row],[Resposable]]</f>
        <v>51Ever Morales</v>
      </c>
      <c r="M884" t="s">
        <v>300</v>
      </c>
    </row>
    <row r="885" spans="1:13" x14ac:dyDescent="0.25">
      <c r="A885" t="s">
        <v>17</v>
      </c>
      <c r="B885">
        <v>51</v>
      </c>
      <c r="C885" t="s">
        <v>5</v>
      </c>
      <c r="D885" t="s">
        <v>52</v>
      </c>
      <c r="E885" t="s">
        <v>47</v>
      </c>
      <c r="F885" s="4" t="s">
        <v>48</v>
      </c>
      <c r="G885" t="s">
        <v>239</v>
      </c>
      <c r="H885" t="s">
        <v>300</v>
      </c>
      <c r="I885" t="s">
        <v>380</v>
      </c>
      <c r="J885" t="s">
        <v>360</v>
      </c>
      <c r="K885" t="str">
        <f>Tabla14[[#This Row],[id]]&amp;Tabla14[[#This Row],[Resposable]]</f>
        <v>51Ever Morales</v>
      </c>
      <c r="L885" t="str">
        <f>Tabla14[[#This Row],[id]]&amp;Tabla14[[#This Row],[Resposable]]</f>
        <v>51Ever Morales</v>
      </c>
      <c r="M885" t="s">
        <v>300</v>
      </c>
    </row>
    <row r="886" spans="1:13" x14ac:dyDescent="0.25">
      <c r="A886" t="s">
        <v>17</v>
      </c>
      <c r="B886">
        <v>51</v>
      </c>
      <c r="C886" t="s">
        <v>5</v>
      </c>
      <c r="D886" t="s">
        <v>53</v>
      </c>
      <c r="E886" t="s">
        <v>54</v>
      </c>
      <c r="F886" s="4" t="s">
        <v>48</v>
      </c>
      <c r="G886" t="s">
        <v>239</v>
      </c>
      <c r="H886" t="s">
        <v>300</v>
      </c>
      <c r="I886" t="s">
        <v>380</v>
      </c>
      <c r="J886" t="s">
        <v>360</v>
      </c>
      <c r="K886" t="str">
        <f>Tabla14[[#This Row],[id]]&amp;Tabla14[[#This Row],[Resposable]]</f>
        <v>51Ever Morales</v>
      </c>
      <c r="L886" t="str">
        <f>Tabla14[[#This Row],[id]]&amp;Tabla14[[#This Row],[Resposable]]</f>
        <v>51Ever Morales</v>
      </c>
      <c r="M886" t="s">
        <v>300</v>
      </c>
    </row>
    <row r="887" spans="1:13" x14ac:dyDescent="0.25">
      <c r="A887" t="s">
        <v>17</v>
      </c>
      <c r="B887">
        <v>51</v>
      </c>
      <c r="C887" t="s">
        <v>5</v>
      </c>
      <c r="D887" t="s">
        <v>64</v>
      </c>
      <c r="E887" t="s">
        <v>47</v>
      </c>
      <c r="F887" s="4" t="s">
        <v>48</v>
      </c>
      <c r="G887" t="s">
        <v>239</v>
      </c>
      <c r="H887" t="s">
        <v>300</v>
      </c>
      <c r="I887" t="s">
        <v>380</v>
      </c>
      <c r="J887" t="s">
        <v>360</v>
      </c>
      <c r="K887" t="str">
        <f>Tabla14[[#This Row],[id]]&amp;Tabla14[[#This Row],[Resposable]]</f>
        <v>51Ever Morales</v>
      </c>
      <c r="L887" t="str">
        <f>Tabla14[[#This Row],[id]]&amp;Tabla14[[#This Row],[Resposable]]</f>
        <v>51Ever Morales</v>
      </c>
      <c r="M887" t="s">
        <v>300</v>
      </c>
    </row>
    <row r="888" spans="1:13" x14ac:dyDescent="0.25">
      <c r="A888" t="s">
        <v>309</v>
      </c>
      <c r="B888">
        <v>66</v>
      </c>
      <c r="C888" t="s">
        <v>5</v>
      </c>
      <c r="D888" t="s">
        <v>46</v>
      </c>
      <c r="E888" t="s">
        <v>47</v>
      </c>
      <c r="F888" s="4" t="s">
        <v>48</v>
      </c>
      <c r="G888" t="s">
        <v>239</v>
      </c>
      <c r="H888" t="s">
        <v>300</v>
      </c>
      <c r="I888" t="s">
        <v>380</v>
      </c>
      <c r="J888" t="s">
        <v>360</v>
      </c>
      <c r="K888" t="str">
        <f>Tabla14[[#This Row],[id]]&amp;Tabla14[[#This Row],[Resposable]]</f>
        <v>66Ever Morales</v>
      </c>
      <c r="L888" t="str">
        <f>Tabla14[[#This Row],[id]]&amp;Tabla14[[#This Row],[Resposable]]</f>
        <v>66Ever Morales</v>
      </c>
      <c r="M888" t="s">
        <v>300</v>
      </c>
    </row>
    <row r="889" spans="1:13" x14ac:dyDescent="0.25">
      <c r="A889" t="s">
        <v>309</v>
      </c>
      <c r="B889">
        <v>66</v>
      </c>
      <c r="C889" t="s">
        <v>7</v>
      </c>
      <c r="D889" t="s">
        <v>98</v>
      </c>
      <c r="E889" t="s">
        <v>47</v>
      </c>
      <c r="F889" s="4" t="s">
        <v>48</v>
      </c>
      <c r="G889" t="s">
        <v>239</v>
      </c>
      <c r="H889" t="s">
        <v>300</v>
      </c>
      <c r="I889" t="s">
        <v>380</v>
      </c>
      <c r="J889" t="s">
        <v>360</v>
      </c>
      <c r="K889" t="str">
        <f>Tabla14[[#This Row],[id]]&amp;Tabla14[[#This Row],[Resposable]]</f>
        <v>66Ever Morales</v>
      </c>
      <c r="L889" t="str">
        <f>Tabla14[[#This Row],[id]]&amp;Tabla14[[#This Row],[Resposable]]</f>
        <v>66Ever Morales</v>
      </c>
      <c r="M889" t="s">
        <v>300</v>
      </c>
    </row>
    <row r="890" spans="1:13" x14ac:dyDescent="0.25">
      <c r="A890" t="s">
        <v>309</v>
      </c>
      <c r="B890">
        <v>66</v>
      </c>
      <c r="C890" t="s">
        <v>5</v>
      </c>
      <c r="D890" t="s">
        <v>52</v>
      </c>
      <c r="E890" t="s">
        <v>47</v>
      </c>
      <c r="F890" s="4" t="s">
        <v>48</v>
      </c>
      <c r="G890" t="s">
        <v>239</v>
      </c>
      <c r="H890" t="s">
        <v>300</v>
      </c>
      <c r="I890" t="s">
        <v>380</v>
      </c>
      <c r="J890" t="s">
        <v>360</v>
      </c>
      <c r="K890" t="str">
        <f>Tabla14[[#This Row],[id]]&amp;Tabla14[[#This Row],[Resposable]]</f>
        <v>66Ever Morales</v>
      </c>
      <c r="L890" t="str">
        <f>Tabla14[[#This Row],[id]]&amp;Tabla14[[#This Row],[Resposable]]</f>
        <v>66Ever Morales</v>
      </c>
      <c r="M890" t="s">
        <v>300</v>
      </c>
    </row>
    <row r="891" spans="1:13" x14ac:dyDescent="0.25">
      <c r="A891" t="s">
        <v>309</v>
      </c>
      <c r="B891">
        <v>66</v>
      </c>
      <c r="C891" t="s">
        <v>5</v>
      </c>
      <c r="D891" t="s">
        <v>53</v>
      </c>
      <c r="E891" t="s">
        <v>54</v>
      </c>
      <c r="F891" s="4" t="s">
        <v>48</v>
      </c>
      <c r="G891" t="s">
        <v>239</v>
      </c>
      <c r="H891" t="s">
        <v>300</v>
      </c>
      <c r="I891" t="s">
        <v>380</v>
      </c>
      <c r="J891" t="s">
        <v>360</v>
      </c>
      <c r="K891" t="str">
        <f>Tabla14[[#This Row],[id]]&amp;Tabla14[[#This Row],[Resposable]]</f>
        <v>66Ever Morales</v>
      </c>
      <c r="L891" t="str">
        <f>Tabla14[[#This Row],[id]]&amp;Tabla14[[#This Row],[Resposable]]</f>
        <v>66Ever Morales</v>
      </c>
      <c r="M891" t="s">
        <v>300</v>
      </c>
    </row>
    <row r="892" spans="1:13" x14ac:dyDescent="0.25">
      <c r="A892" t="s">
        <v>309</v>
      </c>
      <c r="B892">
        <v>66</v>
      </c>
      <c r="C892" t="s">
        <v>5</v>
      </c>
      <c r="D892" t="s">
        <v>56</v>
      </c>
      <c r="E892" t="s">
        <v>47</v>
      </c>
      <c r="F892" s="4" t="s">
        <v>48</v>
      </c>
      <c r="G892" t="s">
        <v>239</v>
      </c>
      <c r="H892" t="s">
        <v>300</v>
      </c>
      <c r="I892" t="s">
        <v>380</v>
      </c>
      <c r="J892" t="s">
        <v>360</v>
      </c>
      <c r="K892" t="str">
        <f>Tabla14[[#This Row],[id]]&amp;Tabla14[[#This Row],[Resposable]]</f>
        <v>66Ever Morales</v>
      </c>
      <c r="L892" t="str">
        <f>Tabla14[[#This Row],[id]]&amp;Tabla14[[#This Row],[Resposable]]</f>
        <v>66Ever Morales</v>
      </c>
      <c r="M892" t="s">
        <v>300</v>
      </c>
    </row>
    <row r="893" spans="1:13" x14ac:dyDescent="0.25">
      <c r="A893" t="s">
        <v>24</v>
      </c>
      <c r="B893">
        <v>105</v>
      </c>
      <c r="C893" t="s">
        <v>5</v>
      </c>
      <c r="D893" t="s">
        <v>116</v>
      </c>
      <c r="E893" t="s">
        <v>47</v>
      </c>
      <c r="F893" s="4" t="s">
        <v>58</v>
      </c>
      <c r="G893" t="s">
        <v>239</v>
      </c>
      <c r="H893" t="s">
        <v>300</v>
      </c>
      <c r="I893" t="s">
        <v>380</v>
      </c>
      <c r="J893" t="s">
        <v>360</v>
      </c>
      <c r="K893" t="str">
        <f>Tabla14[[#This Row],[id]]&amp;Tabla14[[#This Row],[Resposable]]</f>
        <v>105Ever Morales</v>
      </c>
      <c r="L893" t="str">
        <f>Tabla14[[#This Row],[id]]&amp;Tabla14[[#This Row],[Resposable]]</f>
        <v>105Ever Morales</v>
      </c>
      <c r="M893" t="s">
        <v>300</v>
      </c>
    </row>
    <row r="894" spans="1:13" x14ac:dyDescent="0.25">
      <c r="A894" t="s">
        <v>24</v>
      </c>
      <c r="B894">
        <v>105</v>
      </c>
      <c r="C894" t="s">
        <v>5</v>
      </c>
      <c r="D894" t="s">
        <v>46</v>
      </c>
      <c r="E894" t="s">
        <v>47</v>
      </c>
      <c r="F894" s="4" t="s">
        <v>96</v>
      </c>
      <c r="G894" t="s">
        <v>239</v>
      </c>
      <c r="H894" t="s">
        <v>300</v>
      </c>
      <c r="I894" t="s">
        <v>380</v>
      </c>
      <c r="J894" t="s">
        <v>360</v>
      </c>
      <c r="K894" t="str">
        <f>Tabla14[[#This Row],[id]]&amp;Tabla14[[#This Row],[Resposable]]</f>
        <v>105Ever Morales</v>
      </c>
      <c r="L894" t="str">
        <f>Tabla14[[#This Row],[id]]&amp;Tabla14[[#This Row],[Resposable]]</f>
        <v>105Ever Morales</v>
      </c>
      <c r="M894" t="s">
        <v>300</v>
      </c>
    </row>
    <row r="895" spans="1:13" x14ac:dyDescent="0.25">
      <c r="A895" t="s">
        <v>25</v>
      </c>
      <c r="B895">
        <v>105</v>
      </c>
      <c r="C895" t="s">
        <v>5</v>
      </c>
      <c r="D895" t="s">
        <v>53</v>
      </c>
      <c r="E895" t="s">
        <v>47</v>
      </c>
      <c r="F895" s="4" t="s">
        <v>96</v>
      </c>
      <c r="G895" t="s">
        <v>239</v>
      </c>
      <c r="H895" t="s">
        <v>300</v>
      </c>
      <c r="I895" t="s">
        <v>380</v>
      </c>
      <c r="J895" t="s">
        <v>360</v>
      </c>
      <c r="K895" t="str">
        <f>Tabla14[[#This Row],[id]]&amp;Tabla14[[#This Row],[Resposable]]</f>
        <v>105Ever Morales</v>
      </c>
      <c r="L895" t="str">
        <f>Tabla14[[#This Row],[id]]&amp;Tabla14[[#This Row],[Resposable]]</f>
        <v>105Ever Morales</v>
      </c>
      <c r="M895" t="s">
        <v>300</v>
      </c>
    </row>
    <row r="896" spans="1:13" x14ac:dyDescent="0.25">
      <c r="A896" t="s">
        <v>25</v>
      </c>
      <c r="B896">
        <v>105</v>
      </c>
      <c r="C896" t="s">
        <v>5</v>
      </c>
      <c r="D896" t="s">
        <v>147</v>
      </c>
      <c r="E896" t="s">
        <v>47</v>
      </c>
      <c r="F896" s="4" t="s">
        <v>96</v>
      </c>
      <c r="G896" t="s">
        <v>239</v>
      </c>
      <c r="H896" t="s">
        <v>300</v>
      </c>
      <c r="I896" t="s">
        <v>380</v>
      </c>
      <c r="J896" t="s">
        <v>360</v>
      </c>
      <c r="K896" t="str">
        <f>Tabla14[[#This Row],[id]]&amp;Tabla14[[#This Row],[Resposable]]</f>
        <v>105Ever Morales</v>
      </c>
      <c r="L896" t="str">
        <f>Tabla14[[#This Row],[id]]&amp;Tabla14[[#This Row],[Resposable]]</f>
        <v>105Ever Morales</v>
      </c>
      <c r="M896" t="s">
        <v>300</v>
      </c>
    </row>
    <row r="897" spans="1:13" x14ac:dyDescent="0.25">
      <c r="A897" t="s">
        <v>25</v>
      </c>
      <c r="B897">
        <v>105</v>
      </c>
      <c r="C897" t="s">
        <v>5</v>
      </c>
      <c r="D897" t="s">
        <v>64</v>
      </c>
      <c r="E897" t="s">
        <v>47</v>
      </c>
      <c r="F897" s="4" t="s">
        <v>96</v>
      </c>
      <c r="G897" t="s">
        <v>239</v>
      </c>
      <c r="H897" t="s">
        <v>300</v>
      </c>
      <c r="I897" t="s">
        <v>380</v>
      </c>
      <c r="J897" t="s">
        <v>360</v>
      </c>
      <c r="K897" t="str">
        <f>Tabla14[[#This Row],[id]]&amp;Tabla14[[#This Row],[Resposable]]</f>
        <v>105Ever Morales</v>
      </c>
      <c r="L897" t="str">
        <f>Tabla14[[#This Row],[id]]&amp;Tabla14[[#This Row],[Resposable]]</f>
        <v>105Ever Morales</v>
      </c>
      <c r="M897" t="s">
        <v>300</v>
      </c>
    </row>
    <row r="898" spans="1:13" x14ac:dyDescent="0.25">
      <c r="A898" t="s">
        <v>28</v>
      </c>
      <c r="B898">
        <v>105</v>
      </c>
      <c r="C898" t="s">
        <v>5</v>
      </c>
      <c r="D898" t="s">
        <v>46</v>
      </c>
      <c r="E898" t="s">
        <v>47</v>
      </c>
      <c r="F898" s="4" t="s">
        <v>48</v>
      </c>
      <c r="G898" t="s">
        <v>239</v>
      </c>
      <c r="H898" t="s">
        <v>300</v>
      </c>
      <c r="I898" t="s">
        <v>380</v>
      </c>
      <c r="J898" t="s">
        <v>360</v>
      </c>
      <c r="K898" t="str">
        <f>Tabla14[[#This Row],[id]]&amp;Tabla14[[#This Row],[Resposable]]</f>
        <v>105Ever Morales</v>
      </c>
      <c r="L898" t="str">
        <f>Tabla14[[#This Row],[id]]&amp;Tabla14[[#This Row],[Resposable]]</f>
        <v>105Ever Morales</v>
      </c>
      <c r="M898" t="s">
        <v>300</v>
      </c>
    </row>
    <row r="899" spans="1:13" x14ac:dyDescent="0.25">
      <c r="A899" t="s">
        <v>28</v>
      </c>
      <c r="B899">
        <v>105</v>
      </c>
      <c r="C899" t="s">
        <v>5</v>
      </c>
      <c r="D899" t="s">
        <v>52</v>
      </c>
      <c r="E899" t="s">
        <v>47</v>
      </c>
      <c r="F899" s="4" t="s">
        <v>48</v>
      </c>
      <c r="G899" t="s">
        <v>239</v>
      </c>
      <c r="H899" t="s">
        <v>300</v>
      </c>
      <c r="I899" t="s">
        <v>380</v>
      </c>
      <c r="J899" t="s">
        <v>360</v>
      </c>
      <c r="K899" t="str">
        <f>Tabla14[[#This Row],[id]]&amp;Tabla14[[#This Row],[Resposable]]</f>
        <v>105Ever Morales</v>
      </c>
      <c r="L899" t="str">
        <f>Tabla14[[#This Row],[id]]&amp;Tabla14[[#This Row],[Resposable]]</f>
        <v>105Ever Morales</v>
      </c>
      <c r="M899" t="s">
        <v>300</v>
      </c>
    </row>
    <row r="900" spans="1:13" x14ac:dyDescent="0.25">
      <c r="A900" t="s">
        <v>28</v>
      </c>
      <c r="B900">
        <v>105</v>
      </c>
      <c r="C900" t="s">
        <v>5</v>
      </c>
      <c r="D900" t="s">
        <v>53</v>
      </c>
      <c r="E900" t="s">
        <v>54</v>
      </c>
      <c r="F900" s="4" t="s">
        <v>48</v>
      </c>
      <c r="G900" t="s">
        <v>239</v>
      </c>
      <c r="H900" t="s">
        <v>300</v>
      </c>
      <c r="I900" t="s">
        <v>380</v>
      </c>
      <c r="J900" t="s">
        <v>360</v>
      </c>
      <c r="K900" t="str">
        <f>Tabla14[[#This Row],[id]]&amp;Tabla14[[#This Row],[Resposable]]</f>
        <v>105Ever Morales</v>
      </c>
      <c r="L900" t="str">
        <f>Tabla14[[#This Row],[id]]&amp;Tabla14[[#This Row],[Resposable]]</f>
        <v>105Ever Morales</v>
      </c>
      <c r="M900" t="s">
        <v>300</v>
      </c>
    </row>
    <row r="901" spans="1:13" x14ac:dyDescent="0.25">
      <c r="A901" t="s">
        <v>28</v>
      </c>
      <c r="B901">
        <v>105</v>
      </c>
      <c r="C901" t="s">
        <v>5</v>
      </c>
      <c r="D901" t="s">
        <v>64</v>
      </c>
      <c r="E901" t="s">
        <v>47</v>
      </c>
      <c r="F901" s="4" t="s">
        <v>48</v>
      </c>
      <c r="G901" t="s">
        <v>239</v>
      </c>
      <c r="H901" t="s">
        <v>300</v>
      </c>
      <c r="I901" t="s">
        <v>380</v>
      </c>
      <c r="J901" t="s">
        <v>360</v>
      </c>
      <c r="K901" t="str">
        <f>Tabla14[[#This Row],[id]]&amp;Tabla14[[#This Row],[Resposable]]</f>
        <v>105Ever Morales</v>
      </c>
      <c r="L901" t="str">
        <f>Tabla14[[#This Row],[id]]&amp;Tabla14[[#This Row],[Resposable]]</f>
        <v>105Ever Morales</v>
      </c>
      <c r="M901" t="s">
        <v>300</v>
      </c>
    </row>
    <row r="902" spans="1:13" x14ac:dyDescent="0.25">
      <c r="A902" t="s">
        <v>31</v>
      </c>
      <c r="B902">
        <v>134</v>
      </c>
      <c r="C902" t="s">
        <v>5</v>
      </c>
      <c r="D902" t="s">
        <v>46</v>
      </c>
      <c r="E902" t="s">
        <v>47</v>
      </c>
      <c r="F902" s="4" t="s">
        <v>48</v>
      </c>
      <c r="G902" t="s">
        <v>239</v>
      </c>
      <c r="H902" t="s">
        <v>300</v>
      </c>
      <c r="I902" t="s">
        <v>380</v>
      </c>
      <c r="J902" t="s">
        <v>360</v>
      </c>
      <c r="K902" t="str">
        <f>Tabla14[[#This Row],[id]]&amp;Tabla14[[#This Row],[Resposable]]</f>
        <v>134Ever Morales</v>
      </c>
      <c r="L902" t="str">
        <f>Tabla14[[#This Row],[id]]&amp;Tabla14[[#This Row],[Resposable]]</f>
        <v>134Ever Morales</v>
      </c>
      <c r="M902" t="s">
        <v>300</v>
      </c>
    </row>
    <row r="903" spans="1:13" x14ac:dyDescent="0.25">
      <c r="A903" t="s">
        <v>31</v>
      </c>
      <c r="B903">
        <v>134</v>
      </c>
      <c r="C903" t="s">
        <v>5</v>
      </c>
      <c r="D903" t="s">
        <v>52</v>
      </c>
      <c r="E903" t="s">
        <v>47</v>
      </c>
      <c r="F903" s="4" t="s">
        <v>48</v>
      </c>
      <c r="G903" t="s">
        <v>239</v>
      </c>
      <c r="H903" t="s">
        <v>300</v>
      </c>
      <c r="I903" t="s">
        <v>380</v>
      </c>
      <c r="J903" t="s">
        <v>360</v>
      </c>
      <c r="K903" t="str">
        <f>Tabla14[[#This Row],[id]]&amp;Tabla14[[#This Row],[Resposable]]</f>
        <v>134Ever Morales</v>
      </c>
      <c r="L903" t="str">
        <f>Tabla14[[#This Row],[id]]&amp;Tabla14[[#This Row],[Resposable]]</f>
        <v>134Ever Morales</v>
      </c>
      <c r="M903" t="s">
        <v>300</v>
      </c>
    </row>
    <row r="904" spans="1:13" x14ac:dyDescent="0.25">
      <c r="A904" t="s">
        <v>31</v>
      </c>
      <c r="B904">
        <v>134</v>
      </c>
      <c r="C904" t="s">
        <v>5</v>
      </c>
      <c r="D904" t="s">
        <v>53</v>
      </c>
      <c r="E904" t="s">
        <v>54</v>
      </c>
      <c r="F904" s="4" t="s">
        <v>48</v>
      </c>
      <c r="G904" t="s">
        <v>239</v>
      </c>
      <c r="H904" t="s">
        <v>300</v>
      </c>
      <c r="I904" t="s">
        <v>380</v>
      </c>
      <c r="J904" t="s">
        <v>360</v>
      </c>
      <c r="K904" t="str">
        <f>Tabla14[[#This Row],[id]]&amp;Tabla14[[#This Row],[Resposable]]</f>
        <v>134Ever Morales</v>
      </c>
      <c r="L904" t="str">
        <f>Tabla14[[#This Row],[id]]&amp;Tabla14[[#This Row],[Resposable]]</f>
        <v>134Ever Morales</v>
      </c>
      <c r="M904" t="s">
        <v>300</v>
      </c>
    </row>
    <row r="905" spans="1:13" x14ac:dyDescent="0.25">
      <c r="A905" t="s">
        <v>31</v>
      </c>
      <c r="B905">
        <v>134</v>
      </c>
      <c r="C905" t="s">
        <v>5</v>
      </c>
      <c r="D905" t="s">
        <v>64</v>
      </c>
      <c r="E905" t="s">
        <v>47</v>
      </c>
      <c r="F905" s="4" t="s">
        <v>48</v>
      </c>
      <c r="G905" t="s">
        <v>239</v>
      </c>
      <c r="H905" t="s">
        <v>300</v>
      </c>
      <c r="I905" t="s">
        <v>380</v>
      </c>
      <c r="J905" t="s">
        <v>360</v>
      </c>
      <c r="K905" t="str">
        <f>Tabla14[[#This Row],[id]]&amp;Tabla14[[#This Row],[Resposable]]</f>
        <v>134Ever Morales</v>
      </c>
      <c r="L905" t="str">
        <f>Tabla14[[#This Row],[id]]&amp;Tabla14[[#This Row],[Resposable]]</f>
        <v>134Ever Morales</v>
      </c>
      <c r="M905" t="s">
        <v>300</v>
      </c>
    </row>
    <row r="906" spans="1:13" x14ac:dyDescent="0.25">
      <c r="A906" t="s">
        <v>308</v>
      </c>
      <c r="B906">
        <v>181</v>
      </c>
      <c r="C906" t="s">
        <v>5</v>
      </c>
      <c r="D906" t="s">
        <v>46</v>
      </c>
      <c r="E906" s="18" t="s">
        <v>47</v>
      </c>
      <c r="F906" s="4" t="s">
        <v>48</v>
      </c>
      <c r="G906" s="18" t="s">
        <v>239</v>
      </c>
      <c r="H906" t="s">
        <v>300</v>
      </c>
      <c r="I906" t="s">
        <v>380</v>
      </c>
      <c r="J906" t="s">
        <v>360</v>
      </c>
      <c r="K906" t="str">
        <f>Tabla14[[#This Row],[id]]&amp;Tabla14[[#This Row],[Resposable]]</f>
        <v>181Ever Morales</v>
      </c>
      <c r="L906" t="str">
        <f>Tabla14[[#This Row],[id]]&amp;Tabla14[[#This Row],[Resposable]]</f>
        <v>181Ever Morales</v>
      </c>
      <c r="M906" t="s">
        <v>300</v>
      </c>
    </row>
    <row r="907" spans="1:13" x14ac:dyDescent="0.25">
      <c r="A907" t="s">
        <v>308</v>
      </c>
      <c r="B907">
        <v>181</v>
      </c>
      <c r="C907" t="s">
        <v>5</v>
      </c>
      <c r="D907" t="s">
        <v>52</v>
      </c>
      <c r="E907" s="18" t="s">
        <v>47</v>
      </c>
      <c r="F907" s="4" t="s">
        <v>48</v>
      </c>
      <c r="G907" s="18" t="s">
        <v>239</v>
      </c>
      <c r="H907" t="s">
        <v>300</v>
      </c>
      <c r="I907" t="s">
        <v>380</v>
      </c>
      <c r="J907" t="s">
        <v>360</v>
      </c>
      <c r="K907" t="str">
        <f>Tabla14[[#This Row],[id]]&amp;Tabla14[[#This Row],[Resposable]]</f>
        <v>181Ever Morales</v>
      </c>
      <c r="L907" t="str">
        <f>Tabla14[[#This Row],[id]]&amp;Tabla14[[#This Row],[Resposable]]</f>
        <v>181Ever Morales</v>
      </c>
      <c r="M907" t="s">
        <v>300</v>
      </c>
    </row>
    <row r="908" spans="1:13" x14ac:dyDescent="0.25">
      <c r="A908" t="s">
        <v>308</v>
      </c>
      <c r="B908">
        <v>181</v>
      </c>
      <c r="C908" t="s">
        <v>5</v>
      </c>
      <c r="D908" t="s">
        <v>53</v>
      </c>
      <c r="E908" s="18" t="s">
        <v>54</v>
      </c>
      <c r="F908" s="4" t="s">
        <v>48</v>
      </c>
      <c r="G908" s="18" t="s">
        <v>239</v>
      </c>
      <c r="H908" t="s">
        <v>300</v>
      </c>
      <c r="I908" t="s">
        <v>380</v>
      </c>
      <c r="J908" t="s">
        <v>360</v>
      </c>
      <c r="K908" t="str">
        <f>Tabla14[[#This Row],[id]]&amp;Tabla14[[#This Row],[Resposable]]</f>
        <v>181Ever Morales</v>
      </c>
      <c r="L908" t="str">
        <f>Tabla14[[#This Row],[id]]&amp;Tabla14[[#This Row],[Resposable]]</f>
        <v>181Ever Morales</v>
      </c>
      <c r="M908" t="s">
        <v>300</v>
      </c>
    </row>
    <row r="909" spans="1:13" x14ac:dyDescent="0.25">
      <c r="A909" t="s">
        <v>308</v>
      </c>
      <c r="B909">
        <v>181</v>
      </c>
      <c r="C909" t="s">
        <v>5</v>
      </c>
      <c r="D909" t="s">
        <v>64</v>
      </c>
      <c r="E909" s="18" t="s">
        <v>47</v>
      </c>
      <c r="F909" s="4" t="s">
        <v>48</v>
      </c>
      <c r="G909" s="18" t="s">
        <v>239</v>
      </c>
      <c r="H909" t="s">
        <v>300</v>
      </c>
      <c r="I909" t="s">
        <v>380</v>
      </c>
      <c r="J909" t="s">
        <v>360</v>
      </c>
      <c r="K909" t="str">
        <f>Tabla14[[#This Row],[id]]&amp;Tabla14[[#This Row],[Resposable]]</f>
        <v>181Ever Morales</v>
      </c>
      <c r="L909" t="str">
        <f>Tabla14[[#This Row],[id]]&amp;Tabla14[[#This Row],[Resposable]]</f>
        <v>181Ever Morales</v>
      </c>
      <c r="M909" t="s">
        <v>300</v>
      </c>
    </row>
    <row r="910" spans="1:13" x14ac:dyDescent="0.25">
      <c r="A910" t="s">
        <v>245</v>
      </c>
      <c r="B910">
        <v>1</v>
      </c>
      <c r="C910" t="s">
        <v>5</v>
      </c>
      <c r="D910" t="s">
        <v>46</v>
      </c>
      <c r="E910" t="s">
        <v>47</v>
      </c>
      <c r="F910" s="4" t="s">
        <v>48</v>
      </c>
      <c r="G910" t="s">
        <v>239</v>
      </c>
      <c r="H910" t="s">
        <v>240</v>
      </c>
      <c r="I910" t="s">
        <v>380</v>
      </c>
      <c r="J910" t="s">
        <v>360</v>
      </c>
      <c r="K910" t="str">
        <f>Tabla14[[#This Row],[id]]&amp;Tabla14[[#This Row],[Resposable]]</f>
        <v>1Ever Morales</v>
      </c>
      <c r="L910" t="str">
        <f>Tabla14[[#This Row],[id]]&amp;Tabla14[[#This Row],[Resposable]]</f>
        <v>1Ever Morales</v>
      </c>
      <c r="M910" t="s">
        <v>240</v>
      </c>
    </row>
    <row r="911" spans="1:13" x14ac:dyDescent="0.25">
      <c r="A911" t="s">
        <v>245</v>
      </c>
      <c r="B911">
        <v>1</v>
      </c>
      <c r="C911" t="s">
        <v>5</v>
      </c>
      <c r="D911" t="s">
        <v>52</v>
      </c>
      <c r="E911" t="s">
        <v>47</v>
      </c>
      <c r="F911" s="4" t="s">
        <v>48</v>
      </c>
      <c r="G911" t="s">
        <v>239</v>
      </c>
      <c r="H911" t="s">
        <v>240</v>
      </c>
      <c r="I911" t="s">
        <v>380</v>
      </c>
      <c r="J911" t="s">
        <v>360</v>
      </c>
      <c r="K911" t="str">
        <f>Tabla14[[#This Row],[id]]&amp;Tabla14[[#This Row],[Resposable]]</f>
        <v>1Ever Morales</v>
      </c>
      <c r="L911" t="str">
        <f>Tabla14[[#This Row],[id]]&amp;Tabla14[[#This Row],[Resposable]]</f>
        <v>1Ever Morales</v>
      </c>
      <c r="M911" t="s">
        <v>240</v>
      </c>
    </row>
    <row r="912" spans="1:13" x14ac:dyDescent="0.25">
      <c r="A912" t="s">
        <v>245</v>
      </c>
      <c r="B912">
        <v>1</v>
      </c>
      <c r="C912" t="s">
        <v>5</v>
      </c>
      <c r="D912" t="s">
        <v>53</v>
      </c>
      <c r="E912" t="s">
        <v>54</v>
      </c>
      <c r="F912" s="4" t="s">
        <v>48</v>
      </c>
      <c r="G912" t="s">
        <v>239</v>
      </c>
      <c r="H912" t="s">
        <v>240</v>
      </c>
      <c r="I912" t="s">
        <v>380</v>
      </c>
      <c r="J912" t="s">
        <v>360</v>
      </c>
      <c r="K912" t="str">
        <f>Tabla14[[#This Row],[id]]&amp;Tabla14[[#This Row],[Resposable]]</f>
        <v>1Ever Morales</v>
      </c>
      <c r="L912" t="str">
        <f>Tabla14[[#This Row],[id]]&amp;Tabla14[[#This Row],[Resposable]]</f>
        <v>1Ever Morales</v>
      </c>
      <c r="M912" t="s">
        <v>240</v>
      </c>
    </row>
    <row r="913" spans="1:13" x14ac:dyDescent="0.25">
      <c r="A913" t="s">
        <v>245</v>
      </c>
      <c r="B913">
        <v>1</v>
      </c>
      <c r="C913" t="s">
        <v>5</v>
      </c>
      <c r="D913" t="s">
        <v>56</v>
      </c>
      <c r="E913" t="s">
        <v>47</v>
      </c>
      <c r="F913" s="4" t="s">
        <v>48</v>
      </c>
      <c r="G913" t="s">
        <v>239</v>
      </c>
      <c r="H913" t="s">
        <v>240</v>
      </c>
      <c r="I913" t="s">
        <v>380</v>
      </c>
      <c r="J913" t="s">
        <v>360</v>
      </c>
      <c r="K913" t="str">
        <f>Tabla14[[#This Row],[id]]&amp;Tabla14[[#This Row],[Resposable]]</f>
        <v>1Ever Morales</v>
      </c>
      <c r="L913" t="str">
        <f>Tabla14[[#This Row],[id]]&amp;Tabla14[[#This Row],[Resposable]]</f>
        <v>1Ever Morales</v>
      </c>
      <c r="M913" t="s">
        <v>240</v>
      </c>
    </row>
    <row r="914" spans="1:13" x14ac:dyDescent="0.25">
      <c r="A914" t="s">
        <v>246</v>
      </c>
      <c r="B914">
        <v>6</v>
      </c>
      <c r="C914" t="s">
        <v>5</v>
      </c>
      <c r="D914" t="s">
        <v>46</v>
      </c>
      <c r="E914" t="s">
        <v>47</v>
      </c>
      <c r="F914" s="4" t="s">
        <v>58</v>
      </c>
      <c r="G914" t="s">
        <v>239</v>
      </c>
      <c r="H914" t="s">
        <v>240</v>
      </c>
      <c r="I914" t="s">
        <v>380</v>
      </c>
      <c r="J914" t="s">
        <v>360</v>
      </c>
      <c r="K914" t="str">
        <f>Tabla14[[#This Row],[id]]&amp;Tabla14[[#This Row],[Resposable]]</f>
        <v>6Ever Morales</v>
      </c>
      <c r="L914" t="str">
        <f>Tabla14[[#This Row],[id]]&amp;Tabla14[[#This Row],[Resposable]]</f>
        <v>6Ever Morales</v>
      </c>
      <c r="M914" t="s">
        <v>240</v>
      </c>
    </row>
    <row r="915" spans="1:13" x14ac:dyDescent="0.25">
      <c r="A915" t="s">
        <v>246</v>
      </c>
      <c r="B915">
        <v>6</v>
      </c>
      <c r="C915" t="s">
        <v>5</v>
      </c>
      <c r="D915" t="s">
        <v>52</v>
      </c>
      <c r="E915" t="s">
        <v>47</v>
      </c>
      <c r="F915" s="4" t="s">
        <v>58</v>
      </c>
      <c r="G915" t="s">
        <v>239</v>
      </c>
      <c r="H915" t="s">
        <v>240</v>
      </c>
      <c r="I915" t="s">
        <v>380</v>
      </c>
      <c r="J915" t="s">
        <v>360</v>
      </c>
      <c r="K915" t="str">
        <f>Tabla14[[#This Row],[id]]&amp;Tabla14[[#This Row],[Resposable]]</f>
        <v>6Ever Morales</v>
      </c>
      <c r="L915" t="str">
        <f>Tabla14[[#This Row],[id]]&amp;Tabla14[[#This Row],[Resposable]]</f>
        <v>6Ever Morales</v>
      </c>
      <c r="M915" t="s">
        <v>240</v>
      </c>
    </row>
    <row r="916" spans="1:13" x14ac:dyDescent="0.25">
      <c r="A916" t="s">
        <v>246</v>
      </c>
      <c r="B916">
        <v>6</v>
      </c>
      <c r="C916" t="s">
        <v>5</v>
      </c>
      <c r="D916" t="s">
        <v>53</v>
      </c>
      <c r="E916" t="s">
        <v>54</v>
      </c>
      <c r="F916" s="4" t="s">
        <v>58</v>
      </c>
      <c r="G916" t="s">
        <v>239</v>
      </c>
      <c r="H916" t="s">
        <v>240</v>
      </c>
      <c r="I916" t="s">
        <v>380</v>
      </c>
      <c r="J916" t="s">
        <v>360</v>
      </c>
      <c r="K916" t="str">
        <f>Tabla14[[#This Row],[id]]&amp;Tabla14[[#This Row],[Resposable]]</f>
        <v>6Ever Morales</v>
      </c>
      <c r="L916" t="str">
        <f>Tabla14[[#This Row],[id]]&amp;Tabla14[[#This Row],[Resposable]]</f>
        <v>6Ever Morales</v>
      </c>
      <c r="M916" t="s">
        <v>240</v>
      </c>
    </row>
    <row r="917" spans="1:13" x14ac:dyDescent="0.25">
      <c r="A917" t="s">
        <v>246</v>
      </c>
      <c r="B917">
        <v>6</v>
      </c>
      <c r="C917" t="s">
        <v>5</v>
      </c>
      <c r="D917" t="s">
        <v>64</v>
      </c>
      <c r="E917" t="s">
        <v>47</v>
      </c>
      <c r="F917" s="4" t="s">
        <v>65</v>
      </c>
      <c r="G917" t="s">
        <v>239</v>
      </c>
      <c r="H917" t="s">
        <v>240</v>
      </c>
      <c r="I917" t="s">
        <v>380</v>
      </c>
      <c r="J917" t="s">
        <v>360</v>
      </c>
      <c r="K917" t="str">
        <f>Tabla14[[#This Row],[id]]&amp;Tabla14[[#This Row],[Resposable]]</f>
        <v>6Ever Morales</v>
      </c>
      <c r="L917" t="str">
        <f>Tabla14[[#This Row],[id]]&amp;Tabla14[[#This Row],[Resposable]]</f>
        <v>6Ever Morales</v>
      </c>
      <c r="M917" t="s">
        <v>240</v>
      </c>
    </row>
    <row r="918" spans="1:13" x14ac:dyDescent="0.25">
      <c r="A918" t="s">
        <v>10</v>
      </c>
      <c r="B918">
        <v>12</v>
      </c>
      <c r="C918" t="s">
        <v>5</v>
      </c>
      <c r="D918" t="s">
        <v>46</v>
      </c>
      <c r="E918" t="s">
        <v>47</v>
      </c>
      <c r="F918" s="4" t="s">
        <v>48</v>
      </c>
      <c r="G918" t="s">
        <v>239</v>
      </c>
      <c r="H918" t="s">
        <v>240</v>
      </c>
      <c r="I918" t="s">
        <v>380</v>
      </c>
      <c r="J918" t="s">
        <v>360</v>
      </c>
      <c r="K918" t="str">
        <f>Tabla14[[#This Row],[id]]&amp;Tabla14[[#This Row],[Resposable]]</f>
        <v>12Ever Morales</v>
      </c>
      <c r="L918" t="str">
        <f>Tabla14[[#This Row],[id]]&amp;Tabla14[[#This Row],[Resposable]]</f>
        <v>12Ever Morales</v>
      </c>
      <c r="M918" t="s">
        <v>240</v>
      </c>
    </row>
    <row r="919" spans="1:13" x14ac:dyDescent="0.25">
      <c r="A919" t="s">
        <v>10</v>
      </c>
      <c r="B919">
        <v>12</v>
      </c>
      <c r="C919" t="s">
        <v>5</v>
      </c>
      <c r="D919" t="s">
        <v>52</v>
      </c>
      <c r="E919" t="s">
        <v>47</v>
      </c>
      <c r="F919" s="4" t="s">
        <v>48</v>
      </c>
      <c r="G919" t="s">
        <v>239</v>
      </c>
      <c r="H919" t="s">
        <v>240</v>
      </c>
      <c r="I919" t="s">
        <v>380</v>
      </c>
      <c r="J919" t="s">
        <v>360</v>
      </c>
      <c r="K919" t="str">
        <f>Tabla14[[#This Row],[id]]&amp;Tabla14[[#This Row],[Resposable]]</f>
        <v>12Ever Morales</v>
      </c>
      <c r="L919" t="str">
        <f>Tabla14[[#This Row],[id]]&amp;Tabla14[[#This Row],[Resposable]]</f>
        <v>12Ever Morales</v>
      </c>
      <c r="M919" t="s">
        <v>240</v>
      </c>
    </row>
    <row r="920" spans="1:13" x14ac:dyDescent="0.25">
      <c r="A920" t="s">
        <v>10</v>
      </c>
      <c r="B920">
        <v>12</v>
      </c>
      <c r="C920" t="s">
        <v>5</v>
      </c>
      <c r="D920" t="s">
        <v>53</v>
      </c>
      <c r="E920" t="s">
        <v>54</v>
      </c>
      <c r="F920" s="4" t="s">
        <v>48</v>
      </c>
      <c r="G920" t="s">
        <v>239</v>
      </c>
      <c r="H920" t="s">
        <v>240</v>
      </c>
      <c r="I920" t="s">
        <v>380</v>
      </c>
      <c r="J920" t="s">
        <v>360</v>
      </c>
      <c r="K920" t="str">
        <f>Tabla14[[#This Row],[id]]&amp;Tabla14[[#This Row],[Resposable]]</f>
        <v>12Ever Morales</v>
      </c>
      <c r="L920" t="str">
        <f>Tabla14[[#This Row],[id]]&amp;Tabla14[[#This Row],[Resposable]]</f>
        <v>12Ever Morales</v>
      </c>
      <c r="M920" t="s">
        <v>240</v>
      </c>
    </row>
    <row r="921" spans="1:13" x14ac:dyDescent="0.25">
      <c r="A921" t="s">
        <v>10</v>
      </c>
      <c r="B921">
        <v>12</v>
      </c>
      <c r="C921" t="s">
        <v>5</v>
      </c>
      <c r="D921" t="s">
        <v>64</v>
      </c>
      <c r="E921" t="s">
        <v>47</v>
      </c>
      <c r="F921" s="4" t="s">
        <v>48</v>
      </c>
      <c r="G921" t="s">
        <v>239</v>
      </c>
      <c r="H921" t="s">
        <v>240</v>
      </c>
      <c r="I921" t="s">
        <v>380</v>
      </c>
      <c r="J921" t="s">
        <v>360</v>
      </c>
      <c r="K921" t="str">
        <f>Tabla14[[#This Row],[id]]&amp;Tabla14[[#This Row],[Resposable]]</f>
        <v>12Ever Morales</v>
      </c>
      <c r="L921" t="str">
        <f>Tabla14[[#This Row],[id]]&amp;Tabla14[[#This Row],[Resposable]]</f>
        <v>12Ever Morales</v>
      </c>
      <c r="M921" t="s">
        <v>240</v>
      </c>
    </row>
    <row r="922" spans="1:13" x14ac:dyDescent="0.25">
      <c r="A922" t="s">
        <v>302</v>
      </c>
      <c r="B922">
        <v>42</v>
      </c>
      <c r="C922" t="s">
        <v>5</v>
      </c>
      <c r="D922" t="s">
        <v>46</v>
      </c>
      <c r="E922" t="s">
        <v>47</v>
      </c>
      <c r="F922" s="4" t="s">
        <v>48</v>
      </c>
      <c r="G922" t="s">
        <v>239</v>
      </c>
      <c r="H922" t="s">
        <v>240</v>
      </c>
      <c r="I922" t="s">
        <v>380</v>
      </c>
      <c r="J922" t="s">
        <v>360</v>
      </c>
      <c r="K922" t="str">
        <f>Tabla14[[#This Row],[id]]&amp;Tabla14[[#This Row],[Resposable]]</f>
        <v>42Ever Morales</v>
      </c>
      <c r="L922" t="str">
        <f>Tabla14[[#This Row],[id]]&amp;Tabla14[[#This Row],[Resposable]]</f>
        <v>42Ever Morales</v>
      </c>
      <c r="M922" t="s">
        <v>240</v>
      </c>
    </row>
    <row r="923" spans="1:13" x14ac:dyDescent="0.25">
      <c r="A923" t="s">
        <v>302</v>
      </c>
      <c r="B923">
        <v>42</v>
      </c>
      <c r="C923" t="s">
        <v>5</v>
      </c>
      <c r="D923" t="s">
        <v>52</v>
      </c>
      <c r="E923" t="s">
        <v>47</v>
      </c>
      <c r="F923" s="4" t="s">
        <v>48</v>
      </c>
      <c r="G923" t="s">
        <v>239</v>
      </c>
      <c r="H923" t="s">
        <v>240</v>
      </c>
      <c r="I923" t="s">
        <v>380</v>
      </c>
      <c r="J923" t="s">
        <v>360</v>
      </c>
      <c r="K923" t="str">
        <f>Tabla14[[#This Row],[id]]&amp;Tabla14[[#This Row],[Resposable]]</f>
        <v>42Ever Morales</v>
      </c>
      <c r="L923" t="str">
        <f>Tabla14[[#This Row],[id]]&amp;Tabla14[[#This Row],[Resposable]]</f>
        <v>42Ever Morales</v>
      </c>
      <c r="M923" t="s">
        <v>240</v>
      </c>
    </row>
    <row r="924" spans="1:13" x14ac:dyDescent="0.25">
      <c r="A924" t="s">
        <v>302</v>
      </c>
      <c r="B924">
        <v>42</v>
      </c>
      <c r="C924" t="s">
        <v>5</v>
      </c>
      <c r="D924" t="s">
        <v>53</v>
      </c>
      <c r="E924" t="s">
        <v>54</v>
      </c>
      <c r="F924" s="4" t="s">
        <v>48</v>
      </c>
      <c r="G924" t="s">
        <v>239</v>
      </c>
      <c r="H924" t="s">
        <v>240</v>
      </c>
      <c r="I924" t="s">
        <v>380</v>
      </c>
      <c r="J924" t="s">
        <v>360</v>
      </c>
      <c r="K924" t="str">
        <f>Tabla14[[#This Row],[id]]&amp;Tabla14[[#This Row],[Resposable]]</f>
        <v>42Ever Morales</v>
      </c>
      <c r="L924" t="str">
        <f>Tabla14[[#This Row],[id]]&amp;Tabla14[[#This Row],[Resposable]]</f>
        <v>42Ever Morales</v>
      </c>
      <c r="M924" t="s">
        <v>240</v>
      </c>
    </row>
    <row r="925" spans="1:13" x14ac:dyDescent="0.25">
      <c r="A925" t="s">
        <v>302</v>
      </c>
      <c r="B925">
        <v>42</v>
      </c>
      <c r="C925" t="s">
        <v>5</v>
      </c>
      <c r="D925" t="s">
        <v>64</v>
      </c>
      <c r="E925" t="s">
        <v>47</v>
      </c>
      <c r="F925" s="4" t="s">
        <v>48</v>
      </c>
      <c r="G925" t="s">
        <v>239</v>
      </c>
      <c r="H925" t="s">
        <v>240</v>
      </c>
      <c r="I925" t="s">
        <v>380</v>
      </c>
      <c r="J925" t="s">
        <v>360</v>
      </c>
      <c r="K925" t="str">
        <f>Tabla14[[#This Row],[id]]&amp;Tabla14[[#This Row],[Resposable]]</f>
        <v>42Ever Morales</v>
      </c>
      <c r="L925" t="str">
        <f>Tabla14[[#This Row],[id]]&amp;Tabla14[[#This Row],[Resposable]]</f>
        <v>42Ever Morales</v>
      </c>
      <c r="M925" t="s">
        <v>240</v>
      </c>
    </row>
    <row r="926" spans="1:13" x14ac:dyDescent="0.25">
      <c r="A926" t="s">
        <v>17</v>
      </c>
      <c r="B926">
        <v>49</v>
      </c>
      <c r="C926" t="s">
        <v>5</v>
      </c>
      <c r="D926" t="s">
        <v>46</v>
      </c>
      <c r="E926" t="s">
        <v>47</v>
      </c>
      <c r="F926" s="4" t="s">
        <v>48</v>
      </c>
      <c r="G926" t="s">
        <v>239</v>
      </c>
      <c r="H926" t="s">
        <v>240</v>
      </c>
      <c r="I926" t="s">
        <v>380</v>
      </c>
      <c r="J926" t="s">
        <v>360</v>
      </c>
      <c r="K926" t="str">
        <f>Tabla14[[#This Row],[id]]&amp;Tabla14[[#This Row],[Resposable]]</f>
        <v>49Ever Morales</v>
      </c>
      <c r="L926" t="str">
        <f>Tabla14[[#This Row],[id]]&amp;Tabla14[[#This Row],[Resposable]]</f>
        <v>49Ever Morales</v>
      </c>
      <c r="M926" t="s">
        <v>240</v>
      </c>
    </row>
    <row r="927" spans="1:13" x14ac:dyDescent="0.25">
      <c r="A927" t="s">
        <v>17</v>
      </c>
      <c r="B927">
        <v>49</v>
      </c>
      <c r="C927" t="s">
        <v>5</v>
      </c>
      <c r="D927" t="s">
        <v>52</v>
      </c>
      <c r="E927" t="s">
        <v>47</v>
      </c>
      <c r="F927" s="4" t="s">
        <v>48</v>
      </c>
      <c r="G927" t="s">
        <v>239</v>
      </c>
      <c r="H927" t="s">
        <v>240</v>
      </c>
      <c r="I927" t="s">
        <v>380</v>
      </c>
      <c r="J927" t="s">
        <v>360</v>
      </c>
      <c r="K927" t="str">
        <f>Tabla14[[#This Row],[id]]&amp;Tabla14[[#This Row],[Resposable]]</f>
        <v>49Ever Morales</v>
      </c>
      <c r="L927" t="str">
        <f>Tabla14[[#This Row],[id]]&amp;Tabla14[[#This Row],[Resposable]]</f>
        <v>49Ever Morales</v>
      </c>
      <c r="M927" t="s">
        <v>240</v>
      </c>
    </row>
    <row r="928" spans="1:13" x14ac:dyDescent="0.25">
      <c r="A928" t="s">
        <v>17</v>
      </c>
      <c r="B928">
        <v>49</v>
      </c>
      <c r="C928" t="s">
        <v>5</v>
      </c>
      <c r="D928" t="s">
        <v>53</v>
      </c>
      <c r="E928" t="s">
        <v>54</v>
      </c>
      <c r="F928" s="4" t="s">
        <v>48</v>
      </c>
      <c r="G928" t="s">
        <v>239</v>
      </c>
      <c r="H928" t="s">
        <v>240</v>
      </c>
      <c r="I928" t="s">
        <v>380</v>
      </c>
      <c r="J928" t="s">
        <v>360</v>
      </c>
      <c r="K928" t="str">
        <f>Tabla14[[#This Row],[id]]&amp;Tabla14[[#This Row],[Resposable]]</f>
        <v>49Ever Morales</v>
      </c>
      <c r="L928" t="str">
        <f>Tabla14[[#This Row],[id]]&amp;Tabla14[[#This Row],[Resposable]]</f>
        <v>49Ever Morales</v>
      </c>
      <c r="M928" t="s">
        <v>240</v>
      </c>
    </row>
    <row r="929" spans="1:13" x14ac:dyDescent="0.25">
      <c r="A929" t="s">
        <v>17</v>
      </c>
      <c r="B929">
        <v>49</v>
      </c>
      <c r="C929" t="s">
        <v>5</v>
      </c>
      <c r="D929" t="s">
        <v>64</v>
      </c>
      <c r="E929" t="s">
        <v>47</v>
      </c>
      <c r="F929" s="4" t="s">
        <v>48</v>
      </c>
      <c r="G929" t="s">
        <v>239</v>
      </c>
      <c r="H929" t="s">
        <v>240</v>
      </c>
      <c r="I929" t="s">
        <v>380</v>
      </c>
      <c r="J929" t="s">
        <v>360</v>
      </c>
      <c r="K929" t="str">
        <f>Tabla14[[#This Row],[id]]&amp;Tabla14[[#This Row],[Resposable]]</f>
        <v>49Ever Morales</v>
      </c>
      <c r="L929" t="str">
        <f>Tabla14[[#This Row],[id]]&amp;Tabla14[[#This Row],[Resposable]]</f>
        <v>49Ever Morales</v>
      </c>
      <c r="M929" t="s">
        <v>240</v>
      </c>
    </row>
    <row r="930" spans="1:13" x14ac:dyDescent="0.25">
      <c r="A930" t="s">
        <v>25</v>
      </c>
      <c r="B930">
        <v>49</v>
      </c>
      <c r="C930" t="s">
        <v>5</v>
      </c>
      <c r="D930" t="s">
        <v>53</v>
      </c>
      <c r="E930" t="s">
        <v>47</v>
      </c>
      <c r="F930" s="4" t="s">
        <v>96</v>
      </c>
      <c r="G930" t="s">
        <v>239</v>
      </c>
      <c r="H930" t="s">
        <v>240</v>
      </c>
      <c r="I930" t="s">
        <v>380</v>
      </c>
      <c r="J930" t="s">
        <v>360</v>
      </c>
      <c r="K930" t="str">
        <f>Tabla14[[#This Row],[id]]&amp;Tabla14[[#This Row],[Resposable]]</f>
        <v>49Ever Morales</v>
      </c>
      <c r="L930" t="str">
        <f>Tabla14[[#This Row],[id]]&amp;Tabla14[[#This Row],[Resposable]]</f>
        <v>49Ever Morales</v>
      </c>
      <c r="M930" t="s">
        <v>240</v>
      </c>
    </row>
    <row r="931" spans="1:13" x14ac:dyDescent="0.25">
      <c r="A931" t="s">
        <v>301</v>
      </c>
      <c r="B931">
        <v>61</v>
      </c>
      <c r="C931" t="s">
        <v>5</v>
      </c>
      <c r="D931" t="s">
        <v>46</v>
      </c>
      <c r="E931" t="s">
        <v>47</v>
      </c>
      <c r="F931" s="4" t="s">
        <v>48</v>
      </c>
      <c r="G931" t="s">
        <v>239</v>
      </c>
      <c r="H931" t="s">
        <v>240</v>
      </c>
      <c r="I931" t="s">
        <v>380</v>
      </c>
      <c r="J931" t="s">
        <v>360</v>
      </c>
      <c r="K931" t="str">
        <f>Tabla14[[#This Row],[id]]&amp;Tabla14[[#This Row],[Resposable]]</f>
        <v>61Ever Morales</v>
      </c>
      <c r="L931" t="str">
        <f>Tabla14[[#This Row],[id]]&amp;Tabla14[[#This Row],[Resposable]]</f>
        <v>61Ever Morales</v>
      </c>
      <c r="M931" t="s">
        <v>240</v>
      </c>
    </row>
    <row r="932" spans="1:13" x14ac:dyDescent="0.25">
      <c r="A932" t="s">
        <v>301</v>
      </c>
      <c r="B932">
        <v>61</v>
      </c>
      <c r="C932" t="s">
        <v>5</v>
      </c>
      <c r="D932" t="s">
        <v>53</v>
      </c>
      <c r="E932" t="s">
        <v>54</v>
      </c>
      <c r="F932" s="4" t="s">
        <v>48</v>
      </c>
      <c r="G932" t="s">
        <v>239</v>
      </c>
      <c r="H932" t="s">
        <v>240</v>
      </c>
      <c r="I932" t="s">
        <v>380</v>
      </c>
      <c r="J932" t="s">
        <v>360</v>
      </c>
      <c r="K932" t="str">
        <f>Tabla14[[#This Row],[id]]&amp;Tabla14[[#This Row],[Resposable]]</f>
        <v>61Ever Morales</v>
      </c>
      <c r="L932" t="str">
        <f>Tabla14[[#This Row],[id]]&amp;Tabla14[[#This Row],[Resposable]]</f>
        <v>61Ever Morales</v>
      </c>
      <c r="M932" t="s">
        <v>240</v>
      </c>
    </row>
    <row r="933" spans="1:13" x14ac:dyDescent="0.25">
      <c r="A933" t="s">
        <v>301</v>
      </c>
      <c r="B933">
        <v>61</v>
      </c>
      <c r="C933" t="s">
        <v>5</v>
      </c>
      <c r="D933" t="s">
        <v>56</v>
      </c>
      <c r="E933" t="s">
        <v>47</v>
      </c>
      <c r="F933" s="4" t="s">
        <v>48</v>
      </c>
      <c r="G933" t="s">
        <v>239</v>
      </c>
      <c r="H933" t="s">
        <v>240</v>
      </c>
      <c r="I933" t="s">
        <v>380</v>
      </c>
      <c r="J933" t="s">
        <v>360</v>
      </c>
      <c r="K933" t="str">
        <f>Tabla14[[#This Row],[id]]&amp;Tabla14[[#This Row],[Resposable]]</f>
        <v>61Ever Morales</v>
      </c>
      <c r="L933" t="str">
        <f>Tabla14[[#This Row],[id]]&amp;Tabla14[[#This Row],[Resposable]]</f>
        <v>61Ever Morales</v>
      </c>
      <c r="M933" t="s">
        <v>240</v>
      </c>
    </row>
    <row r="934" spans="1:13" x14ac:dyDescent="0.25">
      <c r="A934" t="s">
        <v>304</v>
      </c>
      <c r="B934">
        <v>62</v>
      </c>
      <c r="C934" t="s">
        <v>5</v>
      </c>
      <c r="D934" t="s">
        <v>46</v>
      </c>
      <c r="E934" t="s">
        <v>47</v>
      </c>
      <c r="F934" s="4" t="s">
        <v>48</v>
      </c>
      <c r="G934" t="s">
        <v>239</v>
      </c>
      <c r="H934" t="s">
        <v>240</v>
      </c>
      <c r="I934" t="s">
        <v>380</v>
      </c>
      <c r="J934" t="s">
        <v>360</v>
      </c>
      <c r="K934" t="str">
        <f>Tabla14[[#This Row],[id]]&amp;Tabla14[[#This Row],[Resposable]]</f>
        <v>62Ever Morales</v>
      </c>
      <c r="L934" t="str">
        <f>Tabla14[[#This Row],[id]]&amp;Tabla14[[#This Row],[Resposable]]</f>
        <v>62Ever Morales</v>
      </c>
      <c r="M934" t="s">
        <v>240</v>
      </c>
    </row>
    <row r="935" spans="1:13" x14ac:dyDescent="0.25">
      <c r="A935" t="s">
        <v>304</v>
      </c>
      <c r="B935">
        <v>62</v>
      </c>
      <c r="C935" t="s">
        <v>7</v>
      </c>
      <c r="D935" t="s">
        <v>98</v>
      </c>
      <c r="E935" t="s">
        <v>47</v>
      </c>
      <c r="F935" s="4" t="s">
        <v>48</v>
      </c>
      <c r="G935" t="s">
        <v>239</v>
      </c>
      <c r="H935" t="s">
        <v>240</v>
      </c>
      <c r="I935" t="s">
        <v>380</v>
      </c>
      <c r="J935" t="s">
        <v>360</v>
      </c>
      <c r="K935" t="str">
        <f>Tabla14[[#This Row],[id]]&amp;Tabla14[[#This Row],[Resposable]]</f>
        <v>62Ever Morales</v>
      </c>
      <c r="L935" t="str">
        <f>Tabla14[[#This Row],[id]]&amp;Tabla14[[#This Row],[Resposable]]</f>
        <v>62Ever Morales</v>
      </c>
      <c r="M935" t="s">
        <v>240</v>
      </c>
    </row>
    <row r="936" spans="1:13" x14ac:dyDescent="0.25">
      <c r="A936" t="s">
        <v>304</v>
      </c>
      <c r="B936">
        <v>62</v>
      </c>
      <c r="C936" t="s">
        <v>5</v>
      </c>
      <c r="D936" t="s">
        <v>52</v>
      </c>
      <c r="E936" t="s">
        <v>47</v>
      </c>
      <c r="F936" s="4" t="s">
        <v>48</v>
      </c>
      <c r="G936" t="s">
        <v>239</v>
      </c>
      <c r="H936" t="s">
        <v>240</v>
      </c>
      <c r="I936" t="s">
        <v>380</v>
      </c>
      <c r="J936" t="s">
        <v>360</v>
      </c>
      <c r="K936" t="str">
        <f>Tabla14[[#This Row],[id]]&amp;Tabla14[[#This Row],[Resposable]]</f>
        <v>62Ever Morales</v>
      </c>
      <c r="L936" t="str">
        <f>Tabla14[[#This Row],[id]]&amp;Tabla14[[#This Row],[Resposable]]</f>
        <v>62Ever Morales</v>
      </c>
      <c r="M936" t="s">
        <v>240</v>
      </c>
    </row>
    <row r="937" spans="1:13" x14ac:dyDescent="0.25">
      <c r="A937" s="18" t="s">
        <v>304</v>
      </c>
      <c r="B937" s="18">
        <v>62</v>
      </c>
      <c r="C937" s="18" t="s">
        <v>5</v>
      </c>
      <c r="D937" s="18" t="s">
        <v>53</v>
      </c>
      <c r="E937" s="18" t="s">
        <v>54</v>
      </c>
      <c r="F937" s="19" t="s">
        <v>48</v>
      </c>
      <c r="G937" s="18" t="s">
        <v>239</v>
      </c>
      <c r="H937" t="s">
        <v>240</v>
      </c>
      <c r="I937" t="s">
        <v>380</v>
      </c>
      <c r="J937" t="s">
        <v>360</v>
      </c>
      <c r="K937" t="str">
        <f>Tabla14[[#This Row],[id]]&amp;Tabla14[[#This Row],[Resposable]]</f>
        <v>62Ever Morales</v>
      </c>
      <c r="L937" t="str">
        <f>Tabla14[[#This Row],[id]]&amp;Tabla14[[#This Row],[Resposable]]</f>
        <v>62Ever Morales</v>
      </c>
      <c r="M937" t="s">
        <v>240</v>
      </c>
    </row>
    <row r="938" spans="1:13" x14ac:dyDescent="0.25">
      <c r="A938" s="18" t="s">
        <v>304</v>
      </c>
      <c r="B938" s="18">
        <v>62</v>
      </c>
      <c r="C938" s="18" t="s">
        <v>5</v>
      </c>
      <c r="D938" s="18" t="s">
        <v>56</v>
      </c>
      <c r="E938" s="18" t="s">
        <v>47</v>
      </c>
      <c r="F938" s="19" t="s">
        <v>48</v>
      </c>
      <c r="G938" s="18" t="s">
        <v>239</v>
      </c>
      <c r="H938" t="s">
        <v>240</v>
      </c>
      <c r="I938" t="s">
        <v>380</v>
      </c>
      <c r="J938" t="s">
        <v>360</v>
      </c>
      <c r="K938" t="str">
        <f>Tabla14[[#This Row],[id]]&amp;Tabla14[[#This Row],[Resposable]]</f>
        <v>62Ever Morales</v>
      </c>
      <c r="L938" t="str">
        <f>Tabla14[[#This Row],[id]]&amp;Tabla14[[#This Row],[Resposable]]</f>
        <v>62Ever Morales</v>
      </c>
      <c r="M938" t="s">
        <v>240</v>
      </c>
    </row>
    <row r="939" spans="1:13" x14ac:dyDescent="0.25">
      <c r="A939" s="18" t="s">
        <v>311</v>
      </c>
      <c r="B939" s="18">
        <v>112</v>
      </c>
      <c r="C939" s="18" t="s">
        <v>5</v>
      </c>
      <c r="D939" s="18" t="s">
        <v>46</v>
      </c>
      <c r="E939" s="18" t="s">
        <v>47</v>
      </c>
      <c r="F939" s="19" t="s">
        <v>77</v>
      </c>
      <c r="G939" s="18" t="s">
        <v>239</v>
      </c>
      <c r="H939" t="s">
        <v>29</v>
      </c>
      <c r="I939" t="s">
        <v>380</v>
      </c>
      <c r="J939" t="s">
        <v>360</v>
      </c>
      <c r="K939" t="str">
        <f>Tabla14[[#This Row],[id]]&amp;Tabla14[[#This Row],[Resposable]]</f>
        <v>112Ever Morales</v>
      </c>
      <c r="L939" t="str">
        <f>Tabla14[[#This Row],[id]]&amp;Tabla14[[#This Row],[Resposable]]</f>
        <v>112Ever Morales</v>
      </c>
      <c r="M939" t="s">
        <v>29</v>
      </c>
    </row>
    <row r="940" spans="1:13" x14ac:dyDescent="0.25">
      <c r="A940" s="18" t="s">
        <v>311</v>
      </c>
      <c r="B940" s="18">
        <v>112</v>
      </c>
      <c r="C940" s="18" t="s">
        <v>5</v>
      </c>
      <c r="D940" s="18" t="s">
        <v>53</v>
      </c>
      <c r="E940" s="18" t="s">
        <v>47</v>
      </c>
      <c r="F940" s="19" t="s">
        <v>77</v>
      </c>
      <c r="G940" s="18" t="s">
        <v>239</v>
      </c>
      <c r="H940" t="s">
        <v>29</v>
      </c>
      <c r="I940" t="s">
        <v>380</v>
      </c>
      <c r="J940" t="s">
        <v>360</v>
      </c>
      <c r="K940" t="str">
        <f>Tabla14[[#This Row],[id]]&amp;Tabla14[[#This Row],[Resposable]]</f>
        <v>112Ever Morales</v>
      </c>
      <c r="L940" t="str">
        <f>Tabla14[[#This Row],[id]]&amp;Tabla14[[#This Row],[Resposable]]</f>
        <v>112Ever Morales</v>
      </c>
      <c r="M940" t="s">
        <v>29</v>
      </c>
    </row>
    <row r="941" spans="1:13" x14ac:dyDescent="0.25">
      <c r="A941" s="18" t="s">
        <v>311</v>
      </c>
      <c r="B941" s="18">
        <v>112</v>
      </c>
      <c r="C941" s="18" t="s">
        <v>5</v>
      </c>
      <c r="D941" s="18" t="s">
        <v>56</v>
      </c>
      <c r="E941" s="18" t="s">
        <v>47</v>
      </c>
      <c r="F941" s="19" t="s">
        <v>48</v>
      </c>
      <c r="G941" s="18" t="s">
        <v>239</v>
      </c>
      <c r="H941" t="s">
        <v>29</v>
      </c>
      <c r="I941" t="s">
        <v>380</v>
      </c>
      <c r="J941" t="s">
        <v>360</v>
      </c>
      <c r="K941" t="str">
        <f>Tabla14[[#This Row],[id]]&amp;Tabla14[[#This Row],[Resposable]]</f>
        <v>112Ever Morales</v>
      </c>
      <c r="L941" t="str">
        <f>Tabla14[[#This Row],[id]]&amp;Tabla14[[#This Row],[Resposable]]</f>
        <v>112Ever Morales</v>
      </c>
      <c r="M941" t="s">
        <v>29</v>
      </c>
    </row>
    <row r="942" spans="1:13" x14ac:dyDescent="0.25">
      <c r="A942" s="18" t="s">
        <v>312</v>
      </c>
      <c r="B942" s="18">
        <v>113</v>
      </c>
      <c r="C942" s="18" t="s">
        <v>5</v>
      </c>
      <c r="D942" s="18" t="s">
        <v>46</v>
      </c>
      <c r="E942" s="18" t="s">
        <v>47</v>
      </c>
      <c r="F942" s="19" t="s">
        <v>77</v>
      </c>
      <c r="G942" s="18" t="s">
        <v>239</v>
      </c>
      <c r="H942" t="s">
        <v>29</v>
      </c>
      <c r="I942" t="s">
        <v>380</v>
      </c>
      <c r="J942" t="s">
        <v>360</v>
      </c>
      <c r="K942" t="str">
        <f>Tabla14[[#This Row],[id]]&amp;Tabla14[[#This Row],[Resposable]]</f>
        <v>113Ever Morales</v>
      </c>
      <c r="L942" t="str">
        <f>Tabla14[[#This Row],[id]]&amp;Tabla14[[#This Row],[Resposable]]</f>
        <v>113Ever Morales</v>
      </c>
      <c r="M942" t="s">
        <v>29</v>
      </c>
    </row>
    <row r="943" spans="1:13" x14ac:dyDescent="0.25">
      <c r="A943" s="18" t="s">
        <v>312</v>
      </c>
      <c r="B943" s="18">
        <v>113</v>
      </c>
      <c r="C943" s="18" t="s">
        <v>5</v>
      </c>
      <c r="D943" s="18" t="s">
        <v>53</v>
      </c>
      <c r="E943" s="18" t="s">
        <v>47</v>
      </c>
      <c r="F943" s="19" t="s">
        <v>77</v>
      </c>
      <c r="G943" s="18" t="s">
        <v>239</v>
      </c>
      <c r="H943" t="s">
        <v>29</v>
      </c>
      <c r="I943" t="s">
        <v>380</v>
      </c>
      <c r="J943" t="s">
        <v>360</v>
      </c>
      <c r="K943" t="str">
        <f>Tabla14[[#This Row],[id]]&amp;Tabla14[[#This Row],[Resposable]]</f>
        <v>113Ever Morales</v>
      </c>
      <c r="L943" t="str">
        <f>Tabla14[[#This Row],[id]]&amp;Tabla14[[#This Row],[Resposable]]</f>
        <v>113Ever Morales</v>
      </c>
      <c r="M943" t="s">
        <v>29</v>
      </c>
    </row>
    <row r="944" spans="1:13" x14ac:dyDescent="0.25">
      <c r="A944" s="18" t="s">
        <v>312</v>
      </c>
      <c r="B944" s="18">
        <v>113</v>
      </c>
      <c r="C944" s="18" t="s">
        <v>5</v>
      </c>
      <c r="D944" s="18" t="s">
        <v>56</v>
      </c>
      <c r="E944" s="18" t="s">
        <v>47</v>
      </c>
      <c r="F944" s="19" t="s">
        <v>48</v>
      </c>
      <c r="G944" s="18" t="s">
        <v>239</v>
      </c>
      <c r="H944" t="s">
        <v>29</v>
      </c>
      <c r="I944" t="s">
        <v>380</v>
      </c>
      <c r="J944" t="s">
        <v>360</v>
      </c>
      <c r="K944" t="str">
        <f>Tabla14[[#This Row],[id]]&amp;Tabla14[[#This Row],[Resposable]]</f>
        <v>113Ever Morales</v>
      </c>
      <c r="L944" t="str">
        <f>Tabla14[[#This Row],[id]]&amp;Tabla14[[#This Row],[Resposable]]</f>
        <v>113Ever Morales</v>
      </c>
      <c r="M944" t="s">
        <v>29</v>
      </c>
    </row>
    <row r="945" spans="1:13" x14ac:dyDescent="0.25">
      <c r="A945" s="18" t="s">
        <v>314</v>
      </c>
      <c r="B945" s="18">
        <v>115</v>
      </c>
      <c r="C945" s="18" t="s">
        <v>5</v>
      </c>
      <c r="D945" s="18" t="s">
        <v>46</v>
      </c>
      <c r="E945" s="18" t="s">
        <v>47</v>
      </c>
      <c r="F945" s="19" t="s">
        <v>77</v>
      </c>
      <c r="G945" s="18" t="s">
        <v>239</v>
      </c>
      <c r="H945" t="s">
        <v>29</v>
      </c>
      <c r="I945" t="s">
        <v>380</v>
      </c>
      <c r="J945" t="s">
        <v>360</v>
      </c>
      <c r="K945" t="str">
        <f>Tabla14[[#This Row],[id]]&amp;Tabla14[[#This Row],[Resposable]]</f>
        <v>115Ever Morales</v>
      </c>
      <c r="L945" t="str">
        <f>Tabla14[[#This Row],[id]]&amp;Tabla14[[#This Row],[Resposable]]</f>
        <v>115Ever Morales</v>
      </c>
      <c r="M945" t="s">
        <v>29</v>
      </c>
    </row>
    <row r="946" spans="1:13" x14ac:dyDescent="0.25">
      <c r="A946" s="18" t="s">
        <v>314</v>
      </c>
      <c r="B946" s="18">
        <v>115</v>
      </c>
      <c r="C946" s="18" t="s">
        <v>5</v>
      </c>
      <c r="D946" s="18" t="s">
        <v>53</v>
      </c>
      <c r="E946" s="18" t="s">
        <v>47</v>
      </c>
      <c r="F946" s="19" t="s">
        <v>77</v>
      </c>
      <c r="G946" s="18" t="s">
        <v>239</v>
      </c>
      <c r="H946" t="s">
        <v>29</v>
      </c>
      <c r="I946" t="s">
        <v>380</v>
      </c>
      <c r="J946" t="s">
        <v>360</v>
      </c>
      <c r="K946" t="str">
        <f>Tabla14[[#This Row],[id]]&amp;Tabla14[[#This Row],[Resposable]]</f>
        <v>115Ever Morales</v>
      </c>
      <c r="L946" t="str">
        <f>Tabla14[[#This Row],[id]]&amp;Tabla14[[#This Row],[Resposable]]</f>
        <v>115Ever Morales</v>
      </c>
      <c r="M946" t="s">
        <v>29</v>
      </c>
    </row>
    <row r="947" spans="1:13" x14ac:dyDescent="0.25">
      <c r="A947" s="18" t="s">
        <v>314</v>
      </c>
      <c r="B947" s="18">
        <v>115</v>
      </c>
      <c r="C947" s="18" t="s">
        <v>5</v>
      </c>
      <c r="D947" s="18" t="s">
        <v>56</v>
      </c>
      <c r="E947" s="18" t="s">
        <v>47</v>
      </c>
      <c r="F947" s="19" t="s">
        <v>48</v>
      </c>
      <c r="G947" s="18" t="s">
        <v>239</v>
      </c>
      <c r="H947" t="s">
        <v>29</v>
      </c>
      <c r="I947" t="s">
        <v>380</v>
      </c>
      <c r="J947" t="s">
        <v>360</v>
      </c>
      <c r="K947" t="str">
        <f>Tabla14[[#This Row],[id]]&amp;Tabla14[[#This Row],[Resposable]]</f>
        <v>115Ever Morales</v>
      </c>
      <c r="L947" t="str">
        <f>Tabla14[[#This Row],[id]]&amp;Tabla14[[#This Row],[Resposable]]</f>
        <v>115Ever Morales</v>
      </c>
      <c r="M947" t="s">
        <v>29</v>
      </c>
    </row>
    <row r="948" spans="1:13" x14ac:dyDescent="0.25">
      <c r="A948" t="s">
        <v>316</v>
      </c>
      <c r="B948">
        <v>117</v>
      </c>
      <c r="C948" t="s">
        <v>5</v>
      </c>
      <c r="D948" t="s">
        <v>46</v>
      </c>
      <c r="E948" s="18" t="s">
        <v>47</v>
      </c>
      <c r="F948" s="4" t="s">
        <v>77</v>
      </c>
      <c r="G948" s="18" t="s">
        <v>239</v>
      </c>
      <c r="H948" t="s">
        <v>29</v>
      </c>
      <c r="I948" t="s">
        <v>380</v>
      </c>
      <c r="J948" t="s">
        <v>360</v>
      </c>
      <c r="K948" t="str">
        <f>Tabla14[[#This Row],[id]]&amp;Tabla14[[#This Row],[Resposable]]</f>
        <v>117Ever Morales</v>
      </c>
      <c r="L948" t="str">
        <f>Tabla14[[#This Row],[id]]&amp;Tabla14[[#This Row],[Resposable]]</f>
        <v>117Ever Morales</v>
      </c>
      <c r="M948" t="s">
        <v>29</v>
      </c>
    </row>
    <row r="949" spans="1:13" x14ac:dyDescent="0.25">
      <c r="A949" t="s">
        <v>316</v>
      </c>
      <c r="B949">
        <v>117</v>
      </c>
      <c r="C949" t="s">
        <v>5</v>
      </c>
      <c r="D949" t="s">
        <v>53</v>
      </c>
      <c r="E949" s="18" t="s">
        <v>47</v>
      </c>
      <c r="F949" s="4" t="s">
        <v>77</v>
      </c>
      <c r="G949" s="18" t="s">
        <v>239</v>
      </c>
      <c r="H949" t="s">
        <v>29</v>
      </c>
      <c r="I949" t="s">
        <v>380</v>
      </c>
      <c r="J949" t="s">
        <v>360</v>
      </c>
      <c r="K949" t="str">
        <f>Tabla14[[#This Row],[id]]&amp;Tabla14[[#This Row],[Resposable]]</f>
        <v>117Ever Morales</v>
      </c>
      <c r="L949" t="str">
        <f>Tabla14[[#This Row],[id]]&amp;Tabla14[[#This Row],[Resposable]]</f>
        <v>117Ever Morales</v>
      </c>
      <c r="M949" t="s">
        <v>29</v>
      </c>
    </row>
    <row r="950" spans="1:13" x14ac:dyDescent="0.25">
      <c r="A950" t="s">
        <v>316</v>
      </c>
      <c r="B950">
        <v>117</v>
      </c>
      <c r="C950" t="s">
        <v>5</v>
      </c>
      <c r="D950" t="s">
        <v>56</v>
      </c>
      <c r="E950" s="18" t="s">
        <v>47</v>
      </c>
      <c r="F950" s="4" t="s">
        <v>48</v>
      </c>
      <c r="G950" s="18" t="s">
        <v>239</v>
      </c>
      <c r="H950" t="s">
        <v>29</v>
      </c>
      <c r="I950" t="s">
        <v>380</v>
      </c>
      <c r="J950" t="s">
        <v>360</v>
      </c>
      <c r="K950" t="str">
        <f>Tabla14[[#This Row],[id]]&amp;Tabla14[[#This Row],[Resposable]]</f>
        <v>117Ever Morales</v>
      </c>
      <c r="L950" t="str">
        <f>Tabla14[[#This Row],[id]]&amp;Tabla14[[#This Row],[Resposable]]</f>
        <v>117Ever Morales</v>
      </c>
      <c r="M950" t="s">
        <v>29</v>
      </c>
    </row>
    <row r="951" spans="1:13" x14ac:dyDescent="0.25">
      <c r="A951" t="s">
        <v>318</v>
      </c>
      <c r="B951">
        <v>119</v>
      </c>
      <c r="C951" t="s">
        <v>5</v>
      </c>
      <c r="D951" t="s">
        <v>46</v>
      </c>
      <c r="E951" s="18" t="s">
        <v>47</v>
      </c>
      <c r="F951" s="4" t="s">
        <v>77</v>
      </c>
      <c r="G951" s="18" t="s">
        <v>239</v>
      </c>
      <c r="H951" t="s">
        <v>29</v>
      </c>
      <c r="I951" t="s">
        <v>380</v>
      </c>
      <c r="J951" t="s">
        <v>360</v>
      </c>
      <c r="K951" t="str">
        <f>Tabla14[[#This Row],[id]]&amp;Tabla14[[#This Row],[Resposable]]</f>
        <v>119Ever Morales</v>
      </c>
      <c r="L951" t="str">
        <f>Tabla14[[#This Row],[id]]&amp;Tabla14[[#This Row],[Resposable]]</f>
        <v>119Ever Morales</v>
      </c>
      <c r="M951" t="s">
        <v>29</v>
      </c>
    </row>
    <row r="952" spans="1:13" x14ac:dyDescent="0.25">
      <c r="A952" t="s">
        <v>318</v>
      </c>
      <c r="B952">
        <v>119</v>
      </c>
      <c r="C952" t="s">
        <v>5</v>
      </c>
      <c r="D952" t="s">
        <v>53</v>
      </c>
      <c r="E952" s="18" t="s">
        <v>47</v>
      </c>
      <c r="F952" s="4" t="s">
        <v>77</v>
      </c>
      <c r="G952" s="18" t="s">
        <v>239</v>
      </c>
      <c r="H952" t="s">
        <v>29</v>
      </c>
      <c r="I952" t="s">
        <v>380</v>
      </c>
      <c r="J952" t="s">
        <v>360</v>
      </c>
      <c r="K952" t="str">
        <f>Tabla14[[#This Row],[id]]&amp;Tabla14[[#This Row],[Resposable]]</f>
        <v>119Ever Morales</v>
      </c>
      <c r="L952" t="str">
        <f>Tabla14[[#This Row],[id]]&amp;Tabla14[[#This Row],[Resposable]]</f>
        <v>119Ever Morales</v>
      </c>
      <c r="M952" t="s">
        <v>29</v>
      </c>
    </row>
    <row r="953" spans="1:13" x14ac:dyDescent="0.25">
      <c r="A953" t="s">
        <v>318</v>
      </c>
      <c r="B953">
        <v>119</v>
      </c>
      <c r="C953" t="s">
        <v>5</v>
      </c>
      <c r="D953" t="s">
        <v>56</v>
      </c>
      <c r="E953" s="18" t="s">
        <v>47</v>
      </c>
      <c r="F953" s="4" t="s">
        <v>48</v>
      </c>
      <c r="G953" s="18" t="s">
        <v>239</v>
      </c>
      <c r="H953" t="s">
        <v>29</v>
      </c>
      <c r="I953" t="s">
        <v>380</v>
      </c>
      <c r="J953" t="s">
        <v>360</v>
      </c>
      <c r="K953" t="str">
        <f>Tabla14[[#This Row],[id]]&amp;Tabla14[[#This Row],[Resposable]]</f>
        <v>119Ever Morales</v>
      </c>
      <c r="L953" t="str">
        <f>Tabla14[[#This Row],[id]]&amp;Tabla14[[#This Row],[Resposable]]</f>
        <v>119Ever Morales</v>
      </c>
      <c r="M953" t="s">
        <v>29</v>
      </c>
    </row>
    <row r="954" spans="1:13" x14ac:dyDescent="0.25">
      <c r="A954" t="s">
        <v>320</v>
      </c>
      <c r="B954">
        <v>121</v>
      </c>
      <c r="C954" t="s">
        <v>5</v>
      </c>
      <c r="D954" t="s">
        <v>46</v>
      </c>
      <c r="E954" s="18" t="s">
        <v>47</v>
      </c>
      <c r="F954" s="4" t="s">
        <v>77</v>
      </c>
      <c r="G954" s="18" t="s">
        <v>239</v>
      </c>
      <c r="H954" t="s">
        <v>29</v>
      </c>
      <c r="I954" t="s">
        <v>380</v>
      </c>
      <c r="J954" t="s">
        <v>360</v>
      </c>
      <c r="K954" t="str">
        <f>Tabla14[[#This Row],[id]]&amp;Tabla14[[#This Row],[Resposable]]</f>
        <v>121Ever Morales</v>
      </c>
      <c r="L954" t="str">
        <f>Tabla14[[#This Row],[id]]&amp;Tabla14[[#This Row],[Resposable]]</f>
        <v>121Ever Morales</v>
      </c>
      <c r="M954" t="s">
        <v>29</v>
      </c>
    </row>
    <row r="955" spans="1:13" x14ac:dyDescent="0.25">
      <c r="A955" t="s">
        <v>320</v>
      </c>
      <c r="B955">
        <v>121</v>
      </c>
      <c r="C955" t="s">
        <v>5</v>
      </c>
      <c r="D955" t="s">
        <v>53</v>
      </c>
      <c r="E955" s="18" t="s">
        <v>47</v>
      </c>
      <c r="F955" s="4" t="s">
        <v>77</v>
      </c>
      <c r="G955" s="18" t="s">
        <v>239</v>
      </c>
      <c r="H955" t="s">
        <v>29</v>
      </c>
      <c r="I955" t="s">
        <v>380</v>
      </c>
      <c r="J955" t="s">
        <v>360</v>
      </c>
      <c r="K955" t="str">
        <f>Tabla14[[#This Row],[id]]&amp;Tabla14[[#This Row],[Resposable]]</f>
        <v>121Ever Morales</v>
      </c>
      <c r="L955" t="str">
        <f>Tabla14[[#This Row],[id]]&amp;Tabla14[[#This Row],[Resposable]]</f>
        <v>121Ever Morales</v>
      </c>
      <c r="M955" t="s">
        <v>29</v>
      </c>
    </row>
    <row r="956" spans="1:13" x14ac:dyDescent="0.25">
      <c r="A956" t="s">
        <v>320</v>
      </c>
      <c r="B956">
        <v>121</v>
      </c>
      <c r="C956" t="s">
        <v>5</v>
      </c>
      <c r="D956" t="s">
        <v>56</v>
      </c>
      <c r="E956" s="18" t="s">
        <v>47</v>
      </c>
      <c r="F956" s="4" t="s">
        <v>48</v>
      </c>
      <c r="G956" s="18" t="s">
        <v>239</v>
      </c>
      <c r="H956" t="s">
        <v>29</v>
      </c>
      <c r="I956" t="s">
        <v>380</v>
      </c>
      <c r="J956" t="s">
        <v>360</v>
      </c>
      <c r="K956" t="str">
        <f>Tabla14[[#This Row],[id]]&amp;Tabla14[[#This Row],[Resposable]]</f>
        <v>121Ever Morales</v>
      </c>
      <c r="L956" t="str">
        <f>Tabla14[[#This Row],[id]]&amp;Tabla14[[#This Row],[Resposable]]</f>
        <v>121Ever Morales</v>
      </c>
      <c r="M956" t="s">
        <v>29</v>
      </c>
    </row>
    <row r="957" spans="1:13" x14ac:dyDescent="0.25">
      <c r="A957" t="s">
        <v>323</v>
      </c>
      <c r="B957">
        <v>124</v>
      </c>
      <c r="C957" t="s">
        <v>5</v>
      </c>
      <c r="D957" t="s">
        <v>46</v>
      </c>
      <c r="E957" t="s">
        <v>47</v>
      </c>
      <c r="F957" s="4" t="s">
        <v>77</v>
      </c>
      <c r="G957" t="s">
        <v>239</v>
      </c>
      <c r="H957" t="s">
        <v>29</v>
      </c>
      <c r="I957" t="s">
        <v>380</v>
      </c>
      <c r="J957" t="s">
        <v>360</v>
      </c>
      <c r="K957" t="str">
        <f>Tabla14[[#This Row],[id]]&amp;Tabla14[[#This Row],[Resposable]]</f>
        <v>124Ever Morales</v>
      </c>
      <c r="L957" t="str">
        <f>Tabla14[[#This Row],[id]]&amp;Tabla14[[#This Row],[Resposable]]</f>
        <v>124Ever Morales</v>
      </c>
      <c r="M957" t="s">
        <v>29</v>
      </c>
    </row>
    <row r="958" spans="1:13" x14ac:dyDescent="0.25">
      <c r="A958" t="s">
        <v>323</v>
      </c>
      <c r="B958">
        <v>124</v>
      </c>
      <c r="C958" t="s">
        <v>5</v>
      </c>
      <c r="D958" t="s">
        <v>53</v>
      </c>
      <c r="E958" t="s">
        <v>47</v>
      </c>
      <c r="F958" s="4" t="s">
        <v>77</v>
      </c>
      <c r="G958" t="s">
        <v>239</v>
      </c>
      <c r="H958" t="s">
        <v>29</v>
      </c>
      <c r="I958" t="s">
        <v>380</v>
      </c>
      <c r="J958" t="s">
        <v>360</v>
      </c>
      <c r="K958" t="str">
        <f>Tabla14[[#This Row],[id]]&amp;Tabla14[[#This Row],[Resposable]]</f>
        <v>124Ever Morales</v>
      </c>
      <c r="L958" t="str">
        <f>Tabla14[[#This Row],[id]]&amp;Tabla14[[#This Row],[Resposable]]</f>
        <v>124Ever Morales</v>
      </c>
      <c r="M958" t="s">
        <v>29</v>
      </c>
    </row>
    <row r="959" spans="1:13" x14ac:dyDescent="0.25">
      <c r="A959" t="s">
        <v>323</v>
      </c>
      <c r="B959">
        <v>124</v>
      </c>
      <c r="C959" t="s">
        <v>5</v>
      </c>
      <c r="D959" t="s">
        <v>56</v>
      </c>
      <c r="E959" t="s">
        <v>47</v>
      </c>
      <c r="F959" s="4" t="s">
        <v>48</v>
      </c>
      <c r="G959" t="s">
        <v>239</v>
      </c>
      <c r="H959" t="s">
        <v>29</v>
      </c>
      <c r="I959" t="s">
        <v>380</v>
      </c>
      <c r="J959" t="s">
        <v>360</v>
      </c>
      <c r="K959" t="str">
        <f>Tabla14[[#This Row],[id]]&amp;Tabla14[[#This Row],[Resposable]]</f>
        <v>124Ever Morales</v>
      </c>
      <c r="L959" t="str">
        <f>Tabla14[[#This Row],[id]]&amp;Tabla14[[#This Row],[Resposable]]</f>
        <v>124Ever Morales</v>
      </c>
      <c r="M959" t="s">
        <v>29</v>
      </c>
    </row>
    <row r="960" spans="1:13" x14ac:dyDescent="0.25">
      <c r="A960" t="s">
        <v>323</v>
      </c>
      <c r="B960">
        <v>124</v>
      </c>
      <c r="C960" t="s">
        <v>7</v>
      </c>
      <c r="D960" t="s">
        <v>185</v>
      </c>
      <c r="E960" t="s">
        <v>47</v>
      </c>
      <c r="F960" s="4" t="s">
        <v>82</v>
      </c>
      <c r="G960" t="s">
        <v>239</v>
      </c>
      <c r="H960" t="s">
        <v>29</v>
      </c>
      <c r="I960" t="s">
        <v>380</v>
      </c>
      <c r="J960" t="s">
        <v>360</v>
      </c>
      <c r="K960" t="str">
        <f>Tabla14[[#This Row],[id]]&amp;Tabla14[[#This Row],[Resposable]]</f>
        <v>124Ever Morales</v>
      </c>
      <c r="L960" t="str">
        <f>Tabla14[[#This Row],[id]]&amp;Tabla14[[#This Row],[Resposable]]</f>
        <v>124Ever Morales</v>
      </c>
      <c r="M960" t="s">
        <v>29</v>
      </c>
    </row>
    <row r="961" spans="1:13" x14ac:dyDescent="0.25">
      <c r="A961" t="s">
        <v>10</v>
      </c>
      <c r="B961">
        <v>12</v>
      </c>
      <c r="C961" t="s">
        <v>6</v>
      </c>
      <c r="D961" t="s">
        <v>67</v>
      </c>
      <c r="E961" t="s">
        <v>47</v>
      </c>
      <c r="F961" s="4" t="s">
        <v>50</v>
      </c>
      <c r="G961" t="s">
        <v>239</v>
      </c>
      <c r="H961" t="s">
        <v>240</v>
      </c>
      <c r="I961" t="s">
        <v>383</v>
      </c>
      <c r="J961" t="s">
        <v>361</v>
      </c>
      <c r="K961" t="str">
        <f>Tabla14[[#This Row],[id]]&amp;Tabla14[[#This Row],[Resposable]]</f>
        <v>12Henry Amado</v>
      </c>
      <c r="L961" t="str">
        <f>Tabla14[[#This Row],[id]]&amp;Tabla14[[#This Row],[Resposable]]</f>
        <v>12Henry Amado</v>
      </c>
      <c r="M961" t="s">
        <v>240</v>
      </c>
    </row>
    <row r="962" spans="1:13" x14ac:dyDescent="0.25">
      <c r="A962" t="s">
        <v>10</v>
      </c>
      <c r="B962">
        <v>12</v>
      </c>
      <c r="C962" t="s">
        <v>6</v>
      </c>
      <c r="D962" t="s">
        <v>68</v>
      </c>
      <c r="E962" t="s">
        <v>47</v>
      </c>
      <c r="F962" s="4" t="s">
        <v>50</v>
      </c>
      <c r="G962" t="s">
        <v>239</v>
      </c>
      <c r="H962" t="s">
        <v>240</v>
      </c>
      <c r="I962" t="s">
        <v>383</v>
      </c>
      <c r="J962" t="s">
        <v>361</v>
      </c>
      <c r="K962" t="str">
        <f>Tabla14[[#This Row],[id]]&amp;Tabla14[[#This Row],[Resposable]]</f>
        <v>12Henry Amado</v>
      </c>
      <c r="L962" t="str">
        <f>Tabla14[[#This Row],[id]]&amp;Tabla14[[#This Row],[Resposable]]</f>
        <v>12Henry Amado</v>
      </c>
      <c r="M962" t="s">
        <v>240</v>
      </c>
    </row>
    <row r="963" spans="1:13" x14ac:dyDescent="0.25">
      <c r="A963" t="s">
        <v>10</v>
      </c>
      <c r="B963">
        <v>12</v>
      </c>
      <c r="C963" t="s">
        <v>7</v>
      </c>
      <c r="D963" t="s">
        <v>69</v>
      </c>
      <c r="E963" t="s">
        <v>47</v>
      </c>
      <c r="F963" s="4" t="s">
        <v>58</v>
      </c>
      <c r="G963" t="s">
        <v>239</v>
      </c>
      <c r="H963" t="s">
        <v>240</v>
      </c>
      <c r="I963" t="s">
        <v>383</v>
      </c>
      <c r="J963" t="s">
        <v>361</v>
      </c>
      <c r="K963" t="str">
        <f>Tabla14[[#This Row],[id]]&amp;Tabla14[[#This Row],[Resposable]]</f>
        <v>12Henry Amado</v>
      </c>
      <c r="L963" t="str">
        <f>Tabla14[[#This Row],[id]]&amp;Tabla14[[#This Row],[Resposable]]</f>
        <v>12Henry Amado</v>
      </c>
      <c r="M963" t="s">
        <v>240</v>
      </c>
    </row>
    <row r="964" spans="1:13" x14ac:dyDescent="0.25">
      <c r="A964" t="s">
        <v>10</v>
      </c>
      <c r="B964">
        <v>12</v>
      </c>
      <c r="C964" t="s">
        <v>8</v>
      </c>
      <c r="D964" t="s">
        <v>70</v>
      </c>
      <c r="E964" t="s">
        <v>47</v>
      </c>
      <c r="F964" s="4" t="s">
        <v>48</v>
      </c>
      <c r="G964" t="s">
        <v>239</v>
      </c>
      <c r="H964" t="s">
        <v>240</v>
      </c>
      <c r="I964" t="s">
        <v>383</v>
      </c>
      <c r="J964" t="s">
        <v>361</v>
      </c>
      <c r="K964" t="str">
        <f>Tabla14[[#This Row],[id]]&amp;Tabla14[[#This Row],[Resposable]]</f>
        <v>12Henry Amado</v>
      </c>
      <c r="L964" t="str">
        <f>Tabla14[[#This Row],[id]]&amp;Tabla14[[#This Row],[Resposable]]</f>
        <v>12Henry Amado</v>
      </c>
      <c r="M964" t="s">
        <v>240</v>
      </c>
    </row>
    <row r="965" spans="1:13" x14ac:dyDescent="0.25">
      <c r="A965" t="s">
        <v>301</v>
      </c>
      <c r="B965">
        <v>61</v>
      </c>
      <c r="C965" t="s">
        <v>6</v>
      </c>
      <c r="D965" t="s">
        <v>101</v>
      </c>
      <c r="E965" t="s">
        <v>47</v>
      </c>
      <c r="F965" s="4" t="s">
        <v>50</v>
      </c>
      <c r="G965" t="s">
        <v>239</v>
      </c>
      <c r="H965" t="s">
        <v>240</v>
      </c>
      <c r="I965" t="s">
        <v>383</v>
      </c>
      <c r="J965" t="s">
        <v>361</v>
      </c>
      <c r="K965" t="str">
        <f>Tabla14[[#This Row],[id]]&amp;Tabla14[[#This Row],[Resposable]]</f>
        <v>61Henry Amado</v>
      </c>
      <c r="L965" t="str">
        <f>Tabla14[[#This Row],[id]]&amp;Tabla14[[#This Row],[Resposable]]</f>
        <v>61Henry Amado</v>
      </c>
      <c r="M965" t="s">
        <v>240</v>
      </c>
    </row>
    <row r="966" spans="1:13" x14ac:dyDescent="0.25">
      <c r="A966" s="18" t="s">
        <v>304</v>
      </c>
      <c r="B966" s="18">
        <v>62</v>
      </c>
      <c r="C966" s="18" t="s">
        <v>6</v>
      </c>
      <c r="D966" s="18" t="s">
        <v>101</v>
      </c>
      <c r="E966" s="18" t="s">
        <v>47</v>
      </c>
      <c r="F966" s="19" t="s">
        <v>50</v>
      </c>
      <c r="G966" s="18" t="s">
        <v>239</v>
      </c>
      <c r="H966" t="s">
        <v>240</v>
      </c>
      <c r="I966" t="s">
        <v>383</v>
      </c>
      <c r="J966" t="s">
        <v>361</v>
      </c>
      <c r="K966" t="str">
        <f>Tabla14[[#This Row],[id]]&amp;Tabla14[[#This Row],[Resposable]]</f>
        <v>62Henry Amado</v>
      </c>
      <c r="L966" t="str">
        <f>Tabla14[[#This Row],[id]]&amp;Tabla14[[#This Row],[Resposable]]</f>
        <v>62Henry Amado</v>
      </c>
      <c r="M966" t="s">
        <v>240</v>
      </c>
    </row>
    <row r="967" spans="1:13" x14ac:dyDescent="0.25">
      <c r="A967" t="s">
        <v>245</v>
      </c>
      <c r="B967">
        <v>5</v>
      </c>
      <c r="C967" t="s">
        <v>6</v>
      </c>
      <c r="D967" t="s">
        <v>49</v>
      </c>
      <c r="E967" t="s">
        <v>47</v>
      </c>
      <c r="F967" s="4" t="s">
        <v>50</v>
      </c>
      <c r="G967" t="s">
        <v>239</v>
      </c>
      <c r="H967" t="s">
        <v>299</v>
      </c>
      <c r="I967" t="s">
        <v>388</v>
      </c>
      <c r="J967" t="s">
        <v>361</v>
      </c>
      <c r="K967" t="str">
        <f>Tabla14[[#This Row],[id]]&amp;Tabla14[[#This Row],[Resposable]]</f>
        <v>5Jaime Cabrera</v>
      </c>
      <c r="L967" t="str">
        <f>Tabla14[[#This Row],[id]]&amp;Tabla14[[#This Row],[Resposable]]</f>
        <v>5Jaime Cabrera</v>
      </c>
      <c r="M967" t="s">
        <v>299</v>
      </c>
    </row>
    <row r="968" spans="1:13" x14ac:dyDescent="0.25">
      <c r="A968" t="s">
        <v>246</v>
      </c>
      <c r="B968">
        <v>10</v>
      </c>
      <c r="C968" t="s">
        <v>6</v>
      </c>
      <c r="D968" t="s">
        <v>59</v>
      </c>
      <c r="E968" t="s">
        <v>47</v>
      </c>
      <c r="F968" s="4" t="s">
        <v>60</v>
      </c>
      <c r="G968" t="s">
        <v>239</v>
      </c>
      <c r="H968" t="s">
        <v>299</v>
      </c>
      <c r="I968" t="s">
        <v>388</v>
      </c>
      <c r="J968" t="s">
        <v>367</v>
      </c>
      <c r="K968" t="str">
        <f>Tabla14[[#This Row],[id]]&amp;Tabla14[[#This Row],[Resposable]]</f>
        <v>10Jaime Cabrera</v>
      </c>
      <c r="L968" t="str">
        <f>Tabla14[[#This Row],[id]]&amp;Tabla14[[#This Row],[Resposable]]</f>
        <v>10Jaime Cabrera</v>
      </c>
      <c r="M968" t="s">
        <v>299</v>
      </c>
    </row>
    <row r="969" spans="1:13" x14ac:dyDescent="0.25">
      <c r="A969" t="s">
        <v>24</v>
      </c>
      <c r="B969">
        <v>107</v>
      </c>
      <c r="C969" t="s">
        <v>6</v>
      </c>
      <c r="D969" t="s">
        <v>136</v>
      </c>
      <c r="E969" t="s">
        <v>47</v>
      </c>
      <c r="F969" s="4" t="s">
        <v>60</v>
      </c>
      <c r="G969" t="s">
        <v>239</v>
      </c>
      <c r="H969" t="s">
        <v>299</v>
      </c>
      <c r="I969" t="s">
        <v>388</v>
      </c>
      <c r="J969" t="s">
        <v>361</v>
      </c>
      <c r="K969" t="str">
        <f>Tabla14[[#This Row],[id]]&amp;Tabla14[[#This Row],[Resposable]]</f>
        <v>107Jaime Cabrera</v>
      </c>
      <c r="L969" t="str">
        <f>Tabla14[[#This Row],[id]]&amp;Tabla14[[#This Row],[Resposable]]</f>
        <v>107Jaime Cabrera</v>
      </c>
      <c r="M969" t="s">
        <v>299</v>
      </c>
    </row>
    <row r="970" spans="1:13" x14ac:dyDescent="0.25">
      <c r="A970" t="s">
        <v>24</v>
      </c>
      <c r="B970">
        <v>107</v>
      </c>
      <c r="C970" t="s">
        <v>6</v>
      </c>
      <c r="D970" t="s">
        <v>139</v>
      </c>
      <c r="E970" t="s">
        <v>47</v>
      </c>
      <c r="F970" s="4" t="s">
        <v>60</v>
      </c>
      <c r="G970" t="s">
        <v>239</v>
      </c>
      <c r="H970" t="s">
        <v>299</v>
      </c>
      <c r="I970" t="s">
        <v>388</v>
      </c>
      <c r="J970" t="s">
        <v>361</v>
      </c>
      <c r="K970" t="str">
        <f>Tabla14[[#This Row],[id]]&amp;Tabla14[[#This Row],[Resposable]]</f>
        <v>107Jaime Cabrera</v>
      </c>
      <c r="L970" t="str">
        <f>Tabla14[[#This Row],[id]]&amp;Tabla14[[#This Row],[Resposable]]</f>
        <v>107Jaime Cabrera</v>
      </c>
      <c r="M970" t="s">
        <v>299</v>
      </c>
    </row>
    <row r="971" spans="1:13" x14ac:dyDescent="0.25">
      <c r="A971" t="s">
        <v>24</v>
      </c>
      <c r="B971">
        <v>107</v>
      </c>
      <c r="C971" t="s">
        <v>6</v>
      </c>
      <c r="D971" t="s">
        <v>372</v>
      </c>
      <c r="E971" t="s">
        <v>47</v>
      </c>
      <c r="F971" s="4" t="s">
        <v>60</v>
      </c>
      <c r="G971" t="s">
        <v>239</v>
      </c>
      <c r="H971" t="s">
        <v>299</v>
      </c>
      <c r="I971" t="s">
        <v>388</v>
      </c>
      <c r="J971" t="s">
        <v>361</v>
      </c>
      <c r="K971" t="str">
        <f>Tabla14[[#This Row],[id]]&amp;Tabla14[[#This Row],[Resposable]]</f>
        <v>107Jaime Cabrera</v>
      </c>
      <c r="L971" t="str">
        <f>Tabla14[[#This Row],[id]]&amp;Tabla14[[#This Row],[Resposable]]</f>
        <v>107Jaime Cabrera</v>
      </c>
      <c r="M971" t="s">
        <v>299</v>
      </c>
    </row>
    <row r="972" spans="1:13" x14ac:dyDescent="0.25">
      <c r="A972" t="s">
        <v>34</v>
      </c>
      <c r="B972">
        <v>25</v>
      </c>
      <c r="C972" t="s">
        <v>6</v>
      </c>
      <c r="D972" t="s">
        <v>206</v>
      </c>
      <c r="E972" t="s">
        <v>47</v>
      </c>
      <c r="F972" s="4" t="s">
        <v>60</v>
      </c>
      <c r="G972" t="s">
        <v>253</v>
      </c>
      <c r="H972" t="s">
        <v>256</v>
      </c>
      <c r="I972" t="s">
        <v>402</v>
      </c>
      <c r="J972" t="s">
        <v>361</v>
      </c>
      <c r="K972" t="str">
        <f>Tabla14[[#This Row],[id]]&amp;Tabla14[[#This Row],[Resposable]]</f>
        <v>25Joel Vasquez</v>
      </c>
      <c r="L972" t="str">
        <f>Tabla14[[#This Row],[id]]&amp;Tabla14[[#This Row],[Resposable]]</f>
        <v>25Joel Vasquez</v>
      </c>
      <c r="M972" t="s">
        <v>256</v>
      </c>
    </row>
    <row r="973" spans="1:13" x14ac:dyDescent="0.25">
      <c r="A973" t="s">
        <v>34</v>
      </c>
      <c r="B973">
        <v>25</v>
      </c>
      <c r="C973" t="s">
        <v>6</v>
      </c>
      <c r="D973" t="s">
        <v>207</v>
      </c>
      <c r="E973" t="s">
        <v>47</v>
      </c>
      <c r="F973" s="4" t="s">
        <v>60</v>
      </c>
      <c r="G973" t="s">
        <v>253</v>
      </c>
      <c r="H973" t="s">
        <v>256</v>
      </c>
      <c r="I973" t="s">
        <v>402</v>
      </c>
      <c r="J973" t="s">
        <v>361</v>
      </c>
      <c r="K973" t="str">
        <f>Tabla14[[#This Row],[id]]&amp;Tabla14[[#This Row],[Resposable]]</f>
        <v>25Joel Vasquez</v>
      </c>
      <c r="L973" t="str">
        <f>Tabla14[[#This Row],[id]]&amp;Tabla14[[#This Row],[Resposable]]</f>
        <v>25Joel Vasquez</v>
      </c>
      <c r="M973" t="s">
        <v>256</v>
      </c>
    </row>
    <row r="974" spans="1:13" x14ac:dyDescent="0.25">
      <c r="A974" t="s">
        <v>36</v>
      </c>
      <c r="B974">
        <v>25</v>
      </c>
      <c r="C974" t="s">
        <v>6</v>
      </c>
      <c r="D974" t="s">
        <v>206</v>
      </c>
      <c r="E974" t="s">
        <v>47</v>
      </c>
      <c r="F974" s="4" t="s">
        <v>60</v>
      </c>
      <c r="G974" t="s">
        <v>253</v>
      </c>
      <c r="H974" t="s">
        <v>256</v>
      </c>
      <c r="I974" t="s">
        <v>402</v>
      </c>
      <c r="J974" t="s">
        <v>361</v>
      </c>
      <c r="K974" t="str">
        <f>Tabla14[[#This Row],[id]]&amp;Tabla14[[#This Row],[Resposable]]</f>
        <v>25Joel Vasquez</v>
      </c>
      <c r="L974" t="str">
        <f>Tabla14[[#This Row],[id]]&amp;Tabla14[[#This Row],[Resposable]]</f>
        <v>25Joel Vasquez</v>
      </c>
      <c r="M974" t="s">
        <v>256</v>
      </c>
    </row>
    <row r="975" spans="1:13" x14ac:dyDescent="0.25">
      <c r="A975" t="s">
        <v>36</v>
      </c>
      <c r="B975">
        <v>25</v>
      </c>
      <c r="C975" t="s">
        <v>6</v>
      </c>
      <c r="D975" t="s">
        <v>207</v>
      </c>
      <c r="E975" t="s">
        <v>47</v>
      </c>
      <c r="F975" s="4" t="s">
        <v>60</v>
      </c>
      <c r="G975" t="s">
        <v>253</v>
      </c>
      <c r="H975" t="s">
        <v>256</v>
      </c>
      <c r="I975" t="s">
        <v>402</v>
      </c>
      <c r="J975" t="s">
        <v>361</v>
      </c>
      <c r="K975" t="str">
        <f>Tabla14[[#This Row],[id]]&amp;Tabla14[[#This Row],[Resposable]]</f>
        <v>25Joel Vasquez</v>
      </c>
      <c r="L975" t="str">
        <f>Tabla14[[#This Row],[id]]&amp;Tabla14[[#This Row],[Resposable]]</f>
        <v>25Joel Vasquez</v>
      </c>
      <c r="M975" t="s">
        <v>256</v>
      </c>
    </row>
    <row r="976" spans="1:13" x14ac:dyDescent="0.25">
      <c r="A976" t="s">
        <v>38</v>
      </c>
      <c r="B976">
        <v>25</v>
      </c>
      <c r="C976" t="s">
        <v>6</v>
      </c>
      <c r="D976" t="s">
        <v>227</v>
      </c>
      <c r="E976" t="s">
        <v>47</v>
      </c>
      <c r="F976" s="4" t="s">
        <v>60</v>
      </c>
      <c r="G976" t="s">
        <v>253</v>
      </c>
      <c r="H976" t="s">
        <v>256</v>
      </c>
      <c r="I976" t="s">
        <v>402</v>
      </c>
      <c r="J976" t="s">
        <v>361</v>
      </c>
      <c r="K976" t="str">
        <f>Tabla14[[#This Row],[id]]&amp;Tabla14[[#This Row],[Resposable]]</f>
        <v>25Joel Vasquez</v>
      </c>
      <c r="L976" t="str">
        <f>Tabla14[[#This Row],[id]]&amp;Tabla14[[#This Row],[Resposable]]</f>
        <v>25Joel Vasquez</v>
      </c>
      <c r="M976" t="s">
        <v>256</v>
      </c>
    </row>
    <row r="977" spans="1:13" x14ac:dyDescent="0.25">
      <c r="A977" t="s">
        <v>37</v>
      </c>
      <c r="B977">
        <v>36</v>
      </c>
      <c r="C977" t="s">
        <v>6</v>
      </c>
      <c r="D977" t="s">
        <v>221</v>
      </c>
      <c r="E977" t="s">
        <v>47</v>
      </c>
      <c r="F977" s="4" t="s">
        <v>60</v>
      </c>
      <c r="G977" t="s">
        <v>253</v>
      </c>
      <c r="H977" t="s">
        <v>256</v>
      </c>
      <c r="I977" t="s">
        <v>402</v>
      </c>
      <c r="J977" t="s">
        <v>361</v>
      </c>
      <c r="K977" t="str">
        <f>Tabla14[[#This Row],[id]]&amp;Tabla14[[#This Row],[Resposable]]</f>
        <v>36Joel Vasquez</v>
      </c>
      <c r="L977" t="str">
        <f>Tabla14[[#This Row],[id]]&amp;Tabla14[[#This Row],[Resposable]]</f>
        <v>36Joel Vasquez</v>
      </c>
      <c r="M977" t="s">
        <v>256</v>
      </c>
    </row>
    <row r="978" spans="1:13" x14ac:dyDescent="0.25">
      <c r="A978" t="s">
        <v>37</v>
      </c>
      <c r="B978">
        <v>36</v>
      </c>
      <c r="C978" t="s">
        <v>6</v>
      </c>
      <c r="D978" t="s">
        <v>216</v>
      </c>
      <c r="E978" t="s">
        <v>47</v>
      </c>
      <c r="F978" s="4" t="s">
        <v>50</v>
      </c>
      <c r="G978" t="s">
        <v>253</v>
      </c>
      <c r="H978" t="s">
        <v>256</v>
      </c>
      <c r="I978" t="s">
        <v>402</v>
      </c>
      <c r="J978" t="s">
        <v>361</v>
      </c>
      <c r="K978" t="str">
        <f>Tabla14[[#This Row],[id]]&amp;Tabla14[[#This Row],[Resposable]]</f>
        <v>36Joel Vasquez</v>
      </c>
      <c r="L978" t="str">
        <f>Tabla14[[#This Row],[id]]&amp;Tabla14[[#This Row],[Resposable]]</f>
        <v>36Joel Vasquez</v>
      </c>
      <c r="M978" t="s">
        <v>256</v>
      </c>
    </row>
    <row r="979" spans="1:13" x14ac:dyDescent="0.25">
      <c r="A979" t="s">
        <v>17</v>
      </c>
      <c r="B979">
        <v>55</v>
      </c>
      <c r="C979" t="s">
        <v>6</v>
      </c>
      <c r="D979" t="s">
        <v>216</v>
      </c>
      <c r="E979" t="s">
        <v>47</v>
      </c>
      <c r="F979" s="4" t="s">
        <v>50</v>
      </c>
      <c r="G979" t="s">
        <v>253</v>
      </c>
      <c r="H979" t="s">
        <v>256</v>
      </c>
      <c r="I979" t="s">
        <v>402</v>
      </c>
      <c r="J979" t="s">
        <v>361</v>
      </c>
      <c r="K979" t="str">
        <f>Tabla14[[#This Row],[id]]&amp;Tabla14[[#This Row],[Resposable]]</f>
        <v>55Joel Vasquez</v>
      </c>
      <c r="L979" t="str">
        <f>Tabla14[[#This Row],[id]]&amp;Tabla14[[#This Row],[Resposable]]</f>
        <v>55Joel Vasquez</v>
      </c>
      <c r="M979" t="s">
        <v>256</v>
      </c>
    </row>
    <row r="980" spans="1:13" x14ac:dyDescent="0.25">
      <c r="A980" t="s">
        <v>39</v>
      </c>
      <c r="B980">
        <v>98</v>
      </c>
      <c r="C980" t="s">
        <v>8</v>
      </c>
      <c r="D980" t="s">
        <v>229</v>
      </c>
      <c r="E980" t="s">
        <v>47</v>
      </c>
      <c r="F980" s="4" t="s">
        <v>82</v>
      </c>
      <c r="G980" t="s">
        <v>253</v>
      </c>
      <c r="H980" t="s">
        <v>256</v>
      </c>
      <c r="I980" t="s">
        <v>402</v>
      </c>
      <c r="J980" t="s">
        <v>361</v>
      </c>
      <c r="K980" t="str">
        <f>Tabla14[[#This Row],[id]]&amp;Tabla14[[#This Row],[Resposable]]</f>
        <v>98Joel Vasquez</v>
      </c>
      <c r="L980" t="str">
        <f>Tabla14[[#This Row],[id]]&amp;Tabla14[[#This Row],[Resposable]]</f>
        <v>98Joel Vasquez</v>
      </c>
      <c r="M980" t="s">
        <v>256</v>
      </c>
    </row>
    <row r="981" spans="1:13" x14ac:dyDescent="0.25">
      <c r="A981" t="s">
        <v>39</v>
      </c>
      <c r="B981">
        <v>98</v>
      </c>
      <c r="C981" t="s">
        <v>6</v>
      </c>
      <c r="D981" t="s">
        <v>231</v>
      </c>
      <c r="E981" t="s">
        <v>47</v>
      </c>
      <c r="F981" s="4" t="s">
        <v>60</v>
      </c>
      <c r="G981" t="s">
        <v>253</v>
      </c>
      <c r="H981" t="s">
        <v>256</v>
      </c>
      <c r="I981" t="s">
        <v>402</v>
      </c>
      <c r="J981" t="s">
        <v>361</v>
      </c>
      <c r="K981" t="str">
        <f>Tabla14[[#This Row],[id]]&amp;Tabla14[[#This Row],[Resposable]]</f>
        <v>98Joel Vasquez</v>
      </c>
      <c r="L981" t="str">
        <f>Tabla14[[#This Row],[id]]&amp;Tabla14[[#This Row],[Resposable]]</f>
        <v>98Joel Vasquez</v>
      </c>
      <c r="M981" t="s">
        <v>256</v>
      </c>
    </row>
    <row r="982" spans="1:13" x14ac:dyDescent="0.25">
      <c r="A982" t="s">
        <v>39</v>
      </c>
      <c r="B982">
        <v>98</v>
      </c>
      <c r="C982" t="s">
        <v>6</v>
      </c>
      <c r="D982" t="s">
        <v>232</v>
      </c>
      <c r="E982" t="s">
        <v>47</v>
      </c>
      <c r="F982" s="4" t="s">
        <v>60</v>
      </c>
      <c r="G982" t="s">
        <v>253</v>
      </c>
      <c r="H982" t="s">
        <v>256</v>
      </c>
      <c r="I982" t="s">
        <v>402</v>
      </c>
      <c r="J982" t="s">
        <v>361</v>
      </c>
      <c r="K982" t="str">
        <f>Tabla14[[#This Row],[id]]&amp;Tabla14[[#This Row],[Resposable]]</f>
        <v>98Joel Vasquez</v>
      </c>
      <c r="L982" t="str">
        <f>Tabla14[[#This Row],[id]]&amp;Tabla14[[#This Row],[Resposable]]</f>
        <v>98Joel Vasquez</v>
      </c>
      <c r="M982" t="s">
        <v>256</v>
      </c>
    </row>
    <row r="983" spans="1:13" x14ac:dyDescent="0.25">
      <c r="A983" t="s">
        <v>39</v>
      </c>
      <c r="B983">
        <v>98</v>
      </c>
      <c r="C983" t="s">
        <v>6</v>
      </c>
      <c r="D983" t="s">
        <v>233</v>
      </c>
      <c r="E983" t="s">
        <v>47</v>
      </c>
      <c r="F983" s="4" t="s">
        <v>60</v>
      </c>
      <c r="G983" t="s">
        <v>253</v>
      </c>
      <c r="H983" t="s">
        <v>256</v>
      </c>
      <c r="I983" t="s">
        <v>402</v>
      </c>
      <c r="J983" t="s">
        <v>361</v>
      </c>
      <c r="K983" t="str">
        <f>Tabla14[[#This Row],[id]]&amp;Tabla14[[#This Row],[Resposable]]</f>
        <v>98Joel Vasquez</v>
      </c>
      <c r="L983" t="str">
        <f>Tabla14[[#This Row],[id]]&amp;Tabla14[[#This Row],[Resposable]]</f>
        <v>98Joel Vasquez</v>
      </c>
      <c r="M983" t="s">
        <v>256</v>
      </c>
    </row>
    <row r="984" spans="1:13" x14ac:dyDescent="0.25">
      <c r="A984" s="18" t="s">
        <v>35</v>
      </c>
      <c r="B984" s="18">
        <v>145</v>
      </c>
      <c r="C984" s="18" t="s">
        <v>6</v>
      </c>
      <c r="D984" s="18" t="s">
        <v>216</v>
      </c>
      <c r="E984" s="18" t="s">
        <v>47</v>
      </c>
      <c r="F984" s="19" t="s">
        <v>50</v>
      </c>
      <c r="G984" s="18" t="s">
        <v>253</v>
      </c>
      <c r="H984" t="s">
        <v>256</v>
      </c>
      <c r="I984" t="s">
        <v>402</v>
      </c>
      <c r="J984" t="s">
        <v>361</v>
      </c>
      <c r="K984" t="str">
        <f>Tabla14[[#This Row],[id]]&amp;Tabla14[[#This Row],[Resposable]]</f>
        <v>145Joel Vasquez</v>
      </c>
      <c r="L984" t="str">
        <f>Tabla14[[#This Row],[id]]&amp;Tabla14[[#This Row],[Resposable]]</f>
        <v>145Joel Vasquez</v>
      </c>
      <c r="M984" t="s">
        <v>256</v>
      </c>
    </row>
    <row r="985" spans="1:13" x14ac:dyDescent="0.25">
      <c r="A985" t="s">
        <v>245</v>
      </c>
      <c r="B985">
        <v>5</v>
      </c>
      <c r="C985" t="s">
        <v>7</v>
      </c>
      <c r="D985" t="s">
        <v>51</v>
      </c>
      <c r="E985" t="s">
        <v>47</v>
      </c>
      <c r="F985" s="4" t="s">
        <v>50</v>
      </c>
      <c r="G985" t="s">
        <v>239</v>
      </c>
      <c r="H985" t="s">
        <v>299</v>
      </c>
      <c r="I985" t="s">
        <v>389</v>
      </c>
      <c r="J985" t="s">
        <v>364</v>
      </c>
      <c r="K985" t="str">
        <f>Tabla14[[#This Row],[id]]&amp;Tabla14[[#This Row],[Resposable]]</f>
        <v>5Julio Galvez</v>
      </c>
      <c r="L985" t="str">
        <f>Tabla14[[#This Row],[id]]&amp;Tabla14[[#This Row],[Resposable]]</f>
        <v>5Julio Galvez</v>
      </c>
      <c r="M985" t="s">
        <v>299</v>
      </c>
    </row>
    <row r="986" spans="1:13" x14ac:dyDescent="0.25">
      <c r="A986" t="s">
        <v>245</v>
      </c>
      <c r="B986">
        <v>5</v>
      </c>
      <c r="C986" t="s">
        <v>8</v>
      </c>
      <c r="D986" t="s">
        <v>55</v>
      </c>
      <c r="E986" t="s">
        <v>47</v>
      </c>
      <c r="F986" s="4" t="s">
        <v>50</v>
      </c>
      <c r="G986" t="s">
        <v>239</v>
      </c>
      <c r="H986" t="s">
        <v>299</v>
      </c>
      <c r="I986" t="s">
        <v>389</v>
      </c>
      <c r="J986" t="s">
        <v>363</v>
      </c>
      <c r="K986" t="str">
        <f>Tabla14[[#This Row],[id]]&amp;Tabla14[[#This Row],[Resposable]]</f>
        <v>5Julio Galvez</v>
      </c>
      <c r="L986" t="str">
        <f>Tabla14[[#This Row],[id]]&amp;Tabla14[[#This Row],[Resposable]]</f>
        <v>5Julio Galvez</v>
      </c>
      <c r="M986" t="s">
        <v>299</v>
      </c>
    </row>
    <row r="987" spans="1:13" x14ac:dyDescent="0.25">
      <c r="A987" t="s">
        <v>245</v>
      </c>
      <c r="B987">
        <v>5</v>
      </c>
      <c r="C987" t="s">
        <v>8</v>
      </c>
      <c r="D987" t="s">
        <v>57</v>
      </c>
      <c r="E987" t="s">
        <v>54</v>
      </c>
      <c r="F987" s="4" t="s">
        <v>50</v>
      </c>
      <c r="G987" t="s">
        <v>239</v>
      </c>
      <c r="H987" t="s">
        <v>299</v>
      </c>
      <c r="I987" t="s">
        <v>389</v>
      </c>
      <c r="J987" t="s">
        <v>363</v>
      </c>
      <c r="K987" t="str">
        <f>Tabla14[[#This Row],[id]]&amp;Tabla14[[#This Row],[Resposable]]</f>
        <v>5Julio Galvez</v>
      </c>
      <c r="L987" t="str">
        <f>Tabla14[[#This Row],[id]]&amp;Tabla14[[#This Row],[Resposable]]</f>
        <v>5Julio Galvez</v>
      </c>
      <c r="M987" t="s">
        <v>299</v>
      </c>
    </row>
    <row r="988" spans="1:13" x14ac:dyDescent="0.25">
      <c r="A988" t="s">
        <v>246</v>
      </c>
      <c r="B988">
        <v>10</v>
      </c>
      <c r="C988" t="s">
        <v>9</v>
      </c>
      <c r="D988" t="s">
        <v>61</v>
      </c>
      <c r="E988" t="s">
        <v>47</v>
      </c>
      <c r="F988" s="4" t="s">
        <v>58</v>
      </c>
      <c r="G988" t="s">
        <v>239</v>
      </c>
      <c r="H988" t="s">
        <v>299</v>
      </c>
      <c r="I988" t="s">
        <v>389</v>
      </c>
      <c r="J988" t="s">
        <v>364</v>
      </c>
      <c r="K988" t="str">
        <f>Tabla14[[#This Row],[id]]&amp;Tabla14[[#This Row],[Resposable]]</f>
        <v>10Julio Galvez</v>
      </c>
      <c r="L988" t="str">
        <f>Tabla14[[#This Row],[id]]&amp;Tabla14[[#This Row],[Resposable]]</f>
        <v>10Julio Galvez</v>
      </c>
      <c r="M988" t="s">
        <v>299</v>
      </c>
    </row>
    <row r="989" spans="1:13" x14ac:dyDescent="0.25">
      <c r="A989" t="s">
        <v>246</v>
      </c>
      <c r="B989">
        <v>10</v>
      </c>
      <c r="C989" t="s">
        <v>7</v>
      </c>
      <c r="D989" t="s">
        <v>62</v>
      </c>
      <c r="E989" t="s">
        <v>47</v>
      </c>
      <c r="F989" s="4" t="s">
        <v>48</v>
      </c>
      <c r="G989" t="s">
        <v>239</v>
      </c>
      <c r="H989" t="s">
        <v>299</v>
      </c>
      <c r="I989" t="s">
        <v>389</v>
      </c>
      <c r="J989" t="s">
        <v>363</v>
      </c>
      <c r="K989" t="str">
        <f>Tabla14[[#This Row],[id]]&amp;Tabla14[[#This Row],[Resposable]]</f>
        <v>10Julio Galvez</v>
      </c>
      <c r="L989" t="str">
        <f>Tabla14[[#This Row],[id]]&amp;Tabla14[[#This Row],[Resposable]]</f>
        <v>10Julio Galvez</v>
      </c>
      <c r="M989" t="s">
        <v>299</v>
      </c>
    </row>
    <row r="990" spans="1:13" x14ac:dyDescent="0.25">
      <c r="A990" t="s">
        <v>246</v>
      </c>
      <c r="B990">
        <v>10</v>
      </c>
      <c r="C990" t="s">
        <v>9</v>
      </c>
      <c r="D990" t="s">
        <v>63</v>
      </c>
      <c r="E990" t="s">
        <v>47</v>
      </c>
      <c r="F990" s="4" t="s">
        <v>58</v>
      </c>
      <c r="G990" t="s">
        <v>239</v>
      </c>
      <c r="H990" t="s">
        <v>299</v>
      </c>
      <c r="I990" t="s">
        <v>389</v>
      </c>
      <c r="J990" t="s">
        <v>364</v>
      </c>
      <c r="K990" t="str">
        <f>Tabla14[[#This Row],[id]]&amp;Tabla14[[#This Row],[Resposable]]</f>
        <v>10Julio Galvez</v>
      </c>
      <c r="L990" t="str">
        <f>Tabla14[[#This Row],[id]]&amp;Tabla14[[#This Row],[Resposable]]</f>
        <v>10Julio Galvez</v>
      </c>
      <c r="M990" t="s">
        <v>299</v>
      </c>
    </row>
    <row r="991" spans="1:13" x14ac:dyDescent="0.25">
      <c r="A991" t="s">
        <v>246</v>
      </c>
      <c r="B991">
        <v>10</v>
      </c>
      <c r="C991" t="s">
        <v>8</v>
      </c>
      <c r="D991" t="s">
        <v>57</v>
      </c>
      <c r="E991" t="s">
        <v>54</v>
      </c>
      <c r="F991" s="4" t="s">
        <v>48</v>
      </c>
      <c r="G991" t="s">
        <v>239</v>
      </c>
      <c r="H991" t="s">
        <v>299</v>
      </c>
      <c r="I991" t="s">
        <v>389</v>
      </c>
      <c r="J991" t="s">
        <v>363</v>
      </c>
      <c r="K991" t="str">
        <f>Tabla14[[#This Row],[id]]&amp;Tabla14[[#This Row],[Resposable]]</f>
        <v>10Julio Galvez</v>
      </c>
      <c r="L991" t="str">
        <f>Tabla14[[#This Row],[id]]&amp;Tabla14[[#This Row],[Resposable]]</f>
        <v>10Julio Galvez</v>
      </c>
      <c r="M991" t="s">
        <v>299</v>
      </c>
    </row>
    <row r="992" spans="1:13" x14ac:dyDescent="0.25">
      <c r="A992" t="s">
        <v>15</v>
      </c>
      <c r="B992">
        <v>46</v>
      </c>
      <c r="C992" t="s">
        <v>6</v>
      </c>
      <c r="D992" t="s">
        <v>78</v>
      </c>
      <c r="E992" t="s">
        <v>47</v>
      </c>
      <c r="F992" s="4" t="s">
        <v>50</v>
      </c>
      <c r="G992" t="s">
        <v>239</v>
      </c>
      <c r="H992" t="s">
        <v>299</v>
      </c>
      <c r="I992" t="s">
        <v>389</v>
      </c>
      <c r="J992" t="s">
        <v>363</v>
      </c>
      <c r="K992" t="str">
        <f>Tabla14[[#This Row],[id]]&amp;Tabla14[[#This Row],[Resposable]]</f>
        <v>46Julio Galvez</v>
      </c>
      <c r="L992" t="str">
        <f>Tabla14[[#This Row],[id]]&amp;Tabla14[[#This Row],[Resposable]]</f>
        <v>46Julio Galvez</v>
      </c>
      <c r="M992" t="s">
        <v>299</v>
      </c>
    </row>
    <row r="993" spans="1:13" x14ac:dyDescent="0.25">
      <c r="A993" t="s">
        <v>17</v>
      </c>
      <c r="B993">
        <v>53</v>
      </c>
      <c r="C993" t="s">
        <v>7</v>
      </c>
      <c r="D993" t="s">
        <v>92</v>
      </c>
      <c r="E993" t="s">
        <v>47</v>
      </c>
      <c r="F993" s="4" t="s">
        <v>48</v>
      </c>
      <c r="G993" t="s">
        <v>239</v>
      </c>
      <c r="H993" t="s">
        <v>299</v>
      </c>
      <c r="I993" t="s">
        <v>389</v>
      </c>
      <c r="J993" t="s">
        <v>363</v>
      </c>
      <c r="K993" t="str">
        <f>Tabla14[[#This Row],[id]]&amp;Tabla14[[#This Row],[Resposable]]</f>
        <v>53Julio Galvez</v>
      </c>
      <c r="L993" t="str">
        <f>Tabla14[[#This Row],[id]]&amp;Tabla14[[#This Row],[Resposable]]</f>
        <v>53Julio Galvez</v>
      </c>
      <c r="M993" t="s">
        <v>299</v>
      </c>
    </row>
    <row r="994" spans="1:13" x14ac:dyDescent="0.25">
      <c r="A994" t="s">
        <v>17</v>
      </c>
      <c r="B994">
        <v>53</v>
      </c>
      <c r="C994" t="s">
        <v>7</v>
      </c>
      <c r="D994" t="s">
        <v>93</v>
      </c>
      <c r="E994" t="s">
        <v>47</v>
      </c>
      <c r="F994" s="4" t="s">
        <v>48</v>
      </c>
      <c r="G994" t="s">
        <v>239</v>
      </c>
      <c r="H994" t="s">
        <v>299</v>
      </c>
      <c r="I994" t="s">
        <v>389</v>
      </c>
      <c r="J994" t="s">
        <v>363</v>
      </c>
      <c r="K994" t="str">
        <f>Tabla14[[#This Row],[id]]&amp;Tabla14[[#This Row],[Resposable]]</f>
        <v>53Julio Galvez</v>
      </c>
      <c r="L994" t="str">
        <f>Tabla14[[#This Row],[id]]&amp;Tabla14[[#This Row],[Resposable]]</f>
        <v>53Julio Galvez</v>
      </c>
      <c r="M994" t="s">
        <v>299</v>
      </c>
    </row>
    <row r="995" spans="1:13" x14ac:dyDescent="0.25">
      <c r="A995" t="s">
        <v>17</v>
      </c>
      <c r="B995">
        <v>53</v>
      </c>
      <c r="C995" t="s">
        <v>7</v>
      </c>
      <c r="D995" t="s">
        <v>94</v>
      </c>
      <c r="E995" t="s">
        <v>47</v>
      </c>
      <c r="F995" s="4" t="s">
        <v>48</v>
      </c>
      <c r="G995" t="s">
        <v>239</v>
      </c>
      <c r="H995" t="s">
        <v>299</v>
      </c>
      <c r="I995" t="s">
        <v>389</v>
      </c>
      <c r="J995" t="s">
        <v>363</v>
      </c>
      <c r="K995" t="str">
        <f>Tabla14[[#This Row],[id]]&amp;Tabla14[[#This Row],[Resposable]]</f>
        <v>53Julio Galvez</v>
      </c>
      <c r="L995" t="str">
        <f>Tabla14[[#This Row],[id]]&amp;Tabla14[[#This Row],[Resposable]]</f>
        <v>53Julio Galvez</v>
      </c>
      <c r="M995" t="s">
        <v>299</v>
      </c>
    </row>
    <row r="996" spans="1:13" x14ac:dyDescent="0.25">
      <c r="A996" t="s">
        <v>17</v>
      </c>
      <c r="B996">
        <v>53</v>
      </c>
      <c r="C996" t="s">
        <v>7</v>
      </c>
      <c r="D996" t="s">
        <v>95</v>
      </c>
      <c r="E996" t="s">
        <v>47</v>
      </c>
      <c r="F996" s="4" t="s">
        <v>96</v>
      </c>
      <c r="G996" t="s">
        <v>239</v>
      </c>
      <c r="H996" t="s">
        <v>299</v>
      </c>
      <c r="I996" t="s">
        <v>389</v>
      </c>
      <c r="J996" t="s">
        <v>363</v>
      </c>
      <c r="K996" t="str">
        <f>Tabla14[[#This Row],[id]]&amp;Tabla14[[#This Row],[Resposable]]</f>
        <v>53Julio Galvez</v>
      </c>
      <c r="L996" t="str">
        <f>Tabla14[[#This Row],[id]]&amp;Tabla14[[#This Row],[Resposable]]</f>
        <v>53Julio Galvez</v>
      </c>
      <c r="M996" t="s">
        <v>299</v>
      </c>
    </row>
    <row r="997" spans="1:13" x14ac:dyDescent="0.25">
      <c r="A997" t="s">
        <v>17</v>
      </c>
      <c r="B997">
        <v>53</v>
      </c>
      <c r="C997" t="s">
        <v>18</v>
      </c>
      <c r="D997" t="s">
        <v>97</v>
      </c>
      <c r="E997" t="s">
        <v>47</v>
      </c>
      <c r="F997" s="4" t="s">
        <v>48</v>
      </c>
      <c r="G997" t="s">
        <v>239</v>
      </c>
      <c r="H997" t="s">
        <v>299</v>
      </c>
      <c r="I997" t="s">
        <v>389</v>
      </c>
      <c r="J997" t="s">
        <v>363</v>
      </c>
      <c r="K997" t="str">
        <f>Tabla14[[#This Row],[id]]&amp;Tabla14[[#This Row],[Resposable]]</f>
        <v>53Julio Galvez</v>
      </c>
      <c r="L997" t="str">
        <f>Tabla14[[#This Row],[id]]&amp;Tabla14[[#This Row],[Resposable]]</f>
        <v>53Julio Galvez</v>
      </c>
      <c r="M997" t="s">
        <v>299</v>
      </c>
    </row>
    <row r="998" spans="1:13" x14ac:dyDescent="0.25">
      <c r="A998" t="s">
        <v>17</v>
      </c>
      <c r="B998">
        <v>53</v>
      </c>
      <c r="C998" t="s">
        <v>8</v>
      </c>
      <c r="D998" t="s">
        <v>57</v>
      </c>
      <c r="E998" t="s">
        <v>54</v>
      </c>
      <c r="F998" s="4" t="s">
        <v>77</v>
      </c>
      <c r="G998" t="s">
        <v>239</v>
      </c>
      <c r="H998" t="s">
        <v>299</v>
      </c>
      <c r="I998" t="s">
        <v>389</v>
      </c>
      <c r="J998" t="s">
        <v>363</v>
      </c>
      <c r="K998" t="str">
        <f>Tabla14[[#This Row],[id]]&amp;Tabla14[[#This Row],[Resposable]]</f>
        <v>53Julio Galvez</v>
      </c>
      <c r="L998" t="str">
        <f>Tabla14[[#This Row],[id]]&amp;Tabla14[[#This Row],[Resposable]]</f>
        <v>53Julio Galvez</v>
      </c>
      <c r="M998" t="s">
        <v>299</v>
      </c>
    </row>
    <row r="999" spans="1:13" x14ac:dyDescent="0.25">
      <c r="A999" t="s">
        <v>371</v>
      </c>
      <c r="B999">
        <v>65</v>
      </c>
      <c r="C999" t="s">
        <v>7</v>
      </c>
      <c r="D999" t="s">
        <v>99</v>
      </c>
      <c r="E999" t="s">
        <v>47</v>
      </c>
      <c r="F999" s="4" t="s">
        <v>48</v>
      </c>
      <c r="G999" t="s">
        <v>239</v>
      </c>
      <c r="H999" t="s">
        <v>299</v>
      </c>
      <c r="I999" t="s">
        <v>389</v>
      </c>
      <c r="J999" t="s">
        <v>363</v>
      </c>
      <c r="K999" t="str">
        <f>Tabla14[[#This Row],[id]]&amp;Tabla14[[#This Row],[Resposable]]</f>
        <v>65Julio Galvez</v>
      </c>
      <c r="L999" t="str">
        <f>Tabla14[[#This Row],[id]]&amp;Tabla14[[#This Row],[Resposable]]</f>
        <v>65Julio Galvez</v>
      </c>
      <c r="M999" t="s">
        <v>299</v>
      </c>
    </row>
    <row r="1000" spans="1:13" x14ac:dyDescent="0.25">
      <c r="A1000" t="s">
        <v>371</v>
      </c>
      <c r="B1000">
        <v>65</v>
      </c>
      <c r="C1000" t="s">
        <v>8</v>
      </c>
      <c r="D1000" t="s">
        <v>100</v>
      </c>
      <c r="E1000" t="s">
        <v>47</v>
      </c>
      <c r="F1000" s="4" t="s">
        <v>82</v>
      </c>
      <c r="G1000" t="s">
        <v>239</v>
      </c>
      <c r="H1000" t="s">
        <v>299</v>
      </c>
      <c r="I1000" t="s">
        <v>389</v>
      </c>
      <c r="J1000" t="s">
        <v>363</v>
      </c>
      <c r="K1000" t="str">
        <f>Tabla14[[#This Row],[id]]&amp;Tabla14[[#This Row],[Resposable]]</f>
        <v>65Julio Galvez</v>
      </c>
      <c r="L1000" t="str">
        <f>Tabla14[[#This Row],[id]]&amp;Tabla14[[#This Row],[Resposable]]</f>
        <v>65Julio Galvez</v>
      </c>
      <c r="M1000" t="s">
        <v>299</v>
      </c>
    </row>
    <row r="1001" spans="1:13" x14ac:dyDescent="0.25">
      <c r="A1001" t="s">
        <v>371</v>
      </c>
      <c r="B1001">
        <v>65</v>
      </c>
      <c r="C1001" t="s">
        <v>5</v>
      </c>
      <c r="D1001" t="s">
        <v>102</v>
      </c>
      <c r="E1001" t="s">
        <v>47</v>
      </c>
      <c r="F1001" s="4" t="s">
        <v>65</v>
      </c>
      <c r="G1001" t="s">
        <v>239</v>
      </c>
      <c r="H1001" t="s">
        <v>299</v>
      </c>
      <c r="I1001" t="s">
        <v>389</v>
      </c>
      <c r="J1001" t="s">
        <v>363</v>
      </c>
      <c r="K1001" t="str">
        <f>Tabla14[[#This Row],[id]]&amp;Tabla14[[#This Row],[Resposable]]</f>
        <v>65Julio Galvez</v>
      </c>
      <c r="L1001" t="str">
        <f>Tabla14[[#This Row],[id]]&amp;Tabla14[[#This Row],[Resposable]]</f>
        <v>65Julio Galvez</v>
      </c>
      <c r="M1001" t="s">
        <v>299</v>
      </c>
    </row>
    <row r="1002" spans="1:13" x14ac:dyDescent="0.25">
      <c r="A1002" t="s">
        <v>371</v>
      </c>
      <c r="B1002">
        <v>65</v>
      </c>
      <c r="C1002" t="s">
        <v>8</v>
      </c>
      <c r="D1002" t="s">
        <v>80</v>
      </c>
      <c r="E1002" t="s">
        <v>47</v>
      </c>
      <c r="F1002" s="4" t="s">
        <v>82</v>
      </c>
      <c r="G1002" t="s">
        <v>239</v>
      </c>
      <c r="H1002" t="s">
        <v>299</v>
      </c>
      <c r="I1002" t="s">
        <v>389</v>
      </c>
      <c r="J1002" t="s">
        <v>363</v>
      </c>
      <c r="K1002" t="str">
        <f>Tabla14[[#This Row],[id]]&amp;Tabla14[[#This Row],[Resposable]]</f>
        <v>65Julio Galvez</v>
      </c>
      <c r="L1002" t="str">
        <f>Tabla14[[#This Row],[id]]&amp;Tabla14[[#This Row],[Resposable]]</f>
        <v>65Julio Galvez</v>
      </c>
      <c r="M1002" t="s">
        <v>299</v>
      </c>
    </row>
    <row r="1003" spans="1:13" x14ac:dyDescent="0.25">
      <c r="A1003" t="s">
        <v>371</v>
      </c>
      <c r="B1003">
        <v>65</v>
      </c>
      <c r="C1003" t="s">
        <v>20</v>
      </c>
      <c r="D1003" t="s">
        <v>103</v>
      </c>
      <c r="E1003" t="s">
        <v>47</v>
      </c>
      <c r="F1003" s="4" t="s">
        <v>48</v>
      </c>
      <c r="G1003" t="s">
        <v>239</v>
      </c>
      <c r="H1003" t="s">
        <v>299</v>
      </c>
      <c r="I1003" t="s">
        <v>389</v>
      </c>
      <c r="J1003" t="s">
        <v>363</v>
      </c>
      <c r="K1003" t="str">
        <f>Tabla14[[#This Row],[id]]&amp;Tabla14[[#This Row],[Resposable]]</f>
        <v>65Julio Galvez</v>
      </c>
      <c r="L1003" t="str">
        <f>Tabla14[[#This Row],[id]]&amp;Tabla14[[#This Row],[Resposable]]</f>
        <v>65Julio Galvez</v>
      </c>
      <c r="M1003" t="s">
        <v>299</v>
      </c>
    </row>
    <row r="1004" spans="1:13" x14ac:dyDescent="0.25">
      <c r="A1004" t="s">
        <v>371</v>
      </c>
      <c r="B1004">
        <v>65</v>
      </c>
      <c r="C1004" t="s">
        <v>8</v>
      </c>
      <c r="D1004" t="s">
        <v>57</v>
      </c>
      <c r="E1004" t="s">
        <v>47</v>
      </c>
      <c r="F1004" s="4" t="s">
        <v>82</v>
      </c>
      <c r="G1004" t="s">
        <v>239</v>
      </c>
      <c r="H1004" t="s">
        <v>299</v>
      </c>
      <c r="I1004" t="s">
        <v>389</v>
      </c>
      <c r="J1004" t="s">
        <v>363</v>
      </c>
      <c r="K1004" t="str">
        <f>Tabla14[[#This Row],[id]]&amp;Tabla14[[#This Row],[Resposable]]</f>
        <v>65Julio Galvez</v>
      </c>
      <c r="L1004" t="str">
        <f>Tabla14[[#This Row],[id]]&amp;Tabla14[[#This Row],[Resposable]]</f>
        <v>65Julio Galvez</v>
      </c>
      <c r="M1004" t="s">
        <v>299</v>
      </c>
    </row>
    <row r="1005" spans="1:13" x14ac:dyDescent="0.25">
      <c r="A1005" t="s">
        <v>24</v>
      </c>
      <c r="B1005">
        <v>107</v>
      </c>
      <c r="C1005" t="s">
        <v>5</v>
      </c>
      <c r="D1005" t="s">
        <v>115</v>
      </c>
      <c r="E1005" t="s">
        <v>47</v>
      </c>
      <c r="F1005" s="4" t="s">
        <v>58</v>
      </c>
      <c r="G1005" t="s">
        <v>239</v>
      </c>
      <c r="H1005" t="s">
        <v>299</v>
      </c>
      <c r="I1005" t="s">
        <v>389</v>
      </c>
      <c r="J1005" t="s">
        <v>363</v>
      </c>
      <c r="K1005" t="str">
        <f>Tabla14[[#This Row],[id]]&amp;Tabla14[[#This Row],[Resposable]]</f>
        <v>107Julio Galvez</v>
      </c>
      <c r="L1005" t="str">
        <f>Tabla14[[#This Row],[id]]&amp;Tabla14[[#This Row],[Resposable]]</f>
        <v>107Julio Galvez</v>
      </c>
      <c r="M1005" t="s">
        <v>299</v>
      </c>
    </row>
    <row r="1006" spans="1:13" x14ac:dyDescent="0.25">
      <c r="A1006" t="s">
        <v>24</v>
      </c>
      <c r="B1006">
        <v>107</v>
      </c>
      <c r="C1006" t="s">
        <v>5</v>
      </c>
      <c r="D1006" t="s">
        <v>117</v>
      </c>
      <c r="E1006" t="s">
        <v>47</v>
      </c>
      <c r="F1006" s="4" t="s">
        <v>96</v>
      </c>
      <c r="G1006" t="s">
        <v>239</v>
      </c>
      <c r="H1006" t="s">
        <v>299</v>
      </c>
      <c r="I1006" t="s">
        <v>389</v>
      </c>
      <c r="J1006" t="s">
        <v>363</v>
      </c>
      <c r="K1006" t="str">
        <f>Tabla14[[#This Row],[id]]&amp;Tabla14[[#This Row],[Resposable]]</f>
        <v>107Julio Galvez</v>
      </c>
      <c r="L1006" t="str">
        <f>Tabla14[[#This Row],[id]]&amp;Tabla14[[#This Row],[Resposable]]</f>
        <v>107Julio Galvez</v>
      </c>
      <c r="M1006" t="s">
        <v>299</v>
      </c>
    </row>
    <row r="1007" spans="1:13" x14ac:dyDescent="0.25">
      <c r="A1007" t="s">
        <v>24</v>
      </c>
      <c r="B1007">
        <v>107</v>
      </c>
      <c r="C1007" t="s">
        <v>7</v>
      </c>
      <c r="D1007" t="s">
        <v>118</v>
      </c>
      <c r="E1007" t="s">
        <v>47</v>
      </c>
      <c r="F1007" s="4" t="s">
        <v>71</v>
      </c>
      <c r="G1007" t="s">
        <v>239</v>
      </c>
      <c r="H1007" t="s">
        <v>299</v>
      </c>
      <c r="I1007" t="s">
        <v>389</v>
      </c>
      <c r="J1007" t="s">
        <v>363</v>
      </c>
      <c r="K1007" t="str">
        <f>Tabla14[[#This Row],[id]]&amp;Tabla14[[#This Row],[Resposable]]</f>
        <v>107Julio Galvez</v>
      </c>
      <c r="L1007" t="str">
        <f>Tabla14[[#This Row],[id]]&amp;Tabla14[[#This Row],[Resposable]]</f>
        <v>107Julio Galvez</v>
      </c>
      <c r="M1007" t="s">
        <v>299</v>
      </c>
    </row>
    <row r="1008" spans="1:13" x14ac:dyDescent="0.25">
      <c r="A1008" t="s">
        <v>24</v>
      </c>
      <c r="B1008">
        <v>107</v>
      </c>
      <c r="C1008" t="s">
        <v>7</v>
      </c>
      <c r="D1008" t="s">
        <v>119</v>
      </c>
      <c r="E1008" t="s">
        <v>47</v>
      </c>
      <c r="F1008" s="4" t="s">
        <v>71</v>
      </c>
      <c r="G1008" t="s">
        <v>239</v>
      </c>
      <c r="H1008" t="s">
        <v>299</v>
      </c>
      <c r="I1008" t="s">
        <v>389</v>
      </c>
      <c r="J1008" t="s">
        <v>363</v>
      </c>
      <c r="K1008" t="str">
        <f>Tabla14[[#This Row],[id]]&amp;Tabla14[[#This Row],[Resposable]]</f>
        <v>107Julio Galvez</v>
      </c>
      <c r="L1008" t="str">
        <f>Tabla14[[#This Row],[id]]&amp;Tabla14[[#This Row],[Resposable]]</f>
        <v>107Julio Galvez</v>
      </c>
      <c r="M1008" t="s">
        <v>299</v>
      </c>
    </row>
    <row r="1009" spans="1:13" x14ac:dyDescent="0.25">
      <c r="A1009" t="s">
        <v>24</v>
      </c>
      <c r="B1009">
        <v>107</v>
      </c>
      <c r="C1009" t="s">
        <v>7</v>
      </c>
      <c r="D1009" t="s">
        <v>120</v>
      </c>
      <c r="E1009" t="s">
        <v>47</v>
      </c>
      <c r="F1009" s="4" t="s">
        <v>96</v>
      </c>
      <c r="G1009" t="s">
        <v>239</v>
      </c>
      <c r="H1009" t="s">
        <v>299</v>
      </c>
      <c r="I1009" t="s">
        <v>389</v>
      </c>
      <c r="J1009" t="s">
        <v>363</v>
      </c>
      <c r="K1009" t="str">
        <f>Tabla14[[#This Row],[id]]&amp;Tabla14[[#This Row],[Resposable]]</f>
        <v>107Julio Galvez</v>
      </c>
      <c r="L1009" t="str">
        <f>Tabla14[[#This Row],[id]]&amp;Tabla14[[#This Row],[Resposable]]</f>
        <v>107Julio Galvez</v>
      </c>
      <c r="M1009" t="s">
        <v>299</v>
      </c>
    </row>
    <row r="1010" spans="1:13" x14ac:dyDescent="0.25">
      <c r="A1010" t="s">
        <v>24</v>
      </c>
      <c r="B1010">
        <v>107</v>
      </c>
      <c r="C1010" t="s">
        <v>8</v>
      </c>
      <c r="D1010" t="s">
        <v>121</v>
      </c>
      <c r="E1010" t="s">
        <v>47</v>
      </c>
      <c r="F1010" s="4" t="s">
        <v>50</v>
      </c>
      <c r="G1010" t="s">
        <v>239</v>
      </c>
      <c r="H1010" t="s">
        <v>299</v>
      </c>
      <c r="I1010" t="s">
        <v>389</v>
      </c>
      <c r="J1010" t="s">
        <v>363</v>
      </c>
      <c r="K1010" t="str">
        <f>Tabla14[[#This Row],[id]]&amp;Tabla14[[#This Row],[Resposable]]</f>
        <v>107Julio Galvez</v>
      </c>
      <c r="L1010" t="str">
        <f>Tabla14[[#This Row],[id]]&amp;Tabla14[[#This Row],[Resposable]]</f>
        <v>107Julio Galvez</v>
      </c>
      <c r="M1010" t="s">
        <v>299</v>
      </c>
    </row>
    <row r="1011" spans="1:13" x14ac:dyDescent="0.25">
      <c r="A1011" t="s">
        <v>24</v>
      </c>
      <c r="B1011">
        <v>107</v>
      </c>
      <c r="C1011" t="s">
        <v>18</v>
      </c>
      <c r="D1011" t="s">
        <v>122</v>
      </c>
      <c r="E1011" t="s">
        <v>47</v>
      </c>
      <c r="F1011" s="4" t="s">
        <v>48</v>
      </c>
      <c r="G1011" t="s">
        <v>239</v>
      </c>
      <c r="H1011" t="s">
        <v>299</v>
      </c>
      <c r="I1011" t="s">
        <v>389</v>
      </c>
      <c r="J1011" t="s">
        <v>363</v>
      </c>
      <c r="K1011" t="str">
        <f>Tabla14[[#This Row],[id]]&amp;Tabla14[[#This Row],[Resposable]]</f>
        <v>107Julio Galvez</v>
      </c>
      <c r="L1011" t="str">
        <f>Tabla14[[#This Row],[id]]&amp;Tabla14[[#This Row],[Resposable]]</f>
        <v>107Julio Galvez</v>
      </c>
      <c r="M1011" t="s">
        <v>299</v>
      </c>
    </row>
    <row r="1012" spans="1:13" x14ac:dyDescent="0.25">
      <c r="A1012" t="s">
        <v>24</v>
      </c>
      <c r="B1012">
        <v>107</v>
      </c>
      <c r="C1012" t="s">
        <v>8</v>
      </c>
      <c r="D1012" t="s">
        <v>123</v>
      </c>
      <c r="E1012" t="s">
        <v>47</v>
      </c>
      <c r="F1012" s="4" t="s">
        <v>50</v>
      </c>
      <c r="G1012" t="s">
        <v>239</v>
      </c>
      <c r="H1012" t="s">
        <v>299</v>
      </c>
      <c r="I1012" t="s">
        <v>389</v>
      </c>
      <c r="J1012" t="s">
        <v>363</v>
      </c>
      <c r="K1012" t="str">
        <f>Tabla14[[#This Row],[id]]&amp;Tabla14[[#This Row],[Resposable]]</f>
        <v>107Julio Galvez</v>
      </c>
      <c r="L1012" t="str">
        <f>Tabla14[[#This Row],[id]]&amp;Tabla14[[#This Row],[Resposable]]</f>
        <v>107Julio Galvez</v>
      </c>
      <c r="M1012" t="s">
        <v>299</v>
      </c>
    </row>
    <row r="1013" spans="1:13" x14ac:dyDescent="0.25">
      <c r="A1013" t="s">
        <v>24</v>
      </c>
      <c r="B1013">
        <v>107</v>
      </c>
      <c r="C1013" t="s">
        <v>8</v>
      </c>
      <c r="D1013" t="s">
        <v>124</v>
      </c>
      <c r="E1013" t="s">
        <v>47</v>
      </c>
      <c r="F1013" s="4" t="s">
        <v>50</v>
      </c>
      <c r="G1013" t="s">
        <v>239</v>
      </c>
      <c r="H1013" t="s">
        <v>299</v>
      </c>
      <c r="I1013" t="s">
        <v>389</v>
      </c>
      <c r="J1013" t="s">
        <v>363</v>
      </c>
      <c r="K1013" t="str">
        <f>Tabla14[[#This Row],[id]]&amp;Tabla14[[#This Row],[Resposable]]</f>
        <v>107Julio Galvez</v>
      </c>
      <c r="L1013" t="str">
        <f>Tabla14[[#This Row],[id]]&amp;Tabla14[[#This Row],[Resposable]]</f>
        <v>107Julio Galvez</v>
      </c>
      <c r="M1013" t="s">
        <v>299</v>
      </c>
    </row>
    <row r="1014" spans="1:13" x14ac:dyDescent="0.25">
      <c r="A1014" t="s">
        <v>24</v>
      </c>
      <c r="B1014">
        <v>107</v>
      </c>
      <c r="C1014" t="s">
        <v>8</v>
      </c>
      <c r="D1014" t="s">
        <v>125</v>
      </c>
      <c r="E1014" t="s">
        <v>47</v>
      </c>
      <c r="F1014" s="4" t="s">
        <v>50</v>
      </c>
      <c r="G1014" t="s">
        <v>239</v>
      </c>
      <c r="H1014" t="s">
        <v>299</v>
      </c>
      <c r="I1014" t="s">
        <v>389</v>
      </c>
      <c r="J1014" t="s">
        <v>363</v>
      </c>
      <c r="K1014" t="str">
        <f>Tabla14[[#This Row],[id]]&amp;Tabla14[[#This Row],[Resposable]]</f>
        <v>107Julio Galvez</v>
      </c>
      <c r="L1014" t="str">
        <f>Tabla14[[#This Row],[id]]&amp;Tabla14[[#This Row],[Resposable]]</f>
        <v>107Julio Galvez</v>
      </c>
      <c r="M1014" t="s">
        <v>299</v>
      </c>
    </row>
    <row r="1015" spans="1:13" x14ac:dyDescent="0.25">
      <c r="A1015" t="s">
        <v>24</v>
      </c>
      <c r="B1015">
        <v>107</v>
      </c>
      <c r="C1015" t="s">
        <v>8</v>
      </c>
      <c r="D1015" t="s">
        <v>126</v>
      </c>
      <c r="E1015" t="s">
        <v>47</v>
      </c>
      <c r="F1015" s="4" t="s">
        <v>50</v>
      </c>
      <c r="G1015" t="s">
        <v>239</v>
      </c>
      <c r="H1015" t="s">
        <v>299</v>
      </c>
      <c r="I1015" t="s">
        <v>389</v>
      </c>
      <c r="J1015" t="s">
        <v>363</v>
      </c>
      <c r="K1015" t="str">
        <f>Tabla14[[#This Row],[id]]&amp;Tabla14[[#This Row],[Resposable]]</f>
        <v>107Julio Galvez</v>
      </c>
      <c r="L1015" t="str">
        <f>Tabla14[[#This Row],[id]]&amp;Tabla14[[#This Row],[Resposable]]</f>
        <v>107Julio Galvez</v>
      </c>
      <c r="M1015" t="s">
        <v>299</v>
      </c>
    </row>
    <row r="1016" spans="1:13" x14ac:dyDescent="0.25">
      <c r="A1016" t="s">
        <v>24</v>
      </c>
      <c r="B1016">
        <v>107</v>
      </c>
      <c r="C1016" t="s">
        <v>8</v>
      </c>
      <c r="D1016" t="s">
        <v>127</v>
      </c>
      <c r="E1016" t="s">
        <v>47</v>
      </c>
      <c r="F1016" s="4" t="s">
        <v>50</v>
      </c>
      <c r="G1016" t="s">
        <v>239</v>
      </c>
      <c r="H1016" t="s">
        <v>299</v>
      </c>
      <c r="I1016" t="s">
        <v>389</v>
      </c>
      <c r="J1016" t="s">
        <v>363</v>
      </c>
      <c r="K1016" t="str">
        <f>Tabla14[[#This Row],[id]]&amp;Tabla14[[#This Row],[Resposable]]</f>
        <v>107Julio Galvez</v>
      </c>
      <c r="L1016" t="str">
        <f>Tabla14[[#This Row],[id]]&amp;Tabla14[[#This Row],[Resposable]]</f>
        <v>107Julio Galvez</v>
      </c>
      <c r="M1016" t="s">
        <v>299</v>
      </c>
    </row>
    <row r="1017" spans="1:13" x14ac:dyDescent="0.25">
      <c r="A1017" t="s">
        <v>24</v>
      </c>
      <c r="B1017">
        <v>107</v>
      </c>
      <c r="C1017" t="s">
        <v>8</v>
      </c>
      <c r="D1017" t="s">
        <v>128</v>
      </c>
      <c r="E1017" t="s">
        <v>47</v>
      </c>
      <c r="F1017" s="4" t="s">
        <v>50</v>
      </c>
      <c r="G1017" t="s">
        <v>239</v>
      </c>
      <c r="H1017" t="s">
        <v>299</v>
      </c>
      <c r="I1017" t="s">
        <v>389</v>
      </c>
      <c r="J1017" t="s">
        <v>363</v>
      </c>
      <c r="K1017" t="str">
        <f>Tabla14[[#This Row],[id]]&amp;Tabla14[[#This Row],[Resposable]]</f>
        <v>107Julio Galvez</v>
      </c>
      <c r="L1017" t="str">
        <f>Tabla14[[#This Row],[id]]&amp;Tabla14[[#This Row],[Resposable]]</f>
        <v>107Julio Galvez</v>
      </c>
      <c r="M1017" t="s">
        <v>299</v>
      </c>
    </row>
    <row r="1018" spans="1:13" x14ac:dyDescent="0.25">
      <c r="A1018" t="s">
        <v>24</v>
      </c>
      <c r="B1018">
        <v>107</v>
      </c>
      <c r="C1018" t="s">
        <v>7</v>
      </c>
      <c r="D1018" t="s">
        <v>129</v>
      </c>
      <c r="E1018" t="s">
        <v>47</v>
      </c>
      <c r="F1018" s="4" t="s">
        <v>71</v>
      </c>
      <c r="G1018" t="s">
        <v>239</v>
      </c>
      <c r="H1018" t="s">
        <v>299</v>
      </c>
      <c r="I1018" t="s">
        <v>389</v>
      </c>
      <c r="J1018" t="s">
        <v>363</v>
      </c>
      <c r="K1018" t="str">
        <f>Tabla14[[#This Row],[id]]&amp;Tabla14[[#This Row],[Resposable]]</f>
        <v>107Julio Galvez</v>
      </c>
      <c r="L1018" t="str">
        <f>Tabla14[[#This Row],[id]]&amp;Tabla14[[#This Row],[Resposable]]</f>
        <v>107Julio Galvez</v>
      </c>
      <c r="M1018" t="s">
        <v>299</v>
      </c>
    </row>
    <row r="1019" spans="1:13" x14ac:dyDescent="0.25">
      <c r="A1019" t="s">
        <v>24</v>
      </c>
      <c r="B1019">
        <v>107</v>
      </c>
      <c r="C1019" t="s">
        <v>7</v>
      </c>
      <c r="D1019" t="s">
        <v>130</v>
      </c>
      <c r="E1019" t="s">
        <v>47</v>
      </c>
      <c r="F1019" s="4" t="s">
        <v>71</v>
      </c>
      <c r="G1019" t="s">
        <v>239</v>
      </c>
      <c r="H1019" t="s">
        <v>299</v>
      </c>
      <c r="I1019" t="s">
        <v>389</v>
      </c>
      <c r="J1019" t="s">
        <v>363</v>
      </c>
      <c r="K1019" t="str">
        <f>Tabla14[[#This Row],[id]]&amp;Tabla14[[#This Row],[Resposable]]</f>
        <v>107Julio Galvez</v>
      </c>
      <c r="L1019" t="str">
        <f>Tabla14[[#This Row],[id]]&amp;Tabla14[[#This Row],[Resposable]]</f>
        <v>107Julio Galvez</v>
      </c>
      <c r="M1019" t="s">
        <v>299</v>
      </c>
    </row>
    <row r="1020" spans="1:13" x14ac:dyDescent="0.25">
      <c r="A1020" t="s">
        <v>24</v>
      </c>
      <c r="B1020">
        <v>107</v>
      </c>
      <c r="C1020" t="s">
        <v>7</v>
      </c>
      <c r="D1020" t="s">
        <v>131</v>
      </c>
      <c r="E1020" t="s">
        <v>47</v>
      </c>
      <c r="F1020" s="4" t="s">
        <v>71</v>
      </c>
      <c r="G1020" t="s">
        <v>239</v>
      </c>
      <c r="H1020" t="s">
        <v>299</v>
      </c>
      <c r="I1020" t="s">
        <v>389</v>
      </c>
      <c r="J1020" t="s">
        <v>363</v>
      </c>
      <c r="K1020" t="str">
        <f>Tabla14[[#This Row],[id]]&amp;Tabla14[[#This Row],[Resposable]]</f>
        <v>107Julio Galvez</v>
      </c>
      <c r="L1020" t="str">
        <f>Tabla14[[#This Row],[id]]&amp;Tabla14[[#This Row],[Resposable]]</f>
        <v>107Julio Galvez</v>
      </c>
      <c r="M1020" t="s">
        <v>299</v>
      </c>
    </row>
    <row r="1021" spans="1:13" x14ac:dyDescent="0.25">
      <c r="A1021" t="s">
        <v>24</v>
      </c>
      <c r="B1021">
        <v>107</v>
      </c>
      <c r="C1021" t="s">
        <v>18</v>
      </c>
      <c r="D1021" t="s">
        <v>132</v>
      </c>
      <c r="E1021" t="s">
        <v>47</v>
      </c>
      <c r="F1021" s="4" t="s">
        <v>48</v>
      </c>
      <c r="G1021" t="s">
        <v>239</v>
      </c>
      <c r="H1021" t="s">
        <v>299</v>
      </c>
      <c r="I1021" t="s">
        <v>389</v>
      </c>
      <c r="J1021" t="s">
        <v>363</v>
      </c>
      <c r="K1021" t="str">
        <f>Tabla14[[#This Row],[id]]&amp;Tabla14[[#This Row],[Resposable]]</f>
        <v>107Julio Galvez</v>
      </c>
      <c r="L1021" t="str">
        <f>Tabla14[[#This Row],[id]]&amp;Tabla14[[#This Row],[Resposable]]</f>
        <v>107Julio Galvez</v>
      </c>
      <c r="M1021" t="s">
        <v>299</v>
      </c>
    </row>
    <row r="1022" spans="1:13" x14ac:dyDescent="0.25">
      <c r="A1022" t="s">
        <v>24</v>
      </c>
      <c r="B1022">
        <v>107</v>
      </c>
      <c r="C1022" t="s">
        <v>7</v>
      </c>
      <c r="D1022" t="s">
        <v>133</v>
      </c>
      <c r="E1022" t="s">
        <v>47</v>
      </c>
      <c r="F1022" s="4" t="s">
        <v>71</v>
      </c>
      <c r="G1022" t="s">
        <v>239</v>
      </c>
      <c r="H1022" t="s">
        <v>299</v>
      </c>
      <c r="I1022" t="s">
        <v>389</v>
      </c>
      <c r="J1022" t="s">
        <v>363</v>
      </c>
      <c r="K1022" t="str">
        <f>Tabla14[[#This Row],[id]]&amp;Tabla14[[#This Row],[Resposable]]</f>
        <v>107Julio Galvez</v>
      </c>
      <c r="L1022" t="str">
        <f>Tabla14[[#This Row],[id]]&amp;Tabla14[[#This Row],[Resposable]]</f>
        <v>107Julio Galvez</v>
      </c>
      <c r="M1022" t="s">
        <v>299</v>
      </c>
    </row>
    <row r="1023" spans="1:13" x14ac:dyDescent="0.25">
      <c r="A1023" t="s">
        <v>24</v>
      </c>
      <c r="B1023">
        <v>107</v>
      </c>
      <c r="C1023" t="s">
        <v>7</v>
      </c>
      <c r="D1023" t="s">
        <v>134</v>
      </c>
      <c r="E1023" t="s">
        <v>47</v>
      </c>
      <c r="F1023" s="4" t="s">
        <v>71</v>
      </c>
      <c r="G1023" t="s">
        <v>239</v>
      </c>
      <c r="H1023" t="s">
        <v>299</v>
      </c>
      <c r="I1023" t="s">
        <v>389</v>
      </c>
      <c r="J1023" t="s">
        <v>363</v>
      </c>
      <c r="K1023" t="str">
        <f>Tabla14[[#This Row],[id]]&amp;Tabla14[[#This Row],[Resposable]]</f>
        <v>107Julio Galvez</v>
      </c>
      <c r="L1023" t="str">
        <f>Tabla14[[#This Row],[id]]&amp;Tabla14[[#This Row],[Resposable]]</f>
        <v>107Julio Galvez</v>
      </c>
      <c r="M1023" t="s">
        <v>299</v>
      </c>
    </row>
    <row r="1024" spans="1:13" x14ac:dyDescent="0.25">
      <c r="A1024" t="s">
        <v>24</v>
      </c>
      <c r="B1024">
        <v>107</v>
      </c>
      <c r="C1024" t="s">
        <v>8</v>
      </c>
      <c r="D1024" t="s">
        <v>135</v>
      </c>
      <c r="E1024" t="s">
        <v>47</v>
      </c>
      <c r="F1024" s="4" t="s">
        <v>50</v>
      </c>
      <c r="G1024" t="s">
        <v>239</v>
      </c>
      <c r="H1024" t="s">
        <v>299</v>
      </c>
      <c r="I1024" t="s">
        <v>389</v>
      </c>
      <c r="J1024" t="s">
        <v>363</v>
      </c>
      <c r="K1024" t="str">
        <f>Tabla14[[#This Row],[id]]&amp;Tabla14[[#This Row],[Resposable]]</f>
        <v>107Julio Galvez</v>
      </c>
      <c r="L1024" t="str">
        <f>Tabla14[[#This Row],[id]]&amp;Tabla14[[#This Row],[Resposable]]</f>
        <v>107Julio Galvez</v>
      </c>
      <c r="M1024" t="s">
        <v>299</v>
      </c>
    </row>
    <row r="1025" spans="1:13" x14ac:dyDescent="0.25">
      <c r="A1025" t="s">
        <v>24</v>
      </c>
      <c r="B1025">
        <v>107</v>
      </c>
      <c r="C1025" t="s">
        <v>7</v>
      </c>
      <c r="D1025" t="s">
        <v>137</v>
      </c>
      <c r="E1025" t="s">
        <v>47</v>
      </c>
      <c r="F1025" s="4" t="s">
        <v>71</v>
      </c>
      <c r="G1025" t="s">
        <v>239</v>
      </c>
      <c r="H1025" t="s">
        <v>299</v>
      </c>
      <c r="I1025" t="s">
        <v>389</v>
      </c>
      <c r="J1025" t="s">
        <v>363</v>
      </c>
      <c r="K1025" t="str">
        <f>Tabla14[[#This Row],[id]]&amp;Tabla14[[#This Row],[Resposable]]</f>
        <v>107Julio Galvez</v>
      </c>
      <c r="L1025" t="str">
        <f>Tabla14[[#This Row],[id]]&amp;Tabla14[[#This Row],[Resposable]]</f>
        <v>107Julio Galvez</v>
      </c>
      <c r="M1025" t="s">
        <v>299</v>
      </c>
    </row>
    <row r="1026" spans="1:13" x14ac:dyDescent="0.25">
      <c r="A1026" t="s">
        <v>24</v>
      </c>
      <c r="B1026">
        <v>107</v>
      </c>
      <c r="C1026" t="s">
        <v>18</v>
      </c>
      <c r="D1026" t="s">
        <v>138</v>
      </c>
      <c r="E1026" t="s">
        <v>47</v>
      </c>
      <c r="F1026" s="4" t="s">
        <v>48</v>
      </c>
      <c r="G1026" t="s">
        <v>239</v>
      </c>
      <c r="H1026" t="s">
        <v>299</v>
      </c>
      <c r="I1026" t="s">
        <v>389</v>
      </c>
      <c r="J1026" t="s">
        <v>363</v>
      </c>
      <c r="K1026" t="str">
        <f>Tabla14[[#This Row],[id]]&amp;Tabla14[[#This Row],[Resposable]]</f>
        <v>107Julio Galvez</v>
      </c>
      <c r="L1026" t="str">
        <f>Tabla14[[#This Row],[id]]&amp;Tabla14[[#This Row],[Resposable]]</f>
        <v>107Julio Galvez</v>
      </c>
      <c r="M1026" t="s">
        <v>299</v>
      </c>
    </row>
    <row r="1027" spans="1:13" x14ac:dyDescent="0.25">
      <c r="A1027" t="s">
        <v>24</v>
      </c>
      <c r="B1027">
        <v>107</v>
      </c>
      <c r="C1027" t="s">
        <v>18</v>
      </c>
      <c r="D1027" t="s">
        <v>140</v>
      </c>
      <c r="E1027" t="s">
        <v>47</v>
      </c>
      <c r="F1027" s="4" t="s">
        <v>48</v>
      </c>
      <c r="G1027" t="s">
        <v>239</v>
      </c>
      <c r="H1027" t="s">
        <v>299</v>
      </c>
      <c r="I1027" t="s">
        <v>389</v>
      </c>
      <c r="J1027" t="s">
        <v>363</v>
      </c>
      <c r="K1027" t="str">
        <f>Tabla14[[#This Row],[id]]&amp;Tabla14[[#This Row],[Resposable]]</f>
        <v>107Julio Galvez</v>
      </c>
      <c r="L1027" t="str">
        <f>Tabla14[[#This Row],[id]]&amp;Tabla14[[#This Row],[Resposable]]</f>
        <v>107Julio Galvez</v>
      </c>
      <c r="M1027" t="s">
        <v>299</v>
      </c>
    </row>
    <row r="1028" spans="1:13" x14ac:dyDescent="0.25">
      <c r="A1028" t="s">
        <v>24</v>
      </c>
      <c r="B1028">
        <v>107</v>
      </c>
      <c r="C1028" t="s">
        <v>8</v>
      </c>
      <c r="D1028" t="s">
        <v>141</v>
      </c>
      <c r="E1028" t="s">
        <v>47</v>
      </c>
      <c r="F1028" s="4" t="s">
        <v>50</v>
      </c>
      <c r="G1028" t="s">
        <v>239</v>
      </c>
      <c r="H1028" t="s">
        <v>299</v>
      </c>
      <c r="I1028" t="s">
        <v>389</v>
      </c>
      <c r="J1028" t="s">
        <v>363</v>
      </c>
      <c r="K1028" t="str">
        <f>Tabla14[[#This Row],[id]]&amp;Tabla14[[#This Row],[Resposable]]</f>
        <v>107Julio Galvez</v>
      </c>
      <c r="L1028" t="str">
        <f>Tabla14[[#This Row],[id]]&amp;Tabla14[[#This Row],[Resposable]]</f>
        <v>107Julio Galvez</v>
      </c>
      <c r="M1028" t="s">
        <v>299</v>
      </c>
    </row>
    <row r="1029" spans="1:13" x14ac:dyDescent="0.25">
      <c r="A1029" t="s">
        <v>24</v>
      </c>
      <c r="B1029">
        <v>107</v>
      </c>
      <c r="C1029" t="s">
        <v>18</v>
      </c>
      <c r="D1029" t="s">
        <v>142</v>
      </c>
      <c r="E1029" t="s">
        <v>47</v>
      </c>
      <c r="F1029" s="4" t="s">
        <v>48</v>
      </c>
      <c r="G1029" t="s">
        <v>239</v>
      </c>
      <c r="H1029" t="s">
        <v>299</v>
      </c>
      <c r="I1029" t="s">
        <v>389</v>
      </c>
      <c r="J1029" t="s">
        <v>363</v>
      </c>
      <c r="K1029" t="str">
        <f>Tabla14[[#This Row],[id]]&amp;Tabla14[[#This Row],[Resposable]]</f>
        <v>107Julio Galvez</v>
      </c>
      <c r="L1029" t="str">
        <f>Tabla14[[#This Row],[id]]&amp;Tabla14[[#This Row],[Resposable]]</f>
        <v>107Julio Galvez</v>
      </c>
      <c r="M1029" t="s">
        <v>299</v>
      </c>
    </row>
    <row r="1030" spans="1:13" x14ac:dyDescent="0.25">
      <c r="A1030" t="s">
        <v>24</v>
      </c>
      <c r="B1030">
        <v>107</v>
      </c>
      <c r="C1030" t="s">
        <v>7</v>
      </c>
      <c r="D1030" t="s">
        <v>143</v>
      </c>
      <c r="E1030" t="s">
        <v>47</v>
      </c>
      <c r="F1030" s="4" t="s">
        <v>71</v>
      </c>
      <c r="G1030" t="s">
        <v>239</v>
      </c>
      <c r="H1030" t="s">
        <v>299</v>
      </c>
      <c r="I1030" t="s">
        <v>389</v>
      </c>
      <c r="J1030" t="s">
        <v>363</v>
      </c>
      <c r="K1030" t="str">
        <f>Tabla14[[#This Row],[id]]&amp;Tabla14[[#This Row],[Resposable]]</f>
        <v>107Julio Galvez</v>
      </c>
      <c r="L1030" t="str">
        <f>Tabla14[[#This Row],[id]]&amp;Tabla14[[#This Row],[Resposable]]</f>
        <v>107Julio Galvez</v>
      </c>
      <c r="M1030" t="s">
        <v>299</v>
      </c>
    </row>
    <row r="1031" spans="1:13" x14ac:dyDescent="0.25">
      <c r="A1031" t="s">
        <v>25</v>
      </c>
      <c r="B1031">
        <v>107</v>
      </c>
      <c r="C1031" t="s">
        <v>18</v>
      </c>
      <c r="D1031" t="s">
        <v>145</v>
      </c>
      <c r="E1031" t="s">
        <v>47</v>
      </c>
      <c r="F1031" s="4" t="s">
        <v>48</v>
      </c>
      <c r="G1031" t="s">
        <v>239</v>
      </c>
      <c r="H1031" t="s">
        <v>299</v>
      </c>
      <c r="I1031" t="s">
        <v>389</v>
      </c>
      <c r="J1031" t="s">
        <v>363</v>
      </c>
      <c r="K1031" t="str">
        <f>Tabla14[[#This Row],[id]]&amp;Tabla14[[#This Row],[Resposable]]</f>
        <v>107Julio Galvez</v>
      </c>
      <c r="L1031" t="str">
        <f>Tabla14[[#This Row],[id]]&amp;Tabla14[[#This Row],[Resposable]]</f>
        <v>107Julio Galvez</v>
      </c>
      <c r="M1031" t="s">
        <v>299</v>
      </c>
    </row>
    <row r="1032" spans="1:13" x14ac:dyDescent="0.25">
      <c r="A1032" t="s">
        <v>25</v>
      </c>
      <c r="B1032">
        <v>107</v>
      </c>
      <c r="C1032" t="s">
        <v>26</v>
      </c>
      <c r="D1032" t="s">
        <v>146</v>
      </c>
      <c r="E1032" t="s">
        <v>47</v>
      </c>
      <c r="F1032" s="4" t="s">
        <v>82</v>
      </c>
      <c r="G1032" t="s">
        <v>239</v>
      </c>
      <c r="H1032" t="s">
        <v>299</v>
      </c>
      <c r="I1032" t="s">
        <v>389</v>
      </c>
      <c r="J1032" t="s">
        <v>363</v>
      </c>
      <c r="K1032" t="str">
        <f>Tabla14[[#This Row],[id]]&amp;Tabla14[[#This Row],[Resposable]]</f>
        <v>107Julio Galvez</v>
      </c>
      <c r="L1032" t="str">
        <f>Tabla14[[#This Row],[id]]&amp;Tabla14[[#This Row],[Resposable]]</f>
        <v>107Julio Galvez</v>
      </c>
      <c r="M1032" t="s">
        <v>299</v>
      </c>
    </row>
    <row r="1033" spans="1:13" x14ac:dyDescent="0.25">
      <c r="A1033" t="s">
        <v>25</v>
      </c>
      <c r="B1033">
        <v>107</v>
      </c>
      <c r="C1033" t="s">
        <v>7</v>
      </c>
      <c r="D1033" t="s">
        <v>148</v>
      </c>
      <c r="E1033" t="s">
        <v>47</v>
      </c>
      <c r="F1033" s="4" t="s">
        <v>48</v>
      </c>
      <c r="G1033" t="s">
        <v>239</v>
      </c>
      <c r="H1033" t="s">
        <v>299</v>
      </c>
      <c r="I1033" t="s">
        <v>389</v>
      </c>
      <c r="J1033" t="s">
        <v>363</v>
      </c>
      <c r="K1033" t="str">
        <f>Tabla14[[#This Row],[id]]&amp;Tabla14[[#This Row],[Resposable]]</f>
        <v>107Julio Galvez</v>
      </c>
      <c r="L1033" t="str">
        <f>Tabla14[[#This Row],[id]]&amp;Tabla14[[#This Row],[Resposable]]</f>
        <v>107Julio Galvez</v>
      </c>
      <c r="M1033" t="s">
        <v>299</v>
      </c>
    </row>
    <row r="1034" spans="1:13" x14ac:dyDescent="0.25">
      <c r="A1034" t="s">
        <v>25</v>
      </c>
      <c r="B1034">
        <v>107</v>
      </c>
      <c r="C1034" t="s">
        <v>8</v>
      </c>
      <c r="D1034" t="s">
        <v>149</v>
      </c>
      <c r="E1034" t="s">
        <v>47</v>
      </c>
      <c r="F1034" s="4" t="s">
        <v>150</v>
      </c>
      <c r="G1034" t="s">
        <v>239</v>
      </c>
      <c r="H1034" t="s">
        <v>299</v>
      </c>
      <c r="I1034" t="s">
        <v>389</v>
      </c>
      <c r="J1034" t="s">
        <v>363</v>
      </c>
      <c r="K1034" t="str">
        <f>Tabla14[[#This Row],[id]]&amp;Tabla14[[#This Row],[Resposable]]</f>
        <v>107Julio Galvez</v>
      </c>
      <c r="L1034" t="str">
        <f>Tabla14[[#This Row],[id]]&amp;Tabla14[[#This Row],[Resposable]]</f>
        <v>107Julio Galvez</v>
      </c>
      <c r="M1034" t="s">
        <v>299</v>
      </c>
    </row>
    <row r="1035" spans="1:13" x14ac:dyDescent="0.25">
      <c r="A1035" t="s">
        <v>25</v>
      </c>
      <c r="B1035">
        <v>107</v>
      </c>
      <c r="C1035" t="s">
        <v>18</v>
      </c>
      <c r="D1035" t="s">
        <v>151</v>
      </c>
      <c r="E1035" t="s">
        <v>47</v>
      </c>
      <c r="F1035" s="4" t="s">
        <v>58</v>
      </c>
      <c r="G1035" t="s">
        <v>239</v>
      </c>
      <c r="H1035" t="s">
        <v>299</v>
      </c>
      <c r="I1035" t="s">
        <v>389</v>
      </c>
      <c r="J1035" t="s">
        <v>363</v>
      </c>
      <c r="K1035" t="str">
        <f>Tabla14[[#This Row],[id]]&amp;Tabla14[[#This Row],[Resposable]]</f>
        <v>107Julio Galvez</v>
      </c>
      <c r="L1035" t="str">
        <f>Tabla14[[#This Row],[id]]&amp;Tabla14[[#This Row],[Resposable]]</f>
        <v>107Julio Galvez</v>
      </c>
      <c r="M1035" t="s">
        <v>299</v>
      </c>
    </row>
    <row r="1036" spans="1:13" x14ac:dyDescent="0.25">
      <c r="A1036" t="s">
        <v>25</v>
      </c>
      <c r="B1036">
        <v>107</v>
      </c>
      <c r="C1036" t="s">
        <v>8</v>
      </c>
      <c r="D1036" t="s">
        <v>152</v>
      </c>
      <c r="E1036" t="s">
        <v>47</v>
      </c>
      <c r="F1036" s="4" t="s">
        <v>150</v>
      </c>
      <c r="G1036" t="s">
        <v>239</v>
      </c>
      <c r="H1036" t="s">
        <v>299</v>
      </c>
      <c r="I1036" t="s">
        <v>389</v>
      </c>
      <c r="J1036" t="s">
        <v>363</v>
      </c>
      <c r="K1036" t="str">
        <f>Tabla14[[#This Row],[id]]&amp;Tabla14[[#This Row],[Resposable]]</f>
        <v>107Julio Galvez</v>
      </c>
      <c r="L1036" t="str">
        <f>Tabla14[[#This Row],[id]]&amp;Tabla14[[#This Row],[Resposable]]</f>
        <v>107Julio Galvez</v>
      </c>
      <c r="M1036" t="s">
        <v>299</v>
      </c>
    </row>
    <row r="1037" spans="1:13" x14ac:dyDescent="0.25">
      <c r="A1037" t="s">
        <v>25</v>
      </c>
      <c r="B1037">
        <v>107</v>
      </c>
      <c r="C1037" t="s">
        <v>8</v>
      </c>
      <c r="D1037" t="s">
        <v>153</v>
      </c>
      <c r="E1037" t="s">
        <v>47</v>
      </c>
      <c r="F1037" s="4" t="s">
        <v>150</v>
      </c>
      <c r="G1037" t="s">
        <v>239</v>
      </c>
      <c r="H1037" t="s">
        <v>299</v>
      </c>
      <c r="I1037" t="s">
        <v>389</v>
      </c>
      <c r="J1037" t="s">
        <v>363</v>
      </c>
      <c r="K1037" t="str">
        <f>Tabla14[[#This Row],[id]]&amp;Tabla14[[#This Row],[Resposable]]</f>
        <v>107Julio Galvez</v>
      </c>
      <c r="L1037" t="str">
        <f>Tabla14[[#This Row],[id]]&amp;Tabla14[[#This Row],[Resposable]]</f>
        <v>107Julio Galvez</v>
      </c>
      <c r="M1037" t="s">
        <v>299</v>
      </c>
    </row>
    <row r="1038" spans="1:13" x14ac:dyDescent="0.25">
      <c r="A1038" t="s">
        <v>25</v>
      </c>
      <c r="B1038">
        <v>107</v>
      </c>
      <c r="C1038" t="s">
        <v>8</v>
      </c>
      <c r="D1038" t="s">
        <v>154</v>
      </c>
      <c r="E1038" t="s">
        <v>47</v>
      </c>
      <c r="F1038" s="4" t="s">
        <v>150</v>
      </c>
      <c r="G1038" t="s">
        <v>239</v>
      </c>
      <c r="H1038" t="s">
        <v>299</v>
      </c>
      <c r="I1038" t="s">
        <v>389</v>
      </c>
      <c r="J1038" t="s">
        <v>363</v>
      </c>
      <c r="K1038" t="str">
        <f>Tabla14[[#This Row],[id]]&amp;Tabla14[[#This Row],[Resposable]]</f>
        <v>107Julio Galvez</v>
      </c>
      <c r="L1038" t="str">
        <f>Tabla14[[#This Row],[id]]&amp;Tabla14[[#This Row],[Resposable]]</f>
        <v>107Julio Galvez</v>
      </c>
      <c r="M1038" t="s">
        <v>299</v>
      </c>
    </row>
    <row r="1039" spans="1:13" x14ac:dyDescent="0.25">
      <c r="A1039" t="s">
        <v>25</v>
      </c>
      <c r="B1039">
        <v>107</v>
      </c>
      <c r="C1039" t="s">
        <v>8</v>
      </c>
      <c r="D1039" t="s">
        <v>155</v>
      </c>
      <c r="E1039" t="s">
        <v>47</v>
      </c>
      <c r="F1039" s="4" t="s">
        <v>150</v>
      </c>
      <c r="G1039" t="s">
        <v>239</v>
      </c>
      <c r="H1039" t="s">
        <v>299</v>
      </c>
      <c r="I1039" t="s">
        <v>389</v>
      </c>
      <c r="J1039" t="s">
        <v>363</v>
      </c>
      <c r="K1039" t="str">
        <f>Tabla14[[#This Row],[id]]&amp;Tabla14[[#This Row],[Resposable]]</f>
        <v>107Julio Galvez</v>
      </c>
      <c r="L1039" t="str">
        <f>Tabla14[[#This Row],[id]]&amp;Tabla14[[#This Row],[Resposable]]</f>
        <v>107Julio Galvez</v>
      </c>
      <c r="M1039" t="s">
        <v>299</v>
      </c>
    </row>
    <row r="1040" spans="1:13" x14ac:dyDescent="0.25">
      <c r="A1040" t="s">
        <v>25</v>
      </c>
      <c r="B1040">
        <v>107</v>
      </c>
      <c r="C1040" t="s">
        <v>8</v>
      </c>
      <c r="D1040" t="s">
        <v>156</v>
      </c>
      <c r="E1040" t="s">
        <v>47</v>
      </c>
      <c r="F1040" s="4" t="s">
        <v>150</v>
      </c>
      <c r="G1040" t="s">
        <v>239</v>
      </c>
      <c r="H1040" t="s">
        <v>299</v>
      </c>
      <c r="I1040" t="s">
        <v>389</v>
      </c>
      <c r="J1040" t="s">
        <v>363</v>
      </c>
      <c r="K1040" t="str">
        <f>Tabla14[[#This Row],[id]]&amp;Tabla14[[#This Row],[Resposable]]</f>
        <v>107Julio Galvez</v>
      </c>
      <c r="L1040" t="str">
        <f>Tabla14[[#This Row],[id]]&amp;Tabla14[[#This Row],[Resposable]]</f>
        <v>107Julio Galvez</v>
      </c>
      <c r="M1040" t="s">
        <v>299</v>
      </c>
    </row>
    <row r="1041" spans="1:13" x14ac:dyDescent="0.25">
      <c r="A1041" t="s">
        <v>25</v>
      </c>
      <c r="B1041">
        <v>107</v>
      </c>
      <c r="C1041" t="s">
        <v>20</v>
      </c>
      <c r="D1041" t="s">
        <v>157</v>
      </c>
      <c r="E1041" t="s">
        <v>47</v>
      </c>
      <c r="F1041" s="4" t="s">
        <v>58</v>
      </c>
      <c r="G1041" t="s">
        <v>239</v>
      </c>
      <c r="H1041" t="s">
        <v>299</v>
      </c>
      <c r="I1041" t="s">
        <v>389</v>
      </c>
      <c r="J1041" t="s">
        <v>363</v>
      </c>
      <c r="K1041" t="str">
        <f>Tabla14[[#This Row],[id]]&amp;Tabla14[[#This Row],[Resposable]]</f>
        <v>107Julio Galvez</v>
      </c>
      <c r="L1041" t="str">
        <f>Tabla14[[#This Row],[id]]&amp;Tabla14[[#This Row],[Resposable]]</f>
        <v>107Julio Galvez</v>
      </c>
      <c r="M1041" t="s">
        <v>299</v>
      </c>
    </row>
    <row r="1042" spans="1:13" x14ac:dyDescent="0.25">
      <c r="A1042" t="s">
        <v>25</v>
      </c>
      <c r="B1042">
        <v>107</v>
      </c>
      <c r="C1042" t="s">
        <v>18</v>
      </c>
      <c r="D1042" t="s">
        <v>158</v>
      </c>
      <c r="E1042" t="s">
        <v>47</v>
      </c>
      <c r="F1042" s="4" t="s">
        <v>58</v>
      </c>
      <c r="G1042" t="s">
        <v>239</v>
      </c>
      <c r="H1042" t="s">
        <v>299</v>
      </c>
      <c r="I1042" t="s">
        <v>389</v>
      </c>
      <c r="J1042" t="s">
        <v>363</v>
      </c>
      <c r="K1042" t="str">
        <f>Tabla14[[#This Row],[id]]&amp;Tabla14[[#This Row],[Resposable]]</f>
        <v>107Julio Galvez</v>
      </c>
      <c r="L1042" t="str">
        <f>Tabla14[[#This Row],[id]]&amp;Tabla14[[#This Row],[Resposable]]</f>
        <v>107Julio Galvez</v>
      </c>
      <c r="M1042" t="s">
        <v>299</v>
      </c>
    </row>
    <row r="1043" spans="1:13" x14ac:dyDescent="0.25">
      <c r="A1043" t="s">
        <v>25</v>
      </c>
      <c r="B1043">
        <v>107</v>
      </c>
      <c r="C1043" t="s">
        <v>5</v>
      </c>
      <c r="D1043" t="s">
        <v>159</v>
      </c>
      <c r="E1043" t="s">
        <v>47</v>
      </c>
      <c r="F1043" s="4" t="s">
        <v>96</v>
      </c>
      <c r="G1043" t="s">
        <v>239</v>
      </c>
      <c r="H1043" t="s">
        <v>299</v>
      </c>
      <c r="I1043" t="s">
        <v>389</v>
      </c>
      <c r="J1043" t="s">
        <v>363</v>
      </c>
      <c r="K1043" t="str">
        <f>Tabla14[[#This Row],[id]]&amp;Tabla14[[#This Row],[Resposable]]</f>
        <v>107Julio Galvez</v>
      </c>
      <c r="L1043" t="str">
        <f>Tabla14[[#This Row],[id]]&amp;Tabla14[[#This Row],[Resposable]]</f>
        <v>107Julio Galvez</v>
      </c>
      <c r="M1043" t="s">
        <v>299</v>
      </c>
    </row>
    <row r="1044" spans="1:13" x14ac:dyDescent="0.25">
      <c r="A1044" t="s">
        <v>25</v>
      </c>
      <c r="B1044">
        <v>107</v>
      </c>
      <c r="C1044" t="s">
        <v>8</v>
      </c>
      <c r="D1044" t="s">
        <v>57</v>
      </c>
      <c r="E1044" t="s">
        <v>47</v>
      </c>
      <c r="F1044" s="4" t="s">
        <v>71</v>
      </c>
      <c r="G1044" t="s">
        <v>239</v>
      </c>
      <c r="H1044" t="s">
        <v>299</v>
      </c>
      <c r="I1044" t="s">
        <v>389</v>
      </c>
      <c r="J1044" t="s">
        <v>363</v>
      </c>
      <c r="K1044" t="str">
        <f>Tabla14[[#This Row],[id]]&amp;Tabla14[[#This Row],[Resposable]]</f>
        <v>107Julio Galvez</v>
      </c>
      <c r="L1044" t="str">
        <f>Tabla14[[#This Row],[id]]&amp;Tabla14[[#This Row],[Resposable]]</f>
        <v>107Julio Galvez</v>
      </c>
      <c r="M1044" t="s">
        <v>299</v>
      </c>
    </row>
    <row r="1045" spans="1:13" x14ac:dyDescent="0.25">
      <c r="A1045" t="s">
        <v>25</v>
      </c>
      <c r="B1045">
        <v>107</v>
      </c>
      <c r="C1045" t="s">
        <v>5</v>
      </c>
      <c r="D1045" t="s">
        <v>160</v>
      </c>
      <c r="E1045" t="s">
        <v>47</v>
      </c>
      <c r="F1045" s="4" t="s">
        <v>48</v>
      </c>
      <c r="G1045" t="s">
        <v>239</v>
      </c>
      <c r="H1045" t="s">
        <v>299</v>
      </c>
      <c r="I1045" t="s">
        <v>389</v>
      </c>
      <c r="J1045" t="s">
        <v>363</v>
      </c>
      <c r="K1045" t="str">
        <f>Tabla14[[#This Row],[id]]&amp;Tabla14[[#This Row],[Resposable]]</f>
        <v>107Julio Galvez</v>
      </c>
      <c r="L1045" t="str">
        <f>Tabla14[[#This Row],[id]]&amp;Tabla14[[#This Row],[Resposable]]</f>
        <v>107Julio Galvez</v>
      </c>
      <c r="M1045" t="s">
        <v>299</v>
      </c>
    </row>
    <row r="1046" spans="1:13" x14ac:dyDescent="0.25">
      <c r="A1046" t="s">
        <v>28</v>
      </c>
      <c r="B1046">
        <v>107</v>
      </c>
      <c r="C1046" t="s">
        <v>7</v>
      </c>
      <c r="D1046" t="s">
        <v>169</v>
      </c>
      <c r="E1046" t="s">
        <v>54</v>
      </c>
      <c r="F1046" s="4" t="s">
        <v>89</v>
      </c>
      <c r="G1046" t="s">
        <v>239</v>
      </c>
      <c r="H1046" t="s">
        <v>299</v>
      </c>
      <c r="I1046" t="s">
        <v>389</v>
      </c>
      <c r="J1046" t="s">
        <v>363</v>
      </c>
      <c r="K1046" t="str">
        <f>Tabla14[[#This Row],[id]]&amp;Tabla14[[#This Row],[Resposable]]</f>
        <v>107Julio Galvez</v>
      </c>
      <c r="L1046" t="str">
        <f>Tabla14[[#This Row],[id]]&amp;Tabla14[[#This Row],[Resposable]]</f>
        <v>107Julio Galvez</v>
      </c>
      <c r="M1046" t="s">
        <v>299</v>
      </c>
    </row>
    <row r="1047" spans="1:13" x14ac:dyDescent="0.25">
      <c r="A1047" s="18" t="s">
        <v>31</v>
      </c>
      <c r="B1047" s="18">
        <v>135</v>
      </c>
      <c r="C1047" s="18" t="s">
        <v>18</v>
      </c>
      <c r="D1047" s="18" t="s">
        <v>187</v>
      </c>
      <c r="E1047" s="18" t="s">
        <v>47</v>
      </c>
      <c r="F1047" s="19" t="s">
        <v>48</v>
      </c>
      <c r="G1047" s="18" t="s">
        <v>239</v>
      </c>
      <c r="H1047" t="s">
        <v>299</v>
      </c>
      <c r="I1047" t="s">
        <v>389</v>
      </c>
      <c r="J1047" t="s">
        <v>363</v>
      </c>
      <c r="K1047" t="str">
        <f>Tabla14[[#This Row],[id]]&amp;Tabla14[[#This Row],[Resposable]]</f>
        <v>135Julio Galvez</v>
      </c>
      <c r="L1047" t="str">
        <f>Tabla14[[#This Row],[id]]&amp;Tabla14[[#This Row],[Resposable]]</f>
        <v>135Julio Galvez</v>
      </c>
      <c r="M1047" t="s">
        <v>299</v>
      </c>
    </row>
    <row r="1048" spans="1:13" x14ac:dyDescent="0.25">
      <c r="A1048" s="18" t="s">
        <v>31</v>
      </c>
      <c r="B1048" s="18">
        <v>135</v>
      </c>
      <c r="C1048" s="18" t="s">
        <v>8</v>
      </c>
      <c r="D1048" s="18" t="s">
        <v>188</v>
      </c>
      <c r="E1048" s="18" t="s">
        <v>47</v>
      </c>
      <c r="F1048" s="19" t="s">
        <v>71</v>
      </c>
      <c r="G1048" s="18" t="s">
        <v>239</v>
      </c>
      <c r="H1048" t="s">
        <v>299</v>
      </c>
      <c r="I1048" t="s">
        <v>389</v>
      </c>
      <c r="J1048" t="s">
        <v>363</v>
      </c>
      <c r="K1048" t="str">
        <f>Tabla14[[#This Row],[id]]&amp;Tabla14[[#This Row],[Resposable]]</f>
        <v>135Julio Galvez</v>
      </c>
      <c r="L1048" t="str">
        <f>Tabla14[[#This Row],[id]]&amp;Tabla14[[#This Row],[Resposable]]</f>
        <v>135Julio Galvez</v>
      </c>
      <c r="M1048" t="s">
        <v>299</v>
      </c>
    </row>
    <row r="1049" spans="1:13" x14ac:dyDescent="0.25">
      <c r="A1049" s="18" t="s">
        <v>31</v>
      </c>
      <c r="B1049" s="18">
        <v>135</v>
      </c>
      <c r="C1049" s="18" t="s">
        <v>7</v>
      </c>
      <c r="D1049" s="18" t="s">
        <v>189</v>
      </c>
      <c r="E1049" s="18" t="s">
        <v>47</v>
      </c>
      <c r="F1049" s="19" t="s">
        <v>77</v>
      </c>
      <c r="G1049" s="18" t="s">
        <v>239</v>
      </c>
      <c r="H1049" t="s">
        <v>299</v>
      </c>
      <c r="I1049" t="s">
        <v>389</v>
      </c>
      <c r="J1049" t="s">
        <v>363</v>
      </c>
      <c r="K1049" t="str">
        <f>Tabla14[[#This Row],[id]]&amp;Tabla14[[#This Row],[Resposable]]</f>
        <v>135Julio Galvez</v>
      </c>
      <c r="L1049" t="str">
        <f>Tabla14[[#This Row],[id]]&amp;Tabla14[[#This Row],[Resposable]]</f>
        <v>135Julio Galvez</v>
      </c>
      <c r="M1049" t="s">
        <v>299</v>
      </c>
    </row>
    <row r="1050" spans="1:13" x14ac:dyDescent="0.25">
      <c r="A1050" s="18" t="s">
        <v>31</v>
      </c>
      <c r="B1050" s="18">
        <v>135</v>
      </c>
      <c r="C1050" s="18" t="s">
        <v>7</v>
      </c>
      <c r="D1050" s="18" t="s">
        <v>190</v>
      </c>
      <c r="E1050" s="18" t="s">
        <v>47</v>
      </c>
      <c r="F1050" s="19" t="s">
        <v>71</v>
      </c>
      <c r="G1050" s="18" t="s">
        <v>239</v>
      </c>
      <c r="H1050" t="s">
        <v>299</v>
      </c>
      <c r="I1050" t="s">
        <v>389</v>
      </c>
      <c r="J1050" t="s">
        <v>363</v>
      </c>
      <c r="K1050" t="str">
        <f>Tabla14[[#This Row],[id]]&amp;Tabla14[[#This Row],[Resposable]]</f>
        <v>135Julio Galvez</v>
      </c>
      <c r="L1050" t="str">
        <f>Tabla14[[#This Row],[id]]&amp;Tabla14[[#This Row],[Resposable]]</f>
        <v>135Julio Galvez</v>
      </c>
      <c r="M1050" t="s">
        <v>299</v>
      </c>
    </row>
    <row r="1051" spans="1:13" x14ac:dyDescent="0.25">
      <c r="A1051" s="18" t="s">
        <v>31</v>
      </c>
      <c r="B1051" s="18">
        <v>135</v>
      </c>
      <c r="C1051" s="18" t="s">
        <v>7</v>
      </c>
      <c r="D1051" s="18" t="s">
        <v>191</v>
      </c>
      <c r="E1051" s="18" t="s">
        <v>47</v>
      </c>
      <c r="F1051" s="19" t="s">
        <v>77</v>
      </c>
      <c r="G1051" s="18" t="s">
        <v>239</v>
      </c>
      <c r="H1051" t="s">
        <v>299</v>
      </c>
      <c r="I1051" t="s">
        <v>389</v>
      </c>
      <c r="J1051" t="s">
        <v>363</v>
      </c>
      <c r="K1051" t="str">
        <f>Tabla14[[#This Row],[id]]&amp;Tabla14[[#This Row],[Resposable]]</f>
        <v>135Julio Galvez</v>
      </c>
      <c r="L1051" t="str">
        <f>Tabla14[[#This Row],[id]]&amp;Tabla14[[#This Row],[Resposable]]</f>
        <v>135Julio Galvez</v>
      </c>
      <c r="M1051" t="s">
        <v>299</v>
      </c>
    </row>
    <row r="1052" spans="1:13" x14ac:dyDescent="0.25">
      <c r="A1052" s="18" t="s">
        <v>31</v>
      </c>
      <c r="B1052" s="18">
        <v>135</v>
      </c>
      <c r="C1052" s="18" t="s">
        <v>20</v>
      </c>
      <c r="D1052" s="18" t="s">
        <v>192</v>
      </c>
      <c r="E1052" s="18" t="s">
        <v>47</v>
      </c>
      <c r="F1052" s="19" t="s">
        <v>82</v>
      </c>
      <c r="G1052" s="18" t="s">
        <v>239</v>
      </c>
      <c r="H1052" t="s">
        <v>299</v>
      </c>
      <c r="I1052" t="s">
        <v>389</v>
      </c>
      <c r="J1052" t="s">
        <v>363</v>
      </c>
      <c r="K1052" t="str">
        <f>Tabla14[[#This Row],[id]]&amp;Tabla14[[#This Row],[Resposable]]</f>
        <v>135Julio Galvez</v>
      </c>
      <c r="L1052" t="str">
        <f>Tabla14[[#This Row],[id]]&amp;Tabla14[[#This Row],[Resposable]]</f>
        <v>135Julio Galvez</v>
      </c>
      <c r="M1052" t="s">
        <v>299</v>
      </c>
    </row>
    <row r="1053" spans="1:13" x14ac:dyDescent="0.25">
      <c r="A1053" t="s">
        <v>370</v>
      </c>
      <c r="B1053">
        <v>180</v>
      </c>
      <c r="C1053" t="s">
        <v>7</v>
      </c>
      <c r="D1053" t="s">
        <v>73</v>
      </c>
      <c r="E1053" s="18" t="s">
        <v>47</v>
      </c>
      <c r="F1053" s="4" t="s">
        <v>48</v>
      </c>
      <c r="G1053" s="18" t="s">
        <v>239</v>
      </c>
      <c r="H1053" t="s">
        <v>299</v>
      </c>
      <c r="I1053" t="s">
        <v>389</v>
      </c>
      <c r="J1053" t="s">
        <v>363</v>
      </c>
      <c r="K1053" t="str">
        <f>Tabla14[[#This Row],[id]]&amp;Tabla14[[#This Row],[Resposable]]</f>
        <v>180Julio Galvez</v>
      </c>
      <c r="L1053" t="str">
        <f>Tabla14[[#This Row],[id]]&amp;Tabla14[[#This Row],[Resposable]]</f>
        <v>180Julio Galvez</v>
      </c>
      <c r="M1053" t="s">
        <v>299</v>
      </c>
    </row>
    <row r="1054" spans="1:13" x14ac:dyDescent="0.25">
      <c r="A1054" t="s">
        <v>370</v>
      </c>
      <c r="B1054">
        <v>180</v>
      </c>
      <c r="C1054" t="s">
        <v>7</v>
      </c>
      <c r="D1054" t="s">
        <v>74</v>
      </c>
      <c r="E1054" s="18" t="s">
        <v>47</v>
      </c>
      <c r="F1054" s="4" t="s">
        <v>48</v>
      </c>
      <c r="G1054" s="18" t="s">
        <v>239</v>
      </c>
      <c r="H1054" t="s">
        <v>299</v>
      </c>
      <c r="I1054" t="s">
        <v>389</v>
      </c>
      <c r="J1054" t="s">
        <v>363</v>
      </c>
      <c r="K1054" t="str">
        <f>Tabla14[[#This Row],[id]]&amp;Tabla14[[#This Row],[Resposable]]</f>
        <v>180Julio Galvez</v>
      </c>
      <c r="L1054" t="str">
        <f>Tabla14[[#This Row],[id]]&amp;Tabla14[[#This Row],[Resposable]]</f>
        <v>180Julio Galvez</v>
      </c>
      <c r="M1054" t="s">
        <v>299</v>
      </c>
    </row>
    <row r="1055" spans="1:13" x14ac:dyDescent="0.25">
      <c r="A1055" t="s">
        <v>370</v>
      </c>
      <c r="B1055">
        <v>180</v>
      </c>
      <c r="C1055" t="s">
        <v>7</v>
      </c>
      <c r="D1055" t="s">
        <v>75</v>
      </c>
      <c r="E1055" s="18" t="s">
        <v>47</v>
      </c>
      <c r="F1055" s="4" t="s">
        <v>48</v>
      </c>
      <c r="G1055" s="18" t="s">
        <v>239</v>
      </c>
      <c r="H1055" t="s">
        <v>299</v>
      </c>
      <c r="I1055" t="s">
        <v>389</v>
      </c>
      <c r="J1055" t="s">
        <v>363</v>
      </c>
      <c r="K1055" t="str">
        <f>Tabla14[[#This Row],[id]]&amp;Tabla14[[#This Row],[Resposable]]</f>
        <v>180Julio Galvez</v>
      </c>
      <c r="L1055" t="str">
        <f>Tabla14[[#This Row],[id]]&amp;Tabla14[[#This Row],[Resposable]]</f>
        <v>180Julio Galvez</v>
      </c>
      <c r="M1055" t="s">
        <v>299</v>
      </c>
    </row>
    <row r="1056" spans="1:13" x14ac:dyDescent="0.25">
      <c r="A1056" t="s">
        <v>370</v>
      </c>
      <c r="B1056">
        <v>180</v>
      </c>
      <c r="C1056" t="s">
        <v>7</v>
      </c>
      <c r="D1056" t="s">
        <v>76</v>
      </c>
      <c r="E1056" s="18" t="s">
        <v>47</v>
      </c>
      <c r="F1056" s="4" t="s">
        <v>77</v>
      </c>
      <c r="G1056" s="18" t="s">
        <v>239</v>
      </c>
      <c r="H1056" t="s">
        <v>299</v>
      </c>
      <c r="I1056" t="s">
        <v>389</v>
      </c>
      <c r="J1056" t="s">
        <v>363</v>
      </c>
      <c r="K1056" t="str">
        <f>Tabla14[[#This Row],[id]]&amp;Tabla14[[#This Row],[Resposable]]</f>
        <v>180Julio Galvez</v>
      </c>
      <c r="L1056" t="str">
        <f>Tabla14[[#This Row],[id]]&amp;Tabla14[[#This Row],[Resposable]]</f>
        <v>180Julio Galvez</v>
      </c>
      <c r="M1056" t="s">
        <v>299</v>
      </c>
    </row>
    <row r="1057" spans="1:13" x14ac:dyDescent="0.25">
      <c r="A1057" t="s">
        <v>323</v>
      </c>
      <c r="B1057">
        <v>124</v>
      </c>
      <c r="C1057" t="s">
        <v>7</v>
      </c>
      <c r="D1057" t="s">
        <v>174</v>
      </c>
      <c r="E1057" t="s">
        <v>47</v>
      </c>
      <c r="F1057" s="4" t="s">
        <v>175</v>
      </c>
      <c r="G1057" t="s">
        <v>239</v>
      </c>
      <c r="H1057" t="s">
        <v>29</v>
      </c>
      <c r="I1057" t="s">
        <v>389</v>
      </c>
      <c r="J1057" t="s">
        <v>363</v>
      </c>
      <c r="K1057" t="str">
        <f>Tabla14[[#This Row],[id]]&amp;Tabla14[[#This Row],[Resposable]]</f>
        <v>124Julio Galvez</v>
      </c>
      <c r="L1057" t="str">
        <f>Tabla14[[#This Row],[id]]&amp;Tabla14[[#This Row],[Resposable]]</f>
        <v>124Julio Galvez</v>
      </c>
      <c r="M1057" t="s">
        <v>29</v>
      </c>
    </row>
    <row r="1058" spans="1:13" x14ac:dyDescent="0.25">
      <c r="A1058" s="9" t="s">
        <v>323</v>
      </c>
      <c r="B1058" s="11">
        <v>124</v>
      </c>
      <c r="C1058" s="11" t="s">
        <v>6</v>
      </c>
      <c r="D1058" s="11" t="s">
        <v>176</v>
      </c>
      <c r="E1058" s="11" t="s">
        <v>54</v>
      </c>
      <c r="F1058" s="15" t="s">
        <v>77</v>
      </c>
      <c r="G1058" s="11" t="s">
        <v>239</v>
      </c>
      <c r="H1058" t="s">
        <v>29</v>
      </c>
      <c r="I1058" t="s">
        <v>389</v>
      </c>
      <c r="J1058" t="s">
        <v>363</v>
      </c>
      <c r="K1058" t="str">
        <f>Tabla14[[#This Row],[id]]&amp;Tabla14[[#This Row],[Resposable]]</f>
        <v>124Julio Galvez</v>
      </c>
      <c r="L1058" t="str">
        <f>Tabla14[[#This Row],[id]]&amp;Tabla14[[#This Row],[Resposable]]</f>
        <v>124Julio Galvez</v>
      </c>
      <c r="M1058" t="s">
        <v>29</v>
      </c>
    </row>
    <row r="1059" spans="1:13" x14ac:dyDescent="0.25">
      <c r="A1059" s="9" t="s">
        <v>323</v>
      </c>
      <c r="B1059" s="11">
        <v>124</v>
      </c>
      <c r="C1059" s="11" t="s">
        <v>6</v>
      </c>
      <c r="D1059" s="11" t="s">
        <v>177</v>
      </c>
      <c r="E1059" s="11" t="s">
        <v>47</v>
      </c>
      <c r="F1059" s="15" t="s">
        <v>77</v>
      </c>
      <c r="G1059" s="11" t="s">
        <v>239</v>
      </c>
      <c r="H1059" t="s">
        <v>29</v>
      </c>
      <c r="I1059" t="s">
        <v>389</v>
      </c>
      <c r="J1059" t="s">
        <v>363</v>
      </c>
      <c r="K1059" t="str">
        <f>Tabla14[[#This Row],[id]]&amp;Tabla14[[#This Row],[Resposable]]</f>
        <v>124Julio Galvez</v>
      </c>
      <c r="L1059" t="str">
        <f>Tabla14[[#This Row],[id]]&amp;Tabla14[[#This Row],[Resposable]]</f>
        <v>124Julio Galvez</v>
      </c>
      <c r="M1059" t="s">
        <v>29</v>
      </c>
    </row>
    <row r="1060" spans="1:13" x14ac:dyDescent="0.25">
      <c r="A1060" s="9" t="s">
        <v>323</v>
      </c>
      <c r="B1060" s="11">
        <v>124</v>
      </c>
      <c r="C1060" s="11" t="s">
        <v>6</v>
      </c>
      <c r="D1060" s="11" t="s">
        <v>171</v>
      </c>
      <c r="E1060" s="11" t="s">
        <v>47</v>
      </c>
      <c r="F1060" s="15" t="s">
        <v>82</v>
      </c>
      <c r="G1060" s="11" t="s">
        <v>239</v>
      </c>
      <c r="H1060" t="s">
        <v>29</v>
      </c>
      <c r="I1060" t="s">
        <v>389</v>
      </c>
      <c r="J1060" t="s">
        <v>363</v>
      </c>
      <c r="K1060" t="str">
        <f>Tabla14[[#This Row],[id]]&amp;Tabla14[[#This Row],[Resposable]]</f>
        <v>124Julio Galvez</v>
      </c>
      <c r="L1060" t="str">
        <f>Tabla14[[#This Row],[id]]&amp;Tabla14[[#This Row],[Resposable]]</f>
        <v>124Julio Galvez</v>
      </c>
      <c r="M1060" t="s">
        <v>29</v>
      </c>
    </row>
    <row r="1061" spans="1:13" x14ac:dyDescent="0.25">
      <c r="A1061" s="9" t="s">
        <v>323</v>
      </c>
      <c r="B1061" s="11">
        <v>124</v>
      </c>
      <c r="C1061" s="11" t="s">
        <v>7</v>
      </c>
      <c r="D1061" s="11" t="s">
        <v>178</v>
      </c>
      <c r="E1061" s="11" t="s">
        <v>47</v>
      </c>
      <c r="F1061" s="15" t="s">
        <v>58</v>
      </c>
      <c r="G1061" s="11" t="s">
        <v>239</v>
      </c>
      <c r="H1061" t="s">
        <v>29</v>
      </c>
      <c r="I1061" t="s">
        <v>389</v>
      </c>
      <c r="J1061" t="s">
        <v>363</v>
      </c>
      <c r="K1061" t="str">
        <f>Tabla14[[#This Row],[id]]&amp;Tabla14[[#This Row],[Resposable]]</f>
        <v>124Julio Galvez</v>
      </c>
      <c r="L1061" t="str">
        <f>Tabla14[[#This Row],[id]]&amp;Tabla14[[#This Row],[Resposable]]</f>
        <v>124Julio Galvez</v>
      </c>
      <c r="M1061" t="s">
        <v>29</v>
      </c>
    </row>
    <row r="1062" spans="1:13" x14ac:dyDescent="0.25">
      <c r="A1062" s="9" t="s">
        <v>323</v>
      </c>
      <c r="B1062" s="11">
        <v>124</v>
      </c>
      <c r="C1062" s="11" t="s">
        <v>8</v>
      </c>
      <c r="D1062" s="11" t="s">
        <v>180</v>
      </c>
      <c r="E1062" s="11" t="s">
        <v>47</v>
      </c>
      <c r="F1062" s="15" t="s">
        <v>77</v>
      </c>
      <c r="G1062" s="11" t="s">
        <v>239</v>
      </c>
      <c r="H1062" t="s">
        <v>29</v>
      </c>
      <c r="I1062" t="s">
        <v>389</v>
      </c>
      <c r="J1062" t="s">
        <v>363</v>
      </c>
      <c r="K1062" t="str">
        <f>Tabla14[[#This Row],[id]]&amp;Tabla14[[#This Row],[Resposable]]</f>
        <v>124Julio Galvez</v>
      </c>
      <c r="L1062" t="str">
        <f>Tabla14[[#This Row],[id]]&amp;Tabla14[[#This Row],[Resposable]]</f>
        <v>124Julio Galvez</v>
      </c>
      <c r="M1062" t="s">
        <v>29</v>
      </c>
    </row>
    <row r="1063" spans="1:13" x14ac:dyDescent="0.25">
      <c r="A1063" s="9" t="s">
        <v>323</v>
      </c>
      <c r="B1063" s="11">
        <v>124</v>
      </c>
      <c r="C1063" s="11" t="s">
        <v>18</v>
      </c>
      <c r="D1063" s="11" t="s">
        <v>181</v>
      </c>
      <c r="E1063" s="11" t="s">
        <v>47</v>
      </c>
      <c r="F1063" s="15" t="s">
        <v>48</v>
      </c>
      <c r="G1063" s="11" t="s">
        <v>239</v>
      </c>
      <c r="H1063" t="s">
        <v>29</v>
      </c>
      <c r="I1063" t="s">
        <v>389</v>
      </c>
      <c r="J1063" t="s">
        <v>363</v>
      </c>
      <c r="K1063" t="str">
        <f>Tabla14[[#This Row],[id]]&amp;Tabla14[[#This Row],[Resposable]]</f>
        <v>124Julio Galvez</v>
      </c>
      <c r="L1063" t="str">
        <f>Tabla14[[#This Row],[id]]&amp;Tabla14[[#This Row],[Resposable]]</f>
        <v>124Julio Galvez</v>
      </c>
      <c r="M1063" t="s">
        <v>29</v>
      </c>
    </row>
    <row r="1064" spans="1:13" x14ac:dyDescent="0.25">
      <c r="A1064" s="9" t="s">
        <v>323</v>
      </c>
      <c r="B1064" s="11">
        <v>124</v>
      </c>
      <c r="C1064" s="11" t="s">
        <v>18</v>
      </c>
      <c r="D1064" s="11" t="s">
        <v>182</v>
      </c>
      <c r="E1064" s="11" t="s">
        <v>47</v>
      </c>
      <c r="F1064" s="15" t="s">
        <v>48</v>
      </c>
      <c r="G1064" s="11" t="s">
        <v>239</v>
      </c>
      <c r="H1064" t="s">
        <v>29</v>
      </c>
      <c r="I1064" t="s">
        <v>389</v>
      </c>
      <c r="J1064" t="s">
        <v>363</v>
      </c>
      <c r="K1064" t="str">
        <f>Tabla14[[#This Row],[id]]&amp;Tabla14[[#This Row],[Resposable]]</f>
        <v>124Julio Galvez</v>
      </c>
      <c r="L1064" t="str">
        <f>Tabla14[[#This Row],[id]]&amp;Tabla14[[#This Row],[Resposable]]</f>
        <v>124Julio Galvez</v>
      </c>
      <c r="M1064" t="s">
        <v>29</v>
      </c>
    </row>
    <row r="1065" spans="1:13" x14ac:dyDescent="0.25">
      <c r="A1065" s="9" t="s">
        <v>323</v>
      </c>
      <c r="B1065" s="11">
        <v>124</v>
      </c>
      <c r="C1065" s="11" t="s">
        <v>18</v>
      </c>
      <c r="D1065" s="11" t="s">
        <v>183</v>
      </c>
      <c r="E1065" s="11" t="s">
        <v>47</v>
      </c>
      <c r="F1065" s="15" t="s">
        <v>184</v>
      </c>
      <c r="G1065" s="11" t="s">
        <v>239</v>
      </c>
      <c r="H1065" t="s">
        <v>29</v>
      </c>
      <c r="I1065" t="s">
        <v>389</v>
      </c>
      <c r="J1065" t="s">
        <v>363</v>
      </c>
      <c r="K1065" t="str">
        <f>Tabla14[[#This Row],[id]]&amp;Tabla14[[#This Row],[Resposable]]</f>
        <v>124Julio Galvez</v>
      </c>
      <c r="L1065" t="str">
        <f>Tabla14[[#This Row],[id]]&amp;Tabla14[[#This Row],[Resposable]]</f>
        <v>124Julio Galvez</v>
      </c>
      <c r="M1065" t="s">
        <v>29</v>
      </c>
    </row>
    <row r="1066" spans="1:13" x14ac:dyDescent="0.25">
      <c r="A1066" s="9" t="s">
        <v>323</v>
      </c>
      <c r="B1066" s="11">
        <v>124</v>
      </c>
      <c r="C1066" s="11" t="s">
        <v>7</v>
      </c>
      <c r="D1066" s="11" t="s">
        <v>173</v>
      </c>
      <c r="E1066" s="11" t="s">
        <v>47</v>
      </c>
      <c r="F1066" s="15" t="s">
        <v>71</v>
      </c>
      <c r="G1066" s="11" t="s">
        <v>239</v>
      </c>
      <c r="H1066" t="s">
        <v>29</v>
      </c>
      <c r="I1066" t="s">
        <v>389</v>
      </c>
      <c r="J1066" t="s">
        <v>363</v>
      </c>
      <c r="K1066" t="str">
        <f>Tabla14[[#This Row],[id]]&amp;Tabla14[[#This Row],[Resposable]]</f>
        <v>124Julio Galvez</v>
      </c>
      <c r="L1066" t="str">
        <f>Tabla14[[#This Row],[id]]&amp;Tabla14[[#This Row],[Resposable]]</f>
        <v>124Julio Galvez</v>
      </c>
      <c r="M1066" t="s">
        <v>29</v>
      </c>
    </row>
    <row r="1067" spans="1:13" x14ac:dyDescent="0.25">
      <c r="A1067" s="9" t="s">
        <v>323</v>
      </c>
      <c r="B1067" s="11">
        <v>124</v>
      </c>
      <c r="C1067" s="11" t="s">
        <v>6</v>
      </c>
      <c r="D1067" s="11" t="s">
        <v>186</v>
      </c>
      <c r="E1067" s="11" t="s">
        <v>47</v>
      </c>
      <c r="F1067" s="15" t="s">
        <v>71</v>
      </c>
      <c r="G1067" s="11" t="s">
        <v>239</v>
      </c>
      <c r="H1067" t="s">
        <v>29</v>
      </c>
      <c r="I1067" t="s">
        <v>389</v>
      </c>
      <c r="J1067" t="s">
        <v>363</v>
      </c>
      <c r="K1067" t="str">
        <f>Tabla14[[#This Row],[id]]&amp;Tabla14[[#This Row],[Resposable]]</f>
        <v>124Julio Galvez</v>
      </c>
      <c r="L1067" t="str">
        <f>Tabla14[[#This Row],[id]]&amp;Tabla14[[#This Row],[Resposable]]</f>
        <v>124Julio Galvez</v>
      </c>
      <c r="M1067" t="s">
        <v>29</v>
      </c>
    </row>
    <row r="1068" spans="1:13" x14ac:dyDescent="0.25">
      <c r="A1068" s="9" t="s">
        <v>311</v>
      </c>
      <c r="B1068" s="11">
        <v>112</v>
      </c>
      <c r="C1068" s="11" t="s">
        <v>6</v>
      </c>
      <c r="D1068" s="11" t="s">
        <v>170</v>
      </c>
      <c r="E1068" s="11" t="s">
        <v>47</v>
      </c>
      <c r="F1068" s="15" t="s">
        <v>60</v>
      </c>
      <c r="G1068" s="11" t="s">
        <v>239</v>
      </c>
      <c r="H1068" t="s">
        <v>29</v>
      </c>
      <c r="I1068" t="s">
        <v>393</v>
      </c>
      <c r="J1068" t="s">
        <v>361</v>
      </c>
      <c r="K1068" t="str">
        <f>Tabla14[[#This Row],[id]]&amp;Tabla14[[#This Row],[Resposable]]</f>
        <v>112Mynor Mijangos</v>
      </c>
      <c r="L1068" t="str">
        <f>Tabla14[[#This Row],[id]]&amp;Tabla14[[#This Row],[Resposable]]</f>
        <v>112Mynor Mijangos</v>
      </c>
      <c r="M1068" t="s">
        <v>29</v>
      </c>
    </row>
    <row r="1069" spans="1:13" x14ac:dyDescent="0.25">
      <c r="A1069" s="9" t="s">
        <v>311</v>
      </c>
      <c r="B1069" s="11">
        <v>112</v>
      </c>
      <c r="C1069" s="11" t="s">
        <v>6</v>
      </c>
      <c r="D1069" s="11" t="s">
        <v>171</v>
      </c>
      <c r="E1069" s="11" t="s">
        <v>47</v>
      </c>
      <c r="F1069" s="15" t="s">
        <v>60</v>
      </c>
      <c r="G1069" s="11" t="s">
        <v>239</v>
      </c>
      <c r="H1069" t="s">
        <v>29</v>
      </c>
      <c r="I1069" t="s">
        <v>393</v>
      </c>
      <c r="J1069" t="s">
        <v>361</v>
      </c>
      <c r="K1069" t="str">
        <f>Tabla14[[#This Row],[id]]&amp;Tabla14[[#This Row],[Resposable]]</f>
        <v>112Mynor Mijangos</v>
      </c>
      <c r="L1069" t="str">
        <f>Tabla14[[#This Row],[id]]&amp;Tabla14[[#This Row],[Resposable]]</f>
        <v>112Mynor Mijangos</v>
      </c>
      <c r="M1069" t="s">
        <v>29</v>
      </c>
    </row>
    <row r="1070" spans="1:13" x14ac:dyDescent="0.25">
      <c r="A1070" s="9" t="s">
        <v>311</v>
      </c>
      <c r="B1070" s="11">
        <v>112</v>
      </c>
      <c r="C1070" s="11" t="s">
        <v>6</v>
      </c>
      <c r="D1070" s="11" t="s">
        <v>172</v>
      </c>
      <c r="E1070" s="11" t="s">
        <v>47</v>
      </c>
      <c r="F1070" s="15" t="s">
        <v>150</v>
      </c>
      <c r="G1070" s="11" t="s">
        <v>239</v>
      </c>
      <c r="H1070" t="s">
        <v>29</v>
      </c>
      <c r="I1070" t="s">
        <v>393</v>
      </c>
      <c r="J1070" t="s">
        <v>361</v>
      </c>
      <c r="K1070" t="str">
        <f>Tabla14[[#This Row],[id]]&amp;Tabla14[[#This Row],[Resposable]]</f>
        <v>112Mynor Mijangos</v>
      </c>
      <c r="L1070" t="str">
        <f>Tabla14[[#This Row],[id]]&amp;Tabla14[[#This Row],[Resposable]]</f>
        <v>112Mynor Mijangos</v>
      </c>
      <c r="M1070" t="s">
        <v>29</v>
      </c>
    </row>
    <row r="1071" spans="1:13" x14ac:dyDescent="0.25">
      <c r="A1071" s="10" t="s">
        <v>311</v>
      </c>
      <c r="B1071" s="12">
        <v>112</v>
      </c>
      <c r="C1071" s="12" t="s">
        <v>7</v>
      </c>
      <c r="D1071" s="12" t="s">
        <v>173</v>
      </c>
      <c r="E1071" s="12" t="s">
        <v>47</v>
      </c>
      <c r="F1071" s="17" t="s">
        <v>71</v>
      </c>
      <c r="G1071" s="12" t="s">
        <v>239</v>
      </c>
      <c r="H1071" t="s">
        <v>29</v>
      </c>
      <c r="I1071" t="s">
        <v>393</v>
      </c>
      <c r="J1071" t="s">
        <v>363</v>
      </c>
      <c r="K1071" t="str">
        <f>Tabla14[[#This Row],[id]]&amp;Tabla14[[#This Row],[Resposable]]</f>
        <v>112Mynor Mijangos</v>
      </c>
      <c r="L1071" t="str">
        <f>Tabla14[[#This Row],[id]]&amp;Tabla14[[#This Row],[Resposable]]</f>
        <v>112Mynor Mijangos</v>
      </c>
      <c r="M1071" t="s">
        <v>29</v>
      </c>
    </row>
    <row r="1072" spans="1:13" x14ac:dyDescent="0.25">
      <c r="A1072" s="9" t="s">
        <v>312</v>
      </c>
      <c r="B1072" s="11">
        <v>113</v>
      </c>
      <c r="C1072" s="11" t="s">
        <v>6</v>
      </c>
      <c r="D1072" s="11" t="s">
        <v>170</v>
      </c>
      <c r="E1072" s="11" t="s">
        <v>47</v>
      </c>
      <c r="F1072" s="15" t="s">
        <v>60</v>
      </c>
      <c r="G1072" s="11" t="s">
        <v>239</v>
      </c>
      <c r="H1072" t="s">
        <v>29</v>
      </c>
      <c r="I1072" t="s">
        <v>393</v>
      </c>
      <c r="J1072" t="s">
        <v>361</v>
      </c>
      <c r="K1072" t="str">
        <f>Tabla14[[#This Row],[id]]&amp;Tabla14[[#This Row],[Resposable]]</f>
        <v>113Mynor Mijangos</v>
      </c>
      <c r="L1072" t="str">
        <f>Tabla14[[#This Row],[id]]&amp;Tabla14[[#This Row],[Resposable]]</f>
        <v>113Mynor Mijangos</v>
      </c>
      <c r="M1072" t="s">
        <v>29</v>
      </c>
    </row>
    <row r="1073" spans="1:13" x14ac:dyDescent="0.25">
      <c r="A1073" s="9" t="s">
        <v>312</v>
      </c>
      <c r="B1073" s="11">
        <v>113</v>
      </c>
      <c r="C1073" s="11" t="s">
        <v>6</v>
      </c>
      <c r="D1073" s="11" t="s">
        <v>171</v>
      </c>
      <c r="E1073" s="11" t="s">
        <v>47</v>
      </c>
      <c r="F1073" s="15" t="s">
        <v>60</v>
      </c>
      <c r="G1073" s="11" t="s">
        <v>239</v>
      </c>
      <c r="H1073" t="s">
        <v>29</v>
      </c>
      <c r="I1073" t="s">
        <v>393</v>
      </c>
      <c r="J1073" t="s">
        <v>361</v>
      </c>
      <c r="K1073" t="str">
        <f>Tabla14[[#This Row],[id]]&amp;Tabla14[[#This Row],[Resposable]]</f>
        <v>113Mynor Mijangos</v>
      </c>
      <c r="L1073" t="str">
        <f>Tabla14[[#This Row],[id]]&amp;Tabla14[[#This Row],[Resposable]]</f>
        <v>113Mynor Mijangos</v>
      </c>
      <c r="M1073" t="s">
        <v>29</v>
      </c>
    </row>
    <row r="1074" spans="1:13" x14ac:dyDescent="0.25">
      <c r="A1074" s="9" t="s">
        <v>312</v>
      </c>
      <c r="B1074" s="11">
        <v>113</v>
      </c>
      <c r="C1074" s="11" t="s">
        <v>6</v>
      </c>
      <c r="D1074" s="11" t="s">
        <v>172</v>
      </c>
      <c r="E1074" s="11" t="s">
        <v>47</v>
      </c>
      <c r="F1074" s="15" t="s">
        <v>150</v>
      </c>
      <c r="G1074" s="11" t="s">
        <v>239</v>
      </c>
      <c r="H1074" t="s">
        <v>29</v>
      </c>
      <c r="I1074" t="s">
        <v>393</v>
      </c>
      <c r="J1074" t="s">
        <v>361</v>
      </c>
      <c r="K1074" t="str">
        <f>Tabla14[[#This Row],[id]]&amp;Tabla14[[#This Row],[Resposable]]</f>
        <v>113Mynor Mijangos</v>
      </c>
      <c r="L1074" t="str">
        <f>Tabla14[[#This Row],[id]]&amp;Tabla14[[#This Row],[Resposable]]</f>
        <v>113Mynor Mijangos</v>
      </c>
      <c r="M1074" t="s">
        <v>29</v>
      </c>
    </row>
    <row r="1075" spans="1:13" x14ac:dyDescent="0.25">
      <c r="A1075" s="9" t="s">
        <v>312</v>
      </c>
      <c r="B1075" s="11">
        <v>113</v>
      </c>
      <c r="C1075" s="11" t="s">
        <v>7</v>
      </c>
      <c r="D1075" s="11" t="s">
        <v>173</v>
      </c>
      <c r="E1075" s="11" t="s">
        <v>47</v>
      </c>
      <c r="F1075" s="15" t="s">
        <v>71</v>
      </c>
      <c r="G1075" s="11" t="s">
        <v>239</v>
      </c>
      <c r="H1075" t="s">
        <v>29</v>
      </c>
      <c r="I1075" t="s">
        <v>393</v>
      </c>
      <c r="J1075" t="s">
        <v>363</v>
      </c>
      <c r="K1075" t="str">
        <f>Tabla14[[#This Row],[id]]&amp;Tabla14[[#This Row],[Resposable]]</f>
        <v>113Mynor Mijangos</v>
      </c>
      <c r="L1075" t="str">
        <f>Tabla14[[#This Row],[id]]&amp;Tabla14[[#This Row],[Resposable]]</f>
        <v>113Mynor Mijangos</v>
      </c>
      <c r="M1075" t="s">
        <v>29</v>
      </c>
    </row>
    <row r="1076" spans="1:13" x14ac:dyDescent="0.25">
      <c r="A1076" s="9" t="s">
        <v>313</v>
      </c>
      <c r="B1076" s="11">
        <v>114</v>
      </c>
      <c r="C1076" s="11" t="s">
        <v>6</v>
      </c>
      <c r="D1076" s="11" t="s">
        <v>170</v>
      </c>
      <c r="E1076" s="11" t="s">
        <v>47</v>
      </c>
      <c r="F1076" s="15" t="s">
        <v>60</v>
      </c>
      <c r="G1076" s="11" t="s">
        <v>239</v>
      </c>
      <c r="H1076" t="s">
        <v>29</v>
      </c>
      <c r="I1076" t="s">
        <v>393</v>
      </c>
      <c r="J1076" t="s">
        <v>361</v>
      </c>
      <c r="K1076" t="str">
        <f>Tabla14[[#This Row],[id]]&amp;Tabla14[[#This Row],[Resposable]]</f>
        <v>114Mynor Mijangos</v>
      </c>
      <c r="L1076" t="str">
        <f>Tabla14[[#This Row],[id]]&amp;Tabla14[[#This Row],[Resposable]]</f>
        <v>114Mynor Mijangos</v>
      </c>
      <c r="M1076" t="s">
        <v>29</v>
      </c>
    </row>
    <row r="1077" spans="1:13" x14ac:dyDescent="0.25">
      <c r="A1077" s="9" t="s">
        <v>313</v>
      </c>
      <c r="B1077" s="11">
        <v>114</v>
      </c>
      <c r="C1077" s="11" t="s">
        <v>6</v>
      </c>
      <c r="D1077" s="11" t="s">
        <v>171</v>
      </c>
      <c r="E1077" s="11" t="s">
        <v>47</v>
      </c>
      <c r="F1077" s="15" t="s">
        <v>60</v>
      </c>
      <c r="G1077" s="11" t="s">
        <v>239</v>
      </c>
      <c r="H1077" t="s">
        <v>29</v>
      </c>
      <c r="I1077" t="s">
        <v>393</v>
      </c>
      <c r="J1077" t="s">
        <v>361</v>
      </c>
      <c r="K1077" t="str">
        <f>Tabla14[[#This Row],[id]]&amp;Tabla14[[#This Row],[Resposable]]</f>
        <v>114Mynor Mijangos</v>
      </c>
      <c r="L1077" t="str">
        <f>Tabla14[[#This Row],[id]]&amp;Tabla14[[#This Row],[Resposable]]</f>
        <v>114Mynor Mijangos</v>
      </c>
      <c r="M1077" t="s">
        <v>29</v>
      </c>
    </row>
    <row r="1078" spans="1:13" x14ac:dyDescent="0.25">
      <c r="A1078" s="9" t="s">
        <v>313</v>
      </c>
      <c r="B1078" s="11">
        <v>114</v>
      </c>
      <c r="C1078" s="11" t="s">
        <v>6</v>
      </c>
      <c r="D1078" s="11" t="s">
        <v>172</v>
      </c>
      <c r="E1078" s="11" t="s">
        <v>47</v>
      </c>
      <c r="F1078" s="15" t="s">
        <v>150</v>
      </c>
      <c r="G1078" s="11" t="s">
        <v>239</v>
      </c>
      <c r="H1078" t="s">
        <v>29</v>
      </c>
      <c r="I1078" t="s">
        <v>393</v>
      </c>
      <c r="J1078" t="s">
        <v>361</v>
      </c>
      <c r="K1078" t="str">
        <f>Tabla14[[#This Row],[id]]&amp;Tabla14[[#This Row],[Resposable]]</f>
        <v>114Mynor Mijangos</v>
      </c>
      <c r="L1078" t="str">
        <f>Tabla14[[#This Row],[id]]&amp;Tabla14[[#This Row],[Resposable]]</f>
        <v>114Mynor Mijangos</v>
      </c>
      <c r="M1078" t="s">
        <v>29</v>
      </c>
    </row>
    <row r="1079" spans="1:13" x14ac:dyDescent="0.25">
      <c r="A1079" s="9" t="s">
        <v>313</v>
      </c>
      <c r="B1079" s="11">
        <v>114</v>
      </c>
      <c r="C1079" s="11" t="s">
        <v>7</v>
      </c>
      <c r="D1079" s="11" t="s">
        <v>173</v>
      </c>
      <c r="E1079" s="11" t="s">
        <v>47</v>
      </c>
      <c r="F1079" s="15" t="s">
        <v>71</v>
      </c>
      <c r="G1079" s="11" t="s">
        <v>239</v>
      </c>
      <c r="H1079" t="s">
        <v>29</v>
      </c>
      <c r="I1079" t="s">
        <v>393</v>
      </c>
      <c r="J1079" t="s">
        <v>363</v>
      </c>
      <c r="K1079" t="str">
        <f>Tabla14[[#This Row],[id]]&amp;Tabla14[[#This Row],[Resposable]]</f>
        <v>114Mynor Mijangos</v>
      </c>
      <c r="L1079" t="str">
        <f>Tabla14[[#This Row],[id]]&amp;Tabla14[[#This Row],[Resposable]]</f>
        <v>114Mynor Mijangos</v>
      </c>
      <c r="M1079" t="s">
        <v>29</v>
      </c>
    </row>
    <row r="1080" spans="1:13" x14ac:dyDescent="0.25">
      <c r="A1080" s="9" t="s">
        <v>314</v>
      </c>
      <c r="B1080" s="11">
        <v>115</v>
      </c>
      <c r="C1080" s="11" t="s">
        <v>6</v>
      </c>
      <c r="D1080" s="11" t="s">
        <v>170</v>
      </c>
      <c r="E1080" s="11" t="s">
        <v>47</v>
      </c>
      <c r="F1080" s="15" t="s">
        <v>60</v>
      </c>
      <c r="G1080" s="11" t="s">
        <v>239</v>
      </c>
      <c r="H1080" t="s">
        <v>29</v>
      </c>
      <c r="I1080" t="s">
        <v>393</v>
      </c>
      <c r="J1080" t="s">
        <v>367</v>
      </c>
      <c r="K1080" t="str">
        <f>Tabla14[[#This Row],[id]]&amp;Tabla14[[#This Row],[Resposable]]</f>
        <v>115Mynor Mijangos</v>
      </c>
      <c r="L1080" t="str">
        <f>Tabla14[[#This Row],[id]]&amp;Tabla14[[#This Row],[Resposable]]</f>
        <v>115Mynor Mijangos</v>
      </c>
      <c r="M1080" t="s">
        <v>29</v>
      </c>
    </row>
    <row r="1081" spans="1:13" x14ac:dyDescent="0.25">
      <c r="A1081" s="9" t="s">
        <v>314</v>
      </c>
      <c r="B1081" s="11">
        <v>115</v>
      </c>
      <c r="C1081" s="11" t="s">
        <v>6</v>
      </c>
      <c r="D1081" s="11" t="s">
        <v>171</v>
      </c>
      <c r="E1081" s="11" t="s">
        <v>47</v>
      </c>
      <c r="F1081" s="15" t="s">
        <v>60</v>
      </c>
      <c r="G1081" s="11" t="s">
        <v>239</v>
      </c>
      <c r="H1081" t="s">
        <v>29</v>
      </c>
      <c r="I1081" t="s">
        <v>393</v>
      </c>
      <c r="J1081" t="s">
        <v>361</v>
      </c>
      <c r="K1081" t="str">
        <f>Tabla14[[#This Row],[id]]&amp;Tabla14[[#This Row],[Resposable]]</f>
        <v>115Mynor Mijangos</v>
      </c>
      <c r="L1081" t="str">
        <f>Tabla14[[#This Row],[id]]&amp;Tabla14[[#This Row],[Resposable]]</f>
        <v>115Mynor Mijangos</v>
      </c>
      <c r="M1081" t="s">
        <v>29</v>
      </c>
    </row>
    <row r="1082" spans="1:13" x14ac:dyDescent="0.25">
      <c r="A1082" s="9" t="s">
        <v>314</v>
      </c>
      <c r="B1082" s="11">
        <v>115</v>
      </c>
      <c r="C1082" s="11" t="s">
        <v>6</v>
      </c>
      <c r="D1082" s="11" t="s">
        <v>172</v>
      </c>
      <c r="E1082" s="11" t="s">
        <v>47</v>
      </c>
      <c r="F1082" s="15" t="s">
        <v>150</v>
      </c>
      <c r="G1082" s="11" t="s">
        <v>239</v>
      </c>
      <c r="H1082" t="s">
        <v>29</v>
      </c>
      <c r="I1082" t="s">
        <v>393</v>
      </c>
      <c r="J1082" t="s">
        <v>361</v>
      </c>
      <c r="K1082" t="str">
        <f>Tabla14[[#This Row],[id]]&amp;Tabla14[[#This Row],[Resposable]]</f>
        <v>115Mynor Mijangos</v>
      </c>
      <c r="L1082" t="str">
        <f>Tabla14[[#This Row],[id]]&amp;Tabla14[[#This Row],[Resposable]]</f>
        <v>115Mynor Mijangos</v>
      </c>
      <c r="M1082" t="s">
        <v>29</v>
      </c>
    </row>
    <row r="1083" spans="1:13" x14ac:dyDescent="0.25">
      <c r="A1083" s="9" t="s">
        <v>314</v>
      </c>
      <c r="B1083" s="11">
        <v>115</v>
      </c>
      <c r="C1083" s="11" t="s">
        <v>7</v>
      </c>
      <c r="D1083" s="11" t="s">
        <v>173</v>
      </c>
      <c r="E1083" s="11" t="s">
        <v>47</v>
      </c>
      <c r="F1083" s="15" t="s">
        <v>71</v>
      </c>
      <c r="G1083" s="11" t="s">
        <v>239</v>
      </c>
      <c r="H1083" t="s">
        <v>29</v>
      </c>
      <c r="I1083" t="s">
        <v>393</v>
      </c>
      <c r="J1083" t="s">
        <v>363</v>
      </c>
      <c r="K1083" t="str">
        <f>Tabla14[[#This Row],[id]]&amp;Tabla14[[#This Row],[Resposable]]</f>
        <v>115Mynor Mijangos</v>
      </c>
      <c r="L1083" t="str">
        <f>Tabla14[[#This Row],[id]]&amp;Tabla14[[#This Row],[Resposable]]</f>
        <v>115Mynor Mijangos</v>
      </c>
      <c r="M1083" t="s">
        <v>29</v>
      </c>
    </row>
    <row r="1084" spans="1:13" x14ac:dyDescent="0.25">
      <c r="A1084" s="9" t="s">
        <v>315</v>
      </c>
      <c r="B1084" s="11">
        <v>116</v>
      </c>
      <c r="C1084" s="11" t="s">
        <v>6</v>
      </c>
      <c r="D1084" s="11" t="s">
        <v>170</v>
      </c>
      <c r="E1084" s="11" t="s">
        <v>47</v>
      </c>
      <c r="F1084" s="15" t="s">
        <v>60</v>
      </c>
      <c r="G1084" s="11" t="s">
        <v>239</v>
      </c>
      <c r="H1084" t="s">
        <v>29</v>
      </c>
      <c r="I1084" t="s">
        <v>393</v>
      </c>
      <c r="J1084" t="s">
        <v>361</v>
      </c>
      <c r="K1084" t="str">
        <f>Tabla14[[#This Row],[id]]&amp;Tabla14[[#This Row],[Resposable]]</f>
        <v>116Mynor Mijangos</v>
      </c>
      <c r="L1084" t="str">
        <f>Tabla14[[#This Row],[id]]&amp;Tabla14[[#This Row],[Resposable]]</f>
        <v>116Mynor Mijangos</v>
      </c>
      <c r="M1084" t="s">
        <v>29</v>
      </c>
    </row>
    <row r="1085" spans="1:13" x14ac:dyDescent="0.25">
      <c r="A1085" s="10" t="s">
        <v>315</v>
      </c>
      <c r="B1085" s="12">
        <v>116</v>
      </c>
      <c r="C1085" s="12" t="s">
        <v>6</v>
      </c>
      <c r="D1085" s="12" t="s">
        <v>171</v>
      </c>
      <c r="E1085" s="12" t="s">
        <v>47</v>
      </c>
      <c r="F1085" s="17" t="s">
        <v>60</v>
      </c>
      <c r="G1085" s="12" t="s">
        <v>239</v>
      </c>
      <c r="H1085" t="s">
        <v>29</v>
      </c>
      <c r="I1085" t="s">
        <v>393</v>
      </c>
      <c r="J1085" t="s">
        <v>361</v>
      </c>
      <c r="K1085" t="str">
        <f>Tabla14[[#This Row],[id]]&amp;Tabla14[[#This Row],[Resposable]]</f>
        <v>116Mynor Mijangos</v>
      </c>
      <c r="L1085" t="str">
        <f>Tabla14[[#This Row],[id]]&amp;Tabla14[[#This Row],[Resposable]]</f>
        <v>116Mynor Mijangos</v>
      </c>
      <c r="M1085" t="s">
        <v>29</v>
      </c>
    </row>
    <row r="1086" spans="1:13" x14ac:dyDescent="0.25">
      <c r="A1086" s="9" t="s">
        <v>315</v>
      </c>
      <c r="B1086" s="11">
        <v>116</v>
      </c>
      <c r="C1086" s="11" t="s">
        <v>6</v>
      </c>
      <c r="D1086" s="11" t="s">
        <v>172</v>
      </c>
      <c r="E1086" s="11" t="s">
        <v>47</v>
      </c>
      <c r="F1086" s="15" t="s">
        <v>150</v>
      </c>
      <c r="G1086" s="11" t="s">
        <v>239</v>
      </c>
      <c r="H1086" t="s">
        <v>29</v>
      </c>
      <c r="I1086" t="s">
        <v>393</v>
      </c>
      <c r="J1086" t="s">
        <v>361</v>
      </c>
      <c r="K1086" t="str">
        <f>Tabla14[[#This Row],[id]]&amp;Tabla14[[#This Row],[Resposable]]</f>
        <v>116Mynor Mijangos</v>
      </c>
      <c r="L1086" t="str">
        <f>Tabla14[[#This Row],[id]]&amp;Tabla14[[#This Row],[Resposable]]</f>
        <v>116Mynor Mijangos</v>
      </c>
      <c r="M1086" t="s">
        <v>29</v>
      </c>
    </row>
    <row r="1087" spans="1:13" x14ac:dyDescent="0.25">
      <c r="A1087" s="9" t="s">
        <v>315</v>
      </c>
      <c r="B1087" s="11">
        <v>116</v>
      </c>
      <c r="C1087" s="11" t="s">
        <v>7</v>
      </c>
      <c r="D1087" s="11" t="s">
        <v>173</v>
      </c>
      <c r="E1087" s="11" t="s">
        <v>47</v>
      </c>
      <c r="F1087" s="15" t="s">
        <v>71</v>
      </c>
      <c r="G1087" s="11" t="s">
        <v>239</v>
      </c>
      <c r="H1087" t="s">
        <v>29</v>
      </c>
      <c r="I1087" t="s">
        <v>393</v>
      </c>
      <c r="J1087" t="s">
        <v>363</v>
      </c>
      <c r="K1087" t="str">
        <f>Tabla14[[#This Row],[id]]&amp;Tabla14[[#This Row],[Resposable]]</f>
        <v>116Mynor Mijangos</v>
      </c>
      <c r="L1087" t="str">
        <f>Tabla14[[#This Row],[id]]&amp;Tabla14[[#This Row],[Resposable]]</f>
        <v>116Mynor Mijangos</v>
      </c>
      <c r="M1087" t="s">
        <v>29</v>
      </c>
    </row>
    <row r="1088" spans="1:13" x14ac:dyDescent="0.25">
      <c r="A1088" s="9" t="s">
        <v>316</v>
      </c>
      <c r="B1088" s="11">
        <v>117</v>
      </c>
      <c r="C1088" s="11" t="s">
        <v>6</v>
      </c>
      <c r="D1088" s="11" t="s">
        <v>170</v>
      </c>
      <c r="E1088" s="11" t="s">
        <v>47</v>
      </c>
      <c r="F1088" s="15" t="s">
        <v>60</v>
      </c>
      <c r="G1088" s="11" t="s">
        <v>239</v>
      </c>
      <c r="H1088" t="s">
        <v>29</v>
      </c>
      <c r="I1088" t="s">
        <v>393</v>
      </c>
      <c r="J1088" t="s">
        <v>361</v>
      </c>
      <c r="K1088" t="str">
        <f>Tabla14[[#This Row],[id]]&amp;Tabla14[[#This Row],[Resposable]]</f>
        <v>117Mynor Mijangos</v>
      </c>
      <c r="L1088" t="str">
        <f>Tabla14[[#This Row],[id]]&amp;Tabla14[[#This Row],[Resposable]]</f>
        <v>117Mynor Mijangos</v>
      </c>
      <c r="M1088" t="s">
        <v>29</v>
      </c>
    </row>
    <row r="1089" spans="1:13" x14ac:dyDescent="0.25">
      <c r="A1089" s="9" t="s">
        <v>316</v>
      </c>
      <c r="B1089" s="11">
        <v>117</v>
      </c>
      <c r="C1089" s="11" t="s">
        <v>6</v>
      </c>
      <c r="D1089" s="11" t="s">
        <v>171</v>
      </c>
      <c r="E1089" s="11" t="s">
        <v>47</v>
      </c>
      <c r="F1089" s="15" t="s">
        <v>60</v>
      </c>
      <c r="G1089" s="11" t="s">
        <v>239</v>
      </c>
      <c r="H1089" t="s">
        <v>29</v>
      </c>
      <c r="I1089" t="s">
        <v>393</v>
      </c>
      <c r="J1089" t="s">
        <v>361</v>
      </c>
      <c r="K1089" t="str">
        <f>Tabla14[[#This Row],[id]]&amp;Tabla14[[#This Row],[Resposable]]</f>
        <v>117Mynor Mijangos</v>
      </c>
      <c r="L1089" t="str">
        <f>Tabla14[[#This Row],[id]]&amp;Tabla14[[#This Row],[Resposable]]</f>
        <v>117Mynor Mijangos</v>
      </c>
      <c r="M1089" t="s">
        <v>29</v>
      </c>
    </row>
    <row r="1090" spans="1:13" x14ac:dyDescent="0.25">
      <c r="A1090" s="9" t="s">
        <v>316</v>
      </c>
      <c r="B1090" s="11">
        <v>117</v>
      </c>
      <c r="C1090" s="11" t="s">
        <v>6</v>
      </c>
      <c r="D1090" s="11" t="s">
        <v>172</v>
      </c>
      <c r="E1090" s="11" t="s">
        <v>47</v>
      </c>
      <c r="F1090" s="15" t="s">
        <v>150</v>
      </c>
      <c r="G1090" s="11" t="s">
        <v>239</v>
      </c>
      <c r="H1090" t="s">
        <v>29</v>
      </c>
      <c r="I1090" t="s">
        <v>393</v>
      </c>
      <c r="J1090" t="s">
        <v>361</v>
      </c>
      <c r="K1090" t="str">
        <f>Tabla14[[#This Row],[id]]&amp;Tabla14[[#This Row],[Resposable]]</f>
        <v>117Mynor Mijangos</v>
      </c>
      <c r="L1090" t="str">
        <f>Tabla14[[#This Row],[id]]&amp;Tabla14[[#This Row],[Resposable]]</f>
        <v>117Mynor Mijangos</v>
      </c>
      <c r="M1090" t="s">
        <v>29</v>
      </c>
    </row>
    <row r="1091" spans="1:13" x14ac:dyDescent="0.25">
      <c r="A1091" s="9" t="s">
        <v>316</v>
      </c>
      <c r="B1091" s="11">
        <v>117</v>
      </c>
      <c r="C1091" s="11" t="s">
        <v>7</v>
      </c>
      <c r="D1091" s="11" t="s">
        <v>173</v>
      </c>
      <c r="E1091" s="11" t="s">
        <v>47</v>
      </c>
      <c r="F1091" s="15" t="s">
        <v>71</v>
      </c>
      <c r="G1091" s="11" t="s">
        <v>239</v>
      </c>
      <c r="H1091" t="s">
        <v>29</v>
      </c>
      <c r="I1091" t="s">
        <v>393</v>
      </c>
      <c r="J1091" t="s">
        <v>363</v>
      </c>
      <c r="K1091" t="str">
        <f>Tabla14[[#This Row],[id]]&amp;Tabla14[[#This Row],[Resposable]]</f>
        <v>117Mynor Mijangos</v>
      </c>
      <c r="L1091" t="str">
        <f>Tabla14[[#This Row],[id]]&amp;Tabla14[[#This Row],[Resposable]]</f>
        <v>117Mynor Mijangos</v>
      </c>
      <c r="M1091" t="s">
        <v>29</v>
      </c>
    </row>
    <row r="1092" spans="1:13" x14ac:dyDescent="0.25">
      <c r="A1092" s="9" t="s">
        <v>317</v>
      </c>
      <c r="B1092" s="11">
        <v>118</v>
      </c>
      <c r="C1092" s="11" t="s">
        <v>6</v>
      </c>
      <c r="D1092" s="11" t="s">
        <v>170</v>
      </c>
      <c r="E1092" s="11" t="s">
        <v>47</v>
      </c>
      <c r="F1092" s="15" t="s">
        <v>60</v>
      </c>
      <c r="G1092" s="11" t="s">
        <v>239</v>
      </c>
      <c r="H1092" t="s">
        <v>29</v>
      </c>
      <c r="I1092" t="s">
        <v>393</v>
      </c>
      <c r="J1092" t="s">
        <v>361</v>
      </c>
      <c r="K1092" t="str">
        <f>Tabla14[[#This Row],[id]]&amp;Tabla14[[#This Row],[Resposable]]</f>
        <v>118Mynor Mijangos</v>
      </c>
      <c r="L1092" t="str">
        <f>Tabla14[[#This Row],[id]]&amp;Tabla14[[#This Row],[Resposable]]</f>
        <v>118Mynor Mijangos</v>
      </c>
      <c r="M1092" t="s">
        <v>29</v>
      </c>
    </row>
    <row r="1093" spans="1:13" x14ac:dyDescent="0.25">
      <c r="A1093" s="9" t="s">
        <v>317</v>
      </c>
      <c r="B1093" s="11">
        <v>118</v>
      </c>
      <c r="C1093" s="11" t="s">
        <v>6</v>
      </c>
      <c r="D1093" s="11" t="s">
        <v>171</v>
      </c>
      <c r="E1093" s="11" t="s">
        <v>47</v>
      </c>
      <c r="F1093" s="15" t="s">
        <v>60</v>
      </c>
      <c r="G1093" s="11" t="s">
        <v>239</v>
      </c>
      <c r="H1093" t="s">
        <v>29</v>
      </c>
      <c r="I1093" t="s">
        <v>393</v>
      </c>
      <c r="J1093" t="s">
        <v>361</v>
      </c>
      <c r="K1093" t="str">
        <f>Tabla14[[#This Row],[id]]&amp;Tabla14[[#This Row],[Resposable]]</f>
        <v>118Mynor Mijangos</v>
      </c>
      <c r="L1093" t="str">
        <f>Tabla14[[#This Row],[id]]&amp;Tabla14[[#This Row],[Resposable]]</f>
        <v>118Mynor Mijangos</v>
      </c>
      <c r="M1093" t="s">
        <v>29</v>
      </c>
    </row>
    <row r="1094" spans="1:13" x14ac:dyDescent="0.25">
      <c r="A1094" s="9" t="s">
        <v>317</v>
      </c>
      <c r="B1094" s="11">
        <v>118</v>
      </c>
      <c r="C1094" s="11" t="s">
        <v>6</v>
      </c>
      <c r="D1094" s="11" t="s">
        <v>172</v>
      </c>
      <c r="E1094" s="11" t="s">
        <v>47</v>
      </c>
      <c r="F1094" s="15" t="s">
        <v>150</v>
      </c>
      <c r="G1094" s="11" t="s">
        <v>239</v>
      </c>
      <c r="H1094" t="s">
        <v>29</v>
      </c>
      <c r="I1094" t="s">
        <v>393</v>
      </c>
      <c r="J1094" t="s">
        <v>361</v>
      </c>
      <c r="K1094" t="str">
        <f>Tabla14[[#This Row],[id]]&amp;Tabla14[[#This Row],[Resposable]]</f>
        <v>118Mynor Mijangos</v>
      </c>
      <c r="L1094" t="str">
        <f>Tabla14[[#This Row],[id]]&amp;Tabla14[[#This Row],[Resposable]]</f>
        <v>118Mynor Mijangos</v>
      </c>
      <c r="M1094" t="s">
        <v>29</v>
      </c>
    </row>
    <row r="1095" spans="1:13" x14ac:dyDescent="0.25">
      <c r="A1095" s="9" t="s">
        <v>317</v>
      </c>
      <c r="B1095" s="11">
        <v>118</v>
      </c>
      <c r="C1095" s="11" t="s">
        <v>7</v>
      </c>
      <c r="D1095" s="11" t="s">
        <v>173</v>
      </c>
      <c r="E1095" s="11" t="s">
        <v>47</v>
      </c>
      <c r="F1095" s="15" t="s">
        <v>71</v>
      </c>
      <c r="G1095" s="11" t="s">
        <v>239</v>
      </c>
      <c r="H1095" t="s">
        <v>29</v>
      </c>
      <c r="I1095" t="s">
        <v>393</v>
      </c>
      <c r="J1095" t="s">
        <v>363</v>
      </c>
      <c r="K1095" t="str">
        <f>Tabla14[[#This Row],[id]]&amp;Tabla14[[#This Row],[Resposable]]</f>
        <v>118Mynor Mijangos</v>
      </c>
      <c r="L1095" t="str">
        <f>Tabla14[[#This Row],[id]]&amp;Tabla14[[#This Row],[Resposable]]</f>
        <v>118Mynor Mijangos</v>
      </c>
      <c r="M1095" t="s">
        <v>29</v>
      </c>
    </row>
    <row r="1096" spans="1:13" x14ac:dyDescent="0.25">
      <c r="A1096" s="9" t="s">
        <v>318</v>
      </c>
      <c r="B1096" s="11">
        <v>119</v>
      </c>
      <c r="C1096" s="11" t="s">
        <v>6</v>
      </c>
      <c r="D1096" s="11" t="s">
        <v>170</v>
      </c>
      <c r="E1096" s="11" t="s">
        <v>47</v>
      </c>
      <c r="F1096" s="15" t="s">
        <v>60</v>
      </c>
      <c r="G1096" s="11" t="s">
        <v>239</v>
      </c>
      <c r="H1096" t="s">
        <v>29</v>
      </c>
      <c r="I1096" t="s">
        <v>393</v>
      </c>
      <c r="J1096" t="s">
        <v>361</v>
      </c>
      <c r="K1096" t="str">
        <f>Tabla14[[#This Row],[id]]&amp;Tabla14[[#This Row],[Resposable]]</f>
        <v>119Mynor Mijangos</v>
      </c>
      <c r="L1096" t="str">
        <f>Tabla14[[#This Row],[id]]&amp;Tabla14[[#This Row],[Resposable]]</f>
        <v>119Mynor Mijangos</v>
      </c>
      <c r="M1096" t="s">
        <v>29</v>
      </c>
    </row>
    <row r="1097" spans="1:13" x14ac:dyDescent="0.25">
      <c r="A1097" s="9" t="s">
        <v>318</v>
      </c>
      <c r="B1097" s="11">
        <v>119</v>
      </c>
      <c r="C1097" s="11" t="s">
        <v>6</v>
      </c>
      <c r="D1097" s="11" t="s">
        <v>171</v>
      </c>
      <c r="E1097" s="11" t="s">
        <v>47</v>
      </c>
      <c r="F1097" s="15" t="s">
        <v>60</v>
      </c>
      <c r="G1097" s="11" t="s">
        <v>239</v>
      </c>
      <c r="H1097" t="s">
        <v>29</v>
      </c>
      <c r="I1097" t="s">
        <v>393</v>
      </c>
      <c r="J1097" t="s">
        <v>361</v>
      </c>
      <c r="K1097" t="str">
        <f>Tabla14[[#This Row],[id]]&amp;Tabla14[[#This Row],[Resposable]]</f>
        <v>119Mynor Mijangos</v>
      </c>
      <c r="L1097" t="str">
        <f>Tabla14[[#This Row],[id]]&amp;Tabla14[[#This Row],[Resposable]]</f>
        <v>119Mynor Mijangos</v>
      </c>
      <c r="M1097" t="s">
        <v>29</v>
      </c>
    </row>
    <row r="1098" spans="1:13" x14ac:dyDescent="0.25">
      <c r="A1098" s="9" t="s">
        <v>318</v>
      </c>
      <c r="B1098" s="11">
        <v>119</v>
      </c>
      <c r="C1098" s="11" t="s">
        <v>6</v>
      </c>
      <c r="D1098" s="11" t="s">
        <v>172</v>
      </c>
      <c r="E1098" s="11" t="s">
        <v>47</v>
      </c>
      <c r="F1098" s="15" t="s">
        <v>150</v>
      </c>
      <c r="G1098" s="11" t="s">
        <v>239</v>
      </c>
      <c r="H1098" t="s">
        <v>29</v>
      </c>
      <c r="I1098" t="s">
        <v>393</v>
      </c>
      <c r="J1098" t="s">
        <v>361</v>
      </c>
      <c r="K1098" t="str">
        <f>Tabla14[[#This Row],[id]]&amp;Tabla14[[#This Row],[Resposable]]</f>
        <v>119Mynor Mijangos</v>
      </c>
      <c r="L1098" t="str">
        <f>Tabla14[[#This Row],[id]]&amp;Tabla14[[#This Row],[Resposable]]</f>
        <v>119Mynor Mijangos</v>
      </c>
      <c r="M1098" t="s">
        <v>29</v>
      </c>
    </row>
    <row r="1099" spans="1:13" x14ac:dyDescent="0.25">
      <c r="A1099" s="10" t="s">
        <v>318</v>
      </c>
      <c r="B1099" s="12">
        <v>119</v>
      </c>
      <c r="C1099" s="12" t="s">
        <v>7</v>
      </c>
      <c r="D1099" s="12" t="s">
        <v>173</v>
      </c>
      <c r="E1099" s="12" t="s">
        <v>47</v>
      </c>
      <c r="F1099" s="17" t="s">
        <v>71</v>
      </c>
      <c r="G1099" s="12" t="s">
        <v>239</v>
      </c>
      <c r="H1099" t="s">
        <v>29</v>
      </c>
      <c r="I1099" t="s">
        <v>393</v>
      </c>
      <c r="J1099" t="s">
        <v>363</v>
      </c>
      <c r="K1099" t="str">
        <f>Tabla14[[#This Row],[id]]&amp;Tabla14[[#This Row],[Resposable]]</f>
        <v>119Mynor Mijangos</v>
      </c>
      <c r="L1099" t="str">
        <f>Tabla14[[#This Row],[id]]&amp;Tabla14[[#This Row],[Resposable]]</f>
        <v>119Mynor Mijangos</v>
      </c>
      <c r="M1099" t="s">
        <v>29</v>
      </c>
    </row>
    <row r="1100" spans="1:13" x14ac:dyDescent="0.25">
      <c r="A1100" s="9" t="s">
        <v>319</v>
      </c>
      <c r="B1100" s="11">
        <v>120</v>
      </c>
      <c r="C1100" s="11" t="s">
        <v>6</v>
      </c>
      <c r="D1100" s="11" t="s">
        <v>170</v>
      </c>
      <c r="E1100" s="11" t="s">
        <v>47</v>
      </c>
      <c r="F1100" s="15" t="s">
        <v>60</v>
      </c>
      <c r="G1100" s="11" t="s">
        <v>239</v>
      </c>
      <c r="H1100" t="s">
        <v>29</v>
      </c>
      <c r="I1100" t="s">
        <v>393</v>
      </c>
      <c r="J1100" t="s">
        <v>361</v>
      </c>
      <c r="K1100" t="str">
        <f>Tabla14[[#This Row],[id]]&amp;Tabla14[[#This Row],[Resposable]]</f>
        <v>120Mynor Mijangos</v>
      </c>
      <c r="L1100" t="str">
        <f>Tabla14[[#This Row],[id]]&amp;Tabla14[[#This Row],[Resposable]]</f>
        <v>120Mynor Mijangos</v>
      </c>
      <c r="M1100" t="s">
        <v>29</v>
      </c>
    </row>
    <row r="1101" spans="1:13" x14ac:dyDescent="0.25">
      <c r="A1101" s="9" t="s">
        <v>319</v>
      </c>
      <c r="B1101" s="11">
        <v>120</v>
      </c>
      <c r="C1101" s="11" t="s">
        <v>6</v>
      </c>
      <c r="D1101" s="11" t="s">
        <v>171</v>
      </c>
      <c r="E1101" s="11" t="s">
        <v>47</v>
      </c>
      <c r="F1101" s="15" t="s">
        <v>60</v>
      </c>
      <c r="G1101" s="11" t="s">
        <v>239</v>
      </c>
      <c r="H1101" t="s">
        <v>29</v>
      </c>
      <c r="I1101" t="s">
        <v>393</v>
      </c>
      <c r="J1101" t="s">
        <v>361</v>
      </c>
      <c r="K1101" t="str">
        <f>Tabla14[[#This Row],[id]]&amp;Tabla14[[#This Row],[Resposable]]</f>
        <v>120Mynor Mijangos</v>
      </c>
      <c r="L1101" t="str">
        <f>Tabla14[[#This Row],[id]]&amp;Tabla14[[#This Row],[Resposable]]</f>
        <v>120Mynor Mijangos</v>
      </c>
      <c r="M1101" t="s">
        <v>29</v>
      </c>
    </row>
    <row r="1102" spans="1:13" x14ac:dyDescent="0.25">
      <c r="A1102" s="9" t="s">
        <v>319</v>
      </c>
      <c r="B1102" s="11">
        <v>120</v>
      </c>
      <c r="C1102" s="11" t="s">
        <v>6</v>
      </c>
      <c r="D1102" s="11" t="s">
        <v>172</v>
      </c>
      <c r="E1102" s="11" t="s">
        <v>47</v>
      </c>
      <c r="F1102" s="15" t="s">
        <v>150</v>
      </c>
      <c r="G1102" s="11" t="s">
        <v>239</v>
      </c>
      <c r="H1102" t="s">
        <v>29</v>
      </c>
      <c r="I1102" t="s">
        <v>393</v>
      </c>
      <c r="J1102" t="s">
        <v>361</v>
      </c>
      <c r="K1102" t="str">
        <f>Tabla14[[#This Row],[id]]&amp;Tabla14[[#This Row],[Resposable]]</f>
        <v>120Mynor Mijangos</v>
      </c>
      <c r="L1102" t="str">
        <f>Tabla14[[#This Row],[id]]&amp;Tabla14[[#This Row],[Resposable]]</f>
        <v>120Mynor Mijangos</v>
      </c>
      <c r="M1102" t="s">
        <v>29</v>
      </c>
    </row>
    <row r="1103" spans="1:13" x14ac:dyDescent="0.25">
      <c r="A1103" s="9" t="s">
        <v>319</v>
      </c>
      <c r="B1103" s="11">
        <v>120</v>
      </c>
      <c r="C1103" s="11" t="s">
        <v>7</v>
      </c>
      <c r="D1103" s="11" t="s">
        <v>173</v>
      </c>
      <c r="E1103" s="11" t="s">
        <v>47</v>
      </c>
      <c r="F1103" s="15" t="s">
        <v>71</v>
      </c>
      <c r="G1103" s="11" t="s">
        <v>239</v>
      </c>
      <c r="H1103" t="s">
        <v>29</v>
      </c>
      <c r="I1103" t="s">
        <v>393</v>
      </c>
      <c r="J1103" t="s">
        <v>363</v>
      </c>
      <c r="K1103" t="str">
        <f>Tabla14[[#This Row],[id]]&amp;Tabla14[[#This Row],[Resposable]]</f>
        <v>120Mynor Mijangos</v>
      </c>
      <c r="L1103" t="str">
        <f>Tabla14[[#This Row],[id]]&amp;Tabla14[[#This Row],[Resposable]]</f>
        <v>120Mynor Mijangos</v>
      </c>
      <c r="M1103" t="s">
        <v>29</v>
      </c>
    </row>
    <row r="1104" spans="1:13" x14ac:dyDescent="0.25">
      <c r="A1104" s="9" t="s">
        <v>320</v>
      </c>
      <c r="B1104" s="11">
        <v>121</v>
      </c>
      <c r="C1104" s="11" t="s">
        <v>6</v>
      </c>
      <c r="D1104" s="11" t="s">
        <v>170</v>
      </c>
      <c r="E1104" s="11" t="s">
        <v>47</v>
      </c>
      <c r="F1104" s="15" t="s">
        <v>60</v>
      </c>
      <c r="G1104" s="11" t="s">
        <v>239</v>
      </c>
      <c r="H1104" t="s">
        <v>29</v>
      </c>
      <c r="I1104" t="s">
        <v>393</v>
      </c>
      <c r="J1104" t="s">
        <v>361</v>
      </c>
      <c r="K1104" t="str">
        <f>Tabla14[[#This Row],[id]]&amp;Tabla14[[#This Row],[Resposable]]</f>
        <v>121Mynor Mijangos</v>
      </c>
      <c r="L1104" t="str">
        <f>Tabla14[[#This Row],[id]]&amp;Tabla14[[#This Row],[Resposable]]</f>
        <v>121Mynor Mijangos</v>
      </c>
      <c r="M1104" t="s">
        <v>29</v>
      </c>
    </row>
    <row r="1105" spans="1:13" x14ac:dyDescent="0.25">
      <c r="A1105" s="9" t="s">
        <v>320</v>
      </c>
      <c r="B1105" s="11">
        <v>121</v>
      </c>
      <c r="C1105" s="11" t="s">
        <v>6</v>
      </c>
      <c r="D1105" s="11" t="s">
        <v>171</v>
      </c>
      <c r="E1105" s="11" t="s">
        <v>47</v>
      </c>
      <c r="F1105" s="15" t="s">
        <v>60</v>
      </c>
      <c r="G1105" s="11" t="s">
        <v>239</v>
      </c>
      <c r="H1105" t="s">
        <v>29</v>
      </c>
      <c r="I1105" t="s">
        <v>393</v>
      </c>
      <c r="J1105" t="s">
        <v>361</v>
      </c>
      <c r="K1105" t="str">
        <f>Tabla14[[#This Row],[id]]&amp;Tabla14[[#This Row],[Resposable]]</f>
        <v>121Mynor Mijangos</v>
      </c>
      <c r="L1105" t="str">
        <f>Tabla14[[#This Row],[id]]&amp;Tabla14[[#This Row],[Resposable]]</f>
        <v>121Mynor Mijangos</v>
      </c>
      <c r="M1105" t="s">
        <v>29</v>
      </c>
    </row>
    <row r="1106" spans="1:13" x14ac:dyDescent="0.25">
      <c r="A1106" s="9" t="s">
        <v>320</v>
      </c>
      <c r="B1106" s="11">
        <v>121</v>
      </c>
      <c r="C1106" s="11" t="s">
        <v>6</v>
      </c>
      <c r="D1106" s="11" t="s">
        <v>172</v>
      </c>
      <c r="E1106" s="11" t="s">
        <v>47</v>
      </c>
      <c r="F1106" s="15" t="s">
        <v>150</v>
      </c>
      <c r="G1106" s="11" t="s">
        <v>239</v>
      </c>
      <c r="H1106" t="s">
        <v>29</v>
      </c>
      <c r="I1106" t="s">
        <v>393</v>
      </c>
      <c r="J1106" t="s">
        <v>361</v>
      </c>
      <c r="K1106" t="str">
        <f>Tabla14[[#This Row],[id]]&amp;Tabla14[[#This Row],[Resposable]]</f>
        <v>121Mynor Mijangos</v>
      </c>
      <c r="L1106" t="str">
        <f>Tabla14[[#This Row],[id]]&amp;Tabla14[[#This Row],[Resposable]]</f>
        <v>121Mynor Mijangos</v>
      </c>
      <c r="M1106" t="s">
        <v>29</v>
      </c>
    </row>
    <row r="1107" spans="1:13" x14ac:dyDescent="0.25">
      <c r="A1107" s="9" t="s">
        <v>320</v>
      </c>
      <c r="B1107" s="11">
        <v>121</v>
      </c>
      <c r="C1107" s="11" t="s">
        <v>7</v>
      </c>
      <c r="D1107" s="11" t="s">
        <v>173</v>
      </c>
      <c r="E1107" s="11" t="s">
        <v>47</v>
      </c>
      <c r="F1107" s="15" t="s">
        <v>71</v>
      </c>
      <c r="G1107" s="11" t="s">
        <v>239</v>
      </c>
      <c r="H1107" t="s">
        <v>29</v>
      </c>
      <c r="I1107" t="s">
        <v>393</v>
      </c>
      <c r="J1107" t="s">
        <v>363</v>
      </c>
      <c r="K1107" t="str">
        <f>Tabla14[[#This Row],[id]]&amp;Tabla14[[#This Row],[Resposable]]</f>
        <v>121Mynor Mijangos</v>
      </c>
      <c r="L1107" t="str">
        <f>Tabla14[[#This Row],[id]]&amp;Tabla14[[#This Row],[Resposable]]</f>
        <v>121Mynor Mijangos</v>
      </c>
      <c r="M1107" t="s">
        <v>29</v>
      </c>
    </row>
    <row r="1108" spans="1:13" x14ac:dyDescent="0.25">
      <c r="A1108" s="9" t="s">
        <v>321</v>
      </c>
      <c r="B1108" s="11">
        <v>122</v>
      </c>
      <c r="C1108" s="11" t="s">
        <v>6</v>
      </c>
      <c r="D1108" s="11" t="s">
        <v>170</v>
      </c>
      <c r="E1108" s="11" t="s">
        <v>47</v>
      </c>
      <c r="F1108" s="15" t="s">
        <v>60</v>
      </c>
      <c r="G1108" s="11" t="s">
        <v>239</v>
      </c>
      <c r="H1108" t="s">
        <v>29</v>
      </c>
      <c r="I1108" t="s">
        <v>393</v>
      </c>
      <c r="J1108" t="s">
        <v>361</v>
      </c>
      <c r="K1108" t="str">
        <f>Tabla14[[#This Row],[id]]&amp;Tabla14[[#This Row],[Resposable]]</f>
        <v>122Mynor Mijangos</v>
      </c>
      <c r="L1108" t="str">
        <f>Tabla14[[#This Row],[id]]&amp;Tabla14[[#This Row],[Resposable]]</f>
        <v>122Mynor Mijangos</v>
      </c>
      <c r="M1108" t="s">
        <v>29</v>
      </c>
    </row>
    <row r="1109" spans="1:13" x14ac:dyDescent="0.25">
      <c r="A1109" s="9" t="s">
        <v>321</v>
      </c>
      <c r="B1109" s="11">
        <v>122</v>
      </c>
      <c r="C1109" s="11" t="s">
        <v>6</v>
      </c>
      <c r="D1109" s="11" t="s">
        <v>171</v>
      </c>
      <c r="E1109" s="11" t="s">
        <v>47</v>
      </c>
      <c r="F1109" s="15" t="s">
        <v>60</v>
      </c>
      <c r="G1109" s="11" t="s">
        <v>239</v>
      </c>
      <c r="H1109" t="s">
        <v>29</v>
      </c>
      <c r="I1109" t="s">
        <v>393</v>
      </c>
      <c r="J1109" t="s">
        <v>361</v>
      </c>
      <c r="K1109" t="str">
        <f>Tabla14[[#This Row],[id]]&amp;Tabla14[[#This Row],[Resposable]]</f>
        <v>122Mynor Mijangos</v>
      </c>
      <c r="L1109" t="str">
        <f>Tabla14[[#This Row],[id]]&amp;Tabla14[[#This Row],[Resposable]]</f>
        <v>122Mynor Mijangos</v>
      </c>
      <c r="M1109" t="s">
        <v>29</v>
      </c>
    </row>
    <row r="1110" spans="1:13" x14ac:dyDescent="0.25">
      <c r="A1110" s="9" t="s">
        <v>321</v>
      </c>
      <c r="B1110" s="11">
        <v>122</v>
      </c>
      <c r="C1110" s="11" t="s">
        <v>6</v>
      </c>
      <c r="D1110" s="11" t="s">
        <v>172</v>
      </c>
      <c r="E1110" s="11" t="s">
        <v>47</v>
      </c>
      <c r="F1110" s="15" t="s">
        <v>150</v>
      </c>
      <c r="G1110" s="11" t="s">
        <v>239</v>
      </c>
      <c r="H1110" t="s">
        <v>29</v>
      </c>
      <c r="I1110" t="s">
        <v>393</v>
      </c>
      <c r="J1110" t="s">
        <v>361</v>
      </c>
      <c r="K1110" t="str">
        <f>Tabla14[[#This Row],[id]]&amp;Tabla14[[#This Row],[Resposable]]</f>
        <v>122Mynor Mijangos</v>
      </c>
      <c r="L1110" t="str">
        <f>Tabla14[[#This Row],[id]]&amp;Tabla14[[#This Row],[Resposable]]</f>
        <v>122Mynor Mijangos</v>
      </c>
      <c r="M1110" t="s">
        <v>29</v>
      </c>
    </row>
    <row r="1111" spans="1:13" x14ac:dyDescent="0.25">
      <c r="A1111" s="9" t="s">
        <v>321</v>
      </c>
      <c r="B1111" s="11">
        <v>122</v>
      </c>
      <c r="C1111" s="11" t="s">
        <v>7</v>
      </c>
      <c r="D1111" s="11" t="s">
        <v>173</v>
      </c>
      <c r="E1111" s="11" t="s">
        <v>47</v>
      </c>
      <c r="F1111" s="15" t="s">
        <v>71</v>
      </c>
      <c r="G1111" s="11" t="s">
        <v>239</v>
      </c>
      <c r="H1111" t="s">
        <v>29</v>
      </c>
      <c r="I1111" t="s">
        <v>393</v>
      </c>
      <c r="J1111" t="s">
        <v>363</v>
      </c>
      <c r="K1111" t="str">
        <f>Tabla14[[#This Row],[id]]&amp;Tabla14[[#This Row],[Resposable]]</f>
        <v>122Mynor Mijangos</v>
      </c>
      <c r="L1111" t="str">
        <f>Tabla14[[#This Row],[id]]&amp;Tabla14[[#This Row],[Resposable]]</f>
        <v>122Mynor Mijangos</v>
      </c>
      <c r="M1111" t="s">
        <v>29</v>
      </c>
    </row>
    <row r="1112" spans="1:13" x14ac:dyDescent="0.25">
      <c r="A1112" s="9" t="s">
        <v>245</v>
      </c>
      <c r="B1112" s="11">
        <v>2</v>
      </c>
      <c r="C1112" s="11" t="s">
        <v>6</v>
      </c>
      <c r="D1112" s="11" t="s">
        <v>49</v>
      </c>
      <c r="E1112" s="11" t="s">
        <v>47</v>
      </c>
      <c r="F1112" s="15" t="s">
        <v>50</v>
      </c>
      <c r="G1112" s="11" t="s">
        <v>239</v>
      </c>
      <c r="H1112" t="s">
        <v>241</v>
      </c>
      <c r="I1112" t="s">
        <v>385</v>
      </c>
      <c r="J1112" t="s">
        <v>361</v>
      </c>
      <c r="K1112" t="str">
        <f>Tabla14[[#This Row],[id]]&amp;Tabla14[[#This Row],[Resposable]]</f>
        <v>2Otto Lopez</v>
      </c>
      <c r="L1112" t="str">
        <f>Tabla14[[#This Row],[id]]&amp;Tabla14[[#This Row],[Resposable]]</f>
        <v>2Otto Lopez</v>
      </c>
      <c r="M1112" t="s">
        <v>241</v>
      </c>
    </row>
    <row r="1113" spans="1:13" x14ac:dyDescent="0.25">
      <c r="A1113" s="9" t="s">
        <v>246</v>
      </c>
      <c r="B1113" s="11">
        <v>7</v>
      </c>
      <c r="C1113" s="12" t="s">
        <v>6</v>
      </c>
      <c r="D1113" s="12" t="s">
        <v>59</v>
      </c>
      <c r="E1113" s="12" t="s">
        <v>47</v>
      </c>
      <c r="F1113" s="17" t="s">
        <v>60</v>
      </c>
      <c r="G1113" s="12" t="s">
        <v>239</v>
      </c>
      <c r="H1113" t="s">
        <v>241</v>
      </c>
      <c r="I1113" t="s">
        <v>385</v>
      </c>
      <c r="J1113" t="s">
        <v>367</v>
      </c>
      <c r="K1113" t="str">
        <f>Tabla14[[#This Row],[id]]&amp;Tabla14[[#This Row],[Resposable]]</f>
        <v>7Otto Lopez</v>
      </c>
      <c r="L1113" t="str">
        <f>Tabla14[[#This Row],[id]]&amp;Tabla14[[#This Row],[Resposable]]</f>
        <v>7Otto Lopez</v>
      </c>
      <c r="M1113" t="s">
        <v>241</v>
      </c>
    </row>
    <row r="1114" spans="1:13" x14ac:dyDescent="0.25">
      <c r="A1114" s="18" t="s">
        <v>24</v>
      </c>
      <c r="B1114" s="18">
        <v>104</v>
      </c>
      <c r="C1114" s="18" t="s">
        <v>6</v>
      </c>
      <c r="D1114" s="18" t="s">
        <v>136</v>
      </c>
      <c r="E1114" s="12" t="s">
        <v>47</v>
      </c>
      <c r="F1114" s="19" t="s">
        <v>60</v>
      </c>
      <c r="G1114" s="12" t="s">
        <v>239</v>
      </c>
      <c r="H1114" t="s">
        <v>241</v>
      </c>
      <c r="I1114" t="s">
        <v>385</v>
      </c>
      <c r="J1114" t="s">
        <v>361</v>
      </c>
      <c r="K1114" t="str">
        <f>Tabla14[[#This Row],[id]]&amp;Tabla14[[#This Row],[Resposable]]</f>
        <v>104Otto Lopez</v>
      </c>
      <c r="L1114" t="str">
        <f>Tabla14[[#This Row],[id]]&amp;Tabla14[[#This Row],[Resposable]]</f>
        <v>104Otto Lopez</v>
      </c>
      <c r="M1114" t="s">
        <v>241</v>
      </c>
    </row>
    <row r="1115" spans="1:13" x14ac:dyDescent="0.25">
      <c r="A1115" s="18" t="s">
        <v>24</v>
      </c>
      <c r="B1115" s="18">
        <v>104</v>
      </c>
      <c r="C1115" s="18" t="s">
        <v>6</v>
      </c>
      <c r="D1115" s="18" t="s">
        <v>139</v>
      </c>
      <c r="E1115" s="12" t="s">
        <v>47</v>
      </c>
      <c r="F1115" s="19" t="s">
        <v>60</v>
      </c>
      <c r="G1115" s="12" t="s">
        <v>239</v>
      </c>
      <c r="H1115" t="s">
        <v>241</v>
      </c>
      <c r="I1115" t="s">
        <v>385</v>
      </c>
      <c r="J1115" t="s">
        <v>361</v>
      </c>
      <c r="K1115" t="str">
        <f>Tabla14[[#This Row],[id]]&amp;Tabla14[[#This Row],[Resposable]]</f>
        <v>104Otto Lopez</v>
      </c>
      <c r="L1115" t="str">
        <f>Tabla14[[#This Row],[id]]&amp;Tabla14[[#This Row],[Resposable]]</f>
        <v>104Otto Lopez</v>
      </c>
      <c r="M1115" t="s">
        <v>241</v>
      </c>
    </row>
    <row r="1116" spans="1:13" x14ac:dyDescent="0.25">
      <c r="A1116" s="18" t="s">
        <v>24</v>
      </c>
      <c r="B1116" s="18">
        <v>104</v>
      </c>
      <c r="C1116" s="18" t="s">
        <v>6</v>
      </c>
      <c r="D1116" s="18" t="s">
        <v>372</v>
      </c>
      <c r="E1116" s="12" t="s">
        <v>47</v>
      </c>
      <c r="F1116" s="19" t="s">
        <v>60</v>
      </c>
      <c r="G1116" s="12" t="s">
        <v>239</v>
      </c>
      <c r="H1116" t="s">
        <v>241</v>
      </c>
      <c r="I1116" t="s">
        <v>385</v>
      </c>
      <c r="J1116" t="s">
        <v>361</v>
      </c>
      <c r="K1116" t="str">
        <f>Tabla14[[#This Row],[id]]&amp;Tabla14[[#This Row],[Resposable]]</f>
        <v>104Otto Lopez</v>
      </c>
      <c r="L1116" t="str">
        <f>Tabla14[[#This Row],[id]]&amp;Tabla14[[#This Row],[Resposable]]</f>
        <v>104Otto Lopez</v>
      </c>
      <c r="M1116" t="s">
        <v>241</v>
      </c>
    </row>
    <row r="1117" spans="1:13" x14ac:dyDescent="0.25">
      <c r="A1117" s="18" t="s">
        <v>27</v>
      </c>
      <c r="B1117" s="18">
        <v>109</v>
      </c>
      <c r="C1117" s="18" t="s">
        <v>6</v>
      </c>
      <c r="D1117" s="18" t="s">
        <v>162</v>
      </c>
      <c r="E1117" s="12" t="s">
        <v>47</v>
      </c>
      <c r="F1117" s="19" t="s">
        <v>50</v>
      </c>
      <c r="G1117" s="12" t="s">
        <v>239</v>
      </c>
      <c r="H1117" t="s">
        <v>241</v>
      </c>
      <c r="I1117" t="s">
        <v>385</v>
      </c>
      <c r="J1117" t="s">
        <v>361</v>
      </c>
      <c r="K1117" t="str">
        <f>Tabla14[[#This Row],[id]]&amp;Tabla14[[#This Row],[Resposable]]</f>
        <v>109Otto Lopez</v>
      </c>
      <c r="L1117" t="str">
        <f>Tabla14[[#This Row],[id]]&amp;Tabla14[[#This Row],[Resposable]]</f>
        <v>109Otto Lopez</v>
      </c>
      <c r="M1117" t="s">
        <v>241</v>
      </c>
    </row>
    <row r="1118" spans="1:13" x14ac:dyDescent="0.25">
      <c r="A1118" s="18" t="s">
        <v>27</v>
      </c>
      <c r="B1118" s="18">
        <v>109</v>
      </c>
      <c r="C1118" s="18" t="s">
        <v>6</v>
      </c>
      <c r="D1118" s="18" t="s">
        <v>163</v>
      </c>
      <c r="E1118" s="12" t="s">
        <v>47</v>
      </c>
      <c r="F1118" s="19" t="s">
        <v>50</v>
      </c>
      <c r="G1118" s="12" t="s">
        <v>239</v>
      </c>
      <c r="H1118" t="s">
        <v>241</v>
      </c>
      <c r="I1118" t="s">
        <v>385</v>
      </c>
      <c r="J1118" t="s">
        <v>361</v>
      </c>
      <c r="K1118" t="str">
        <f>Tabla14[[#This Row],[id]]&amp;Tabla14[[#This Row],[Resposable]]</f>
        <v>109Otto Lopez</v>
      </c>
      <c r="L1118" t="str">
        <f>Tabla14[[#This Row],[id]]&amp;Tabla14[[#This Row],[Resposable]]</f>
        <v>109Otto Lopez</v>
      </c>
      <c r="M1118" t="s">
        <v>241</v>
      </c>
    </row>
    <row r="1119" spans="1:13" x14ac:dyDescent="0.25">
      <c r="A1119" s="18" t="s">
        <v>245</v>
      </c>
      <c r="B1119" s="18">
        <v>4</v>
      </c>
      <c r="C1119" s="18" t="s">
        <v>6</v>
      </c>
      <c r="D1119" s="18" t="s">
        <v>49</v>
      </c>
      <c r="E1119" s="12" t="s">
        <v>47</v>
      </c>
      <c r="F1119" s="19" t="s">
        <v>50</v>
      </c>
      <c r="G1119" s="12" t="s">
        <v>239</v>
      </c>
      <c r="H1119" t="s">
        <v>252</v>
      </c>
      <c r="I1119" t="s">
        <v>398</v>
      </c>
      <c r="J1119" t="s">
        <v>361</v>
      </c>
      <c r="K1119" t="str">
        <f>Tabla14[[#This Row],[id]]&amp;Tabla14[[#This Row],[Resposable]]</f>
        <v>4Pablo Tuche</v>
      </c>
      <c r="L1119" t="str">
        <f>Tabla14[[#This Row],[id]]&amp;Tabla14[[#This Row],[Resposable]]</f>
        <v>4Pablo Tuche</v>
      </c>
      <c r="M1119" t="s">
        <v>252</v>
      </c>
    </row>
    <row r="1120" spans="1:13" x14ac:dyDescent="0.25">
      <c r="A1120" s="18" t="s">
        <v>10</v>
      </c>
      <c r="B1120" s="18">
        <v>19</v>
      </c>
      <c r="C1120" s="18" t="s">
        <v>6</v>
      </c>
      <c r="D1120" s="18" t="s">
        <v>67</v>
      </c>
      <c r="E1120" s="12" t="s">
        <v>47</v>
      </c>
      <c r="F1120" s="19" t="s">
        <v>50</v>
      </c>
      <c r="G1120" s="12" t="s">
        <v>239</v>
      </c>
      <c r="H1120" t="s">
        <v>252</v>
      </c>
      <c r="I1120" t="s">
        <v>398</v>
      </c>
      <c r="J1120" t="s">
        <v>367</v>
      </c>
      <c r="K1120" t="str">
        <f>Tabla14[[#This Row],[id]]&amp;Tabla14[[#This Row],[Resposable]]</f>
        <v>19Pablo Tuche</v>
      </c>
      <c r="L1120" t="str">
        <f>Tabla14[[#This Row],[id]]&amp;Tabla14[[#This Row],[Resposable]]</f>
        <v>19Pablo Tuche</v>
      </c>
      <c r="M1120" t="s">
        <v>252</v>
      </c>
    </row>
    <row r="1121" spans="1:13" x14ac:dyDescent="0.25">
      <c r="A1121" s="18" t="s">
        <v>10</v>
      </c>
      <c r="B1121" s="18">
        <v>19</v>
      </c>
      <c r="C1121" s="18" t="s">
        <v>6</v>
      </c>
      <c r="D1121" s="18" t="s">
        <v>68</v>
      </c>
      <c r="E1121" s="12" t="s">
        <v>47</v>
      </c>
      <c r="F1121" s="19" t="s">
        <v>50</v>
      </c>
      <c r="G1121" s="12" t="s">
        <v>239</v>
      </c>
      <c r="H1121" t="s">
        <v>252</v>
      </c>
      <c r="I1121" t="s">
        <v>398</v>
      </c>
      <c r="J1121" t="s">
        <v>367</v>
      </c>
      <c r="K1121" t="str">
        <f>Tabla14[[#This Row],[id]]&amp;Tabla14[[#This Row],[Resposable]]</f>
        <v>19Pablo Tuche</v>
      </c>
      <c r="L1121" t="str">
        <f>Tabla14[[#This Row],[id]]&amp;Tabla14[[#This Row],[Resposable]]</f>
        <v>19Pablo Tuche</v>
      </c>
      <c r="M1121" t="s">
        <v>252</v>
      </c>
    </row>
    <row r="1122" spans="1:13" x14ac:dyDescent="0.25">
      <c r="A1122" s="18" t="s">
        <v>10</v>
      </c>
      <c r="B1122" s="18">
        <v>19</v>
      </c>
      <c r="C1122" s="18" t="s">
        <v>7</v>
      </c>
      <c r="D1122" s="18" t="s">
        <v>69</v>
      </c>
      <c r="E1122" s="12" t="s">
        <v>47</v>
      </c>
      <c r="F1122" s="19" t="s">
        <v>58</v>
      </c>
      <c r="G1122" s="12" t="s">
        <v>239</v>
      </c>
      <c r="H1122" t="s">
        <v>252</v>
      </c>
      <c r="I1122" t="s">
        <v>398</v>
      </c>
      <c r="J1122" t="s">
        <v>367</v>
      </c>
      <c r="K1122" t="str">
        <f>Tabla14[[#This Row],[id]]&amp;Tabla14[[#This Row],[Resposable]]</f>
        <v>19Pablo Tuche</v>
      </c>
      <c r="L1122" t="str">
        <f>Tabla14[[#This Row],[id]]&amp;Tabla14[[#This Row],[Resposable]]</f>
        <v>19Pablo Tuche</v>
      </c>
      <c r="M1122" t="s">
        <v>252</v>
      </c>
    </row>
    <row r="1123" spans="1:13" x14ac:dyDescent="0.25">
      <c r="A1123" t="s">
        <v>10</v>
      </c>
      <c r="B1123">
        <v>19</v>
      </c>
      <c r="C1123" t="s">
        <v>8</v>
      </c>
      <c r="D1123" t="s">
        <v>70</v>
      </c>
      <c r="E1123" s="12" t="s">
        <v>47</v>
      </c>
      <c r="F1123" s="4" t="s">
        <v>48</v>
      </c>
      <c r="G1123" s="12" t="s">
        <v>239</v>
      </c>
      <c r="H1123" t="s">
        <v>252</v>
      </c>
      <c r="I1123" t="s">
        <v>398</v>
      </c>
      <c r="J1123" t="s">
        <v>367</v>
      </c>
      <c r="K1123" t="str">
        <f>Tabla14[[#This Row],[id]]&amp;Tabla14[[#This Row],[Resposable]]</f>
        <v>19Pablo Tuche</v>
      </c>
      <c r="L1123" t="str">
        <f>Tabla14[[#This Row],[id]]&amp;Tabla14[[#This Row],[Resposable]]</f>
        <v>19Pablo Tuche</v>
      </c>
      <c r="M1123" t="s">
        <v>252</v>
      </c>
    </row>
    <row r="1124" spans="1:13" x14ac:dyDescent="0.25">
      <c r="A1124" s="18" t="s">
        <v>16</v>
      </c>
      <c r="B1124" s="18">
        <v>47</v>
      </c>
      <c r="C1124" s="18" t="s">
        <v>13</v>
      </c>
      <c r="D1124" s="18" t="s">
        <v>84</v>
      </c>
      <c r="E1124" s="12" t="s">
        <v>47</v>
      </c>
      <c r="F1124" s="19" t="s">
        <v>77</v>
      </c>
      <c r="G1124" s="12" t="s">
        <v>239</v>
      </c>
      <c r="H1124" t="s">
        <v>252</v>
      </c>
      <c r="I1124" t="s">
        <v>398</v>
      </c>
      <c r="J1124" t="s">
        <v>361</v>
      </c>
      <c r="K1124" t="str">
        <f>Tabla14[[#This Row],[id]]&amp;Tabla14[[#This Row],[Resposable]]</f>
        <v>47Pablo Tuche</v>
      </c>
      <c r="L1124" t="str">
        <f>Tabla14[[#This Row],[id]]&amp;Tabla14[[#This Row],[Resposable]]</f>
        <v>47Pablo Tuche</v>
      </c>
      <c r="M1124" t="s">
        <v>252</v>
      </c>
    </row>
    <row r="1125" spans="1:13" x14ac:dyDescent="0.25">
      <c r="A1125" s="18" t="s">
        <v>16</v>
      </c>
      <c r="B1125" s="18">
        <v>47</v>
      </c>
      <c r="C1125" s="18" t="s">
        <v>13</v>
      </c>
      <c r="D1125" s="18" t="s">
        <v>85</v>
      </c>
      <c r="E1125" s="12" t="s">
        <v>54</v>
      </c>
      <c r="F1125" s="19" t="s">
        <v>71</v>
      </c>
      <c r="G1125" s="12" t="s">
        <v>239</v>
      </c>
      <c r="H1125" t="s">
        <v>252</v>
      </c>
      <c r="I1125" t="s">
        <v>398</v>
      </c>
      <c r="J1125" t="s">
        <v>361</v>
      </c>
      <c r="K1125" t="str">
        <f>Tabla14[[#This Row],[id]]&amp;Tabla14[[#This Row],[Resposable]]</f>
        <v>47Pablo Tuche</v>
      </c>
      <c r="L1125" t="str">
        <f>Tabla14[[#This Row],[id]]&amp;Tabla14[[#This Row],[Resposable]]</f>
        <v>47Pablo Tuche</v>
      </c>
      <c r="M1125" t="s">
        <v>252</v>
      </c>
    </row>
    <row r="1126" spans="1:13" x14ac:dyDescent="0.25">
      <c r="A1126" s="18" t="s">
        <v>16</v>
      </c>
      <c r="B1126" s="18">
        <v>47</v>
      </c>
      <c r="C1126" s="18" t="s">
        <v>13</v>
      </c>
      <c r="D1126" s="18" t="s">
        <v>86</v>
      </c>
      <c r="E1126" s="12" t="s">
        <v>54</v>
      </c>
      <c r="F1126" s="19" t="s">
        <v>71</v>
      </c>
      <c r="G1126" s="12" t="s">
        <v>239</v>
      </c>
      <c r="H1126" t="s">
        <v>252</v>
      </c>
      <c r="I1126" t="s">
        <v>398</v>
      </c>
      <c r="J1126" t="s">
        <v>361</v>
      </c>
      <c r="K1126" t="str">
        <f>Tabla14[[#This Row],[id]]&amp;Tabla14[[#This Row],[Resposable]]</f>
        <v>47Pablo Tuche</v>
      </c>
      <c r="L1126" t="str">
        <f>Tabla14[[#This Row],[id]]&amp;Tabla14[[#This Row],[Resposable]]</f>
        <v>47Pablo Tuche</v>
      </c>
      <c r="M1126" t="s">
        <v>252</v>
      </c>
    </row>
    <row r="1127" spans="1:13" x14ac:dyDescent="0.25">
      <c r="A1127" t="s">
        <v>310</v>
      </c>
      <c r="B1127">
        <v>79</v>
      </c>
      <c r="C1127" t="s">
        <v>6</v>
      </c>
      <c r="D1127" t="s">
        <v>106</v>
      </c>
      <c r="E1127" s="12" t="s">
        <v>47</v>
      </c>
      <c r="F1127" s="4" t="s">
        <v>50</v>
      </c>
      <c r="G1127" s="12" t="s">
        <v>239</v>
      </c>
      <c r="H1127" t="s">
        <v>252</v>
      </c>
      <c r="I1127" t="s">
        <v>398</v>
      </c>
      <c r="J1127" t="s">
        <v>361</v>
      </c>
      <c r="K1127" t="str">
        <f>Tabla14[[#This Row],[id]]&amp;Tabla14[[#This Row],[Resposable]]</f>
        <v>79Pablo Tuche</v>
      </c>
      <c r="L1127" t="str">
        <f>Tabla14[[#This Row],[id]]&amp;Tabla14[[#This Row],[Resposable]]</f>
        <v>79Pablo Tuche</v>
      </c>
      <c r="M1127" t="s">
        <v>252</v>
      </c>
    </row>
    <row r="1128" spans="1:13" x14ac:dyDescent="0.25">
      <c r="A1128" t="s">
        <v>24</v>
      </c>
      <c r="B1128">
        <v>106</v>
      </c>
      <c r="C1128" t="s">
        <v>6</v>
      </c>
      <c r="D1128" t="s">
        <v>136</v>
      </c>
      <c r="E1128" s="12" t="s">
        <v>47</v>
      </c>
      <c r="F1128" s="4" t="s">
        <v>60</v>
      </c>
      <c r="G1128" s="12" t="s">
        <v>239</v>
      </c>
      <c r="H1128" t="s">
        <v>252</v>
      </c>
      <c r="I1128" t="s">
        <v>398</v>
      </c>
      <c r="J1128" t="s">
        <v>361</v>
      </c>
      <c r="K1128" t="str">
        <f>Tabla14[[#This Row],[id]]&amp;Tabla14[[#This Row],[Resposable]]</f>
        <v>106Pablo Tuche</v>
      </c>
      <c r="L1128" t="str">
        <f>Tabla14[[#This Row],[id]]&amp;Tabla14[[#This Row],[Resposable]]</f>
        <v>106Pablo Tuche</v>
      </c>
      <c r="M1128" t="s">
        <v>252</v>
      </c>
    </row>
    <row r="1129" spans="1:13" x14ac:dyDescent="0.25">
      <c r="A1129" t="s">
        <v>24</v>
      </c>
      <c r="B1129">
        <v>106</v>
      </c>
      <c r="C1129" t="s">
        <v>6</v>
      </c>
      <c r="D1129" t="s">
        <v>139</v>
      </c>
      <c r="E1129" s="12" t="s">
        <v>47</v>
      </c>
      <c r="F1129" s="4" t="s">
        <v>60</v>
      </c>
      <c r="G1129" s="12" t="s">
        <v>239</v>
      </c>
      <c r="H1129" t="s">
        <v>252</v>
      </c>
      <c r="I1129" t="s">
        <v>398</v>
      </c>
      <c r="J1129" t="s">
        <v>361</v>
      </c>
      <c r="K1129" t="str">
        <f>Tabla14[[#This Row],[id]]&amp;Tabla14[[#This Row],[Resposable]]</f>
        <v>106Pablo Tuche</v>
      </c>
      <c r="L1129" t="str">
        <f>Tabla14[[#This Row],[id]]&amp;Tabla14[[#This Row],[Resposable]]</f>
        <v>106Pablo Tuche</v>
      </c>
      <c r="M1129" t="s">
        <v>252</v>
      </c>
    </row>
    <row r="1130" spans="1:13" x14ac:dyDescent="0.25">
      <c r="A1130" t="s">
        <v>24</v>
      </c>
      <c r="B1130">
        <v>106</v>
      </c>
      <c r="C1130" t="s">
        <v>6</v>
      </c>
      <c r="D1130" t="s">
        <v>372</v>
      </c>
      <c r="E1130" s="12" t="s">
        <v>47</v>
      </c>
      <c r="F1130" s="4" t="s">
        <v>60</v>
      </c>
      <c r="G1130" s="12" t="s">
        <v>239</v>
      </c>
      <c r="H1130" t="s">
        <v>252</v>
      </c>
      <c r="I1130" t="s">
        <v>398</v>
      </c>
      <c r="J1130" t="s">
        <v>361</v>
      </c>
      <c r="K1130" t="str">
        <f>Tabla14[[#This Row],[id]]&amp;Tabla14[[#This Row],[Resposable]]</f>
        <v>106Pablo Tuche</v>
      </c>
      <c r="L1130" t="str">
        <f>Tabla14[[#This Row],[id]]&amp;Tabla14[[#This Row],[Resposable]]</f>
        <v>106Pablo Tuche</v>
      </c>
      <c r="M1130" t="s">
        <v>252</v>
      </c>
    </row>
    <row r="1131" spans="1:13" x14ac:dyDescent="0.25">
      <c r="A1131" t="s">
        <v>27</v>
      </c>
      <c r="B1131">
        <v>110</v>
      </c>
      <c r="C1131" t="s">
        <v>6</v>
      </c>
      <c r="D1131" t="s">
        <v>162</v>
      </c>
      <c r="E1131" s="12" t="s">
        <v>47</v>
      </c>
      <c r="F1131" s="4" t="s">
        <v>50</v>
      </c>
      <c r="G1131" s="12" t="s">
        <v>239</v>
      </c>
      <c r="H1131" t="s">
        <v>252</v>
      </c>
      <c r="I1131" t="s">
        <v>398</v>
      </c>
      <c r="J1131" t="s">
        <v>361</v>
      </c>
      <c r="K1131" t="str">
        <f>Tabla14[[#This Row],[id]]&amp;Tabla14[[#This Row],[Resposable]]</f>
        <v>110Pablo Tuche</v>
      </c>
      <c r="L1131" t="str">
        <f>Tabla14[[#This Row],[id]]&amp;Tabla14[[#This Row],[Resposable]]</f>
        <v>110Pablo Tuche</v>
      </c>
      <c r="M1131" t="s">
        <v>252</v>
      </c>
    </row>
    <row r="1132" spans="1:13" x14ac:dyDescent="0.25">
      <c r="A1132" t="s">
        <v>27</v>
      </c>
      <c r="B1132">
        <v>110</v>
      </c>
      <c r="C1132" t="s">
        <v>6</v>
      </c>
      <c r="D1132" t="s">
        <v>163</v>
      </c>
      <c r="E1132" s="12" t="s">
        <v>47</v>
      </c>
      <c r="F1132" s="4" t="s">
        <v>50</v>
      </c>
      <c r="G1132" s="12" t="s">
        <v>239</v>
      </c>
      <c r="H1132" t="s">
        <v>252</v>
      </c>
      <c r="I1132" t="s">
        <v>398</v>
      </c>
      <c r="J1132" t="s">
        <v>361</v>
      </c>
      <c r="K1132" t="str">
        <f>Tabla14[[#This Row],[id]]&amp;Tabla14[[#This Row],[Resposable]]</f>
        <v>110Pablo Tuche</v>
      </c>
      <c r="L1132" t="str">
        <f>Tabla14[[#This Row],[id]]&amp;Tabla14[[#This Row],[Resposable]]</f>
        <v>110Pablo Tuche</v>
      </c>
      <c r="M1132" t="s">
        <v>252</v>
      </c>
    </row>
    <row r="1133" spans="1:13" x14ac:dyDescent="0.25">
      <c r="A1133" t="s">
        <v>27</v>
      </c>
      <c r="B1133">
        <v>110</v>
      </c>
      <c r="C1133" t="s">
        <v>6</v>
      </c>
      <c r="D1133" t="s">
        <v>165</v>
      </c>
      <c r="E1133" s="12" t="s">
        <v>47</v>
      </c>
      <c r="F1133" s="4" t="s">
        <v>50</v>
      </c>
      <c r="G1133" s="12" t="s">
        <v>239</v>
      </c>
      <c r="H1133" t="s">
        <v>252</v>
      </c>
      <c r="I1133" t="s">
        <v>398</v>
      </c>
      <c r="J1133" t="s">
        <v>361</v>
      </c>
      <c r="K1133" t="str">
        <f>Tabla14[[#This Row],[id]]&amp;Tabla14[[#This Row],[Resposable]]</f>
        <v>110Pablo Tuche</v>
      </c>
      <c r="L1133" t="str">
        <f>Tabla14[[#This Row],[id]]&amp;Tabla14[[#This Row],[Resposable]]</f>
        <v>110Pablo Tuche</v>
      </c>
      <c r="M1133" t="s">
        <v>252</v>
      </c>
    </row>
    <row r="1134" spans="1:13" x14ac:dyDescent="0.25">
      <c r="A1134" s="18" t="s">
        <v>32</v>
      </c>
      <c r="B1134" s="18">
        <v>155</v>
      </c>
      <c r="C1134" s="18" t="s">
        <v>6</v>
      </c>
      <c r="D1134" s="18" t="s">
        <v>193</v>
      </c>
      <c r="E1134" s="12" t="s">
        <v>47</v>
      </c>
      <c r="F1134" s="19" t="s">
        <v>50</v>
      </c>
      <c r="G1134" s="12" t="s">
        <v>239</v>
      </c>
      <c r="H1134" t="s">
        <v>252</v>
      </c>
      <c r="I1134" t="s">
        <v>398</v>
      </c>
      <c r="J1134" t="s">
        <v>361</v>
      </c>
      <c r="K1134" t="str">
        <f>Tabla14[[#This Row],[id]]&amp;Tabla14[[#This Row],[Resposable]]</f>
        <v>155Pablo Tuche</v>
      </c>
      <c r="L1134" t="str">
        <f>Tabla14[[#This Row],[id]]&amp;Tabla14[[#This Row],[Resposable]]</f>
        <v>155Pablo Tuche</v>
      </c>
      <c r="M1134" t="s">
        <v>252</v>
      </c>
    </row>
    <row r="1135" spans="1:13" x14ac:dyDescent="0.25">
      <c r="A1135" s="18" t="s">
        <v>245</v>
      </c>
      <c r="B1135" s="18">
        <v>3</v>
      </c>
      <c r="C1135" s="18" t="s">
        <v>6</v>
      </c>
      <c r="D1135" s="18" t="s">
        <v>49</v>
      </c>
      <c r="E1135" s="12" t="s">
        <v>47</v>
      </c>
      <c r="F1135" s="19" t="s">
        <v>50</v>
      </c>
      <c r="G1135" s="12" t="s">
        <v>239</v>
      </c>
      <c r="H1135" t="s">
        <v>300</v>
      </c>
      <c r="I1135" t="s">
        <v>398</v>
      </c>
      <c r="J1135" t="s">
        <v>361</v>
      </c>
      <c r="K1135" t="str">
        <f>Tabla14[[#This Row],[id]]&amp;Tabla14[[#This Row],[Resposable]]</f>
        <v>3Pablo Tuche</v>
      </c>
      <c r="L1135" t="str">
        <f>Tabla14[[#This Row],[id]]&amp;Tabla14[[#This Row],[Resposable]]</f>
        <v>3Pablo Tuche</v>
      </c>
      <c r="M1135" t="s">
        <v>300</v>
      </c>
    </row>
    <row r="1136" spans="1:13" x14ac:dyDescent="0.25">
      <c r="A1136" s="18" t="s">
        <v>246</v>
      </c>
      <c r="B1136" s="18">
        <v>8</v>
      </c>
      <c r="C1136" s="18" t="s">
        <v>6</v>
      </c>
      <c r="D1136" s="18" t="s">
        <v>59</v>
      </c>
      <c r="E1136" s="12" t="s">
        <v>47</v>
      </c>
      <c r="F1136" s="19" t="s">
        <v>60</v>
      </c>
      <c r="G1136" s="12" t="s">
        <v>239</v>
      </c>
      <c r="H1136" t="s">
        <v>300</v>
      </c>
      <c r="I1136" t="s">
        <v>398</v>
      </c>
      <c r="J1136" t="s">
        <v>367</v>
      </c>
      <c r="K1136" t="str">
        <f>Tabla14[[#This Row],[id]]&amp;Tabla14[[#This Row],[Resposable]]</f>
        <v>8Pablo Tuche</v>
      </c>
      <c r="L1136" t="str">
        <f>Tabla14[[#This Row],[id]]&amp;Tabla14[[#This Row],[Resposable]]</f>
        <v>8Pablo Tuche</v>
      </c>
      <c r="M1136" t="s">
        <v>300</v>
      </c>
    </row>
    <row r="1137" spans="1:13" x14ac:dyDescent="0.25">
      <c r="A1137" s="18" t="s">
        <v>10</v>
      </c>
      <c r="B1137" s="18">
        <v>16</v>
      </c>
      <c r="C1137" s="18" t="s">
        <v>6</v>
      </c>
      <c r="D1137" s="18" t="s">
        <v>67</v>
      </c>
      <c r="E1137" s="12" t="s">
        <v>47</v>
      </c>
      <c r="F1137" s="19" t="s">
        <v>50</v>
      </c>
      <c r="G1137" s="12" t="s">
        <v>239</v>
      </c>
      <c r="H1137" t="s">
        <v>300</v>
      </c>
      <c r="I1137" t="s">
        <v>398</v>
      </c>
      <c r="J1137" t="s">
        <v>367</v>
      </c>
      <c r="K1137" t="str">
        <f>Tabla14[[#This Row],[id]]&amp;Tabla14[[#This Row],[Resposable]]</f>
        <v>16Pablo Tuche</v>
      </c>
      <c r="L1137" t="str">
        <f>Tabla14[[#This Row],[id]]&amp;Tabla14[[#This Row],[Resposable]]</f>
        <v>16Pablo Tuche</v>
      </c>
      <c r="M1137" t="s">
        <v>300</v>
      </c>
    </row>
    <row r="1138" spans="1:13" x14ac:dyDescent="0.25">
      <c r="A1138" s="18" t="s">
        <v>10</v>
      </c>
      <c r="B1138" s="18">
        <v>16</v>
      </c>
      <c r="C1138" s="18" t="s">
        <v>6</v>
      </c>
      <c r="D1138" s="18" t="s">
        <v>68</v>
      </c>
      <c r="E1138" s="12" t="s">
        <v>47</v>
      </c>
      <c r="F1138" s="19" t="s">
        <v>50</v>
      </c>
      <c r="G1138" s="12" t="s">
        <v>239</v>
      </c>
      <c r="H1138" t="s">
        <v>300</v>
      </c>
      <c r="I1138" t="s">
        <v>398</v>
      </c>
      <c r="J1138" t="s">
        <v>367</v>
      </c>
      <c r="K1138" t="str">
        <f>Tabla14[[#This Row],[id]]&amp;Tabla14[[#This Row],[Resposable]]</f>
        <v>16Pablo Tuche</v>
      </c>
      <c r="L1138" t="str">
        <f>Tabla14[[#This Row],[id]]&amp;Tabla14[[#This Row],[Resposable]]</f>
        <v>16Pablo Tuche</v>
      </c>
      <c r="M1138" t="s">
        <v>300</v>
      </c>
    </row>
    <row r="1139" spans="1:13" x14ac:dyDescent="0.25">
      <c r="A1139" s="18" t="s">
        <v>10</v>
      </c>
      <c r="B1139" s="18">
        <v>16</v>
      </c>
      <c r="C1139" s="18" t="s">
        <v>7</v>
      </c>
      <c r="D1139" s="18" t="s">
        <v>69</v>
      </c>
      <c r="E1139" s="12" t="s">
        <v>47</v>
      </c>
      <c r="F1139" s="19" t="s">
        <v>58</v>
      </c>
      <c r="G1139" s="12" t="s">
        <v>239</v>
      </c>
      <c r="H1139" t="s">
        <v>300</v>
      </c>
      <c r="I1139" t="s">
        <v>398</v>
      </c>
      <c r="J1139" t="s">
        <v>367</v>
      </c>
      <c r="K1139" t="str">
        <f>Tabla14[[#This Row],[id]]&amp;Tabla14[[#This Row],[Resposable]]</f>
        <v>16Pablo Tuche</v>
      </c>
      <c r="L1139" t="str">
        <f>Tabla14[[#This Row],[id]]&amp;Tabla14[[#This Row],[Resposable]]</f>
        <v>16Pablo Tuche</v>
      </c>
      <c r="M1139" t="s">
        <v>300</v>
      </c>
    </row>
    <row r="1140" spans="1:13" x14ac:dyDescent="0.25">
      <c r="A1140" s="18" t="s">
        <v>10</v>
      </c>
      <c r="B1140" s="18">
        <v>16</v>
      </c>
      <c r="C1140" s="18" t="s">
        <v>8</v>
      </c>
      <c r="D1140" s="18" t="s">
        <v>70</v>
      </c>
      <c r="E1140" s="12" t="s">
        <v>47</v>
      </c>
      <c r="F1140" s="19" t="s">
        <v>48</v>
      </c>
      <c r="G1140" s="12" t="s">
        <v>239</v>
      </c>
      <c r="H1140" t="s">
        <v>300</v>
      </c>
      <c r="I1140" t="s">
        <v>398</v>
      </c>
      <c r="J1140" t="s">
        <v>367</v>
      </c>
      <c r="K1140" t="str">
        <f>Tabla14[[#This Row],[id]]&amp;Tabla14[[#This Row],[Resposable]]</f>
        <v>16Pablo Tuche</v>
      </c>
      <c r="L1140" t="str">
        <f>Tabla14[[#This Row],[id]]&amp;Tabla14[[#This Row],[Resposable]]</f>
        <v>16Pablo Tuche</v>
      </c>
      <c r="M1140" t="s">
        <v>300</v>
      </c>
    </row>
    <row r="1141" spans="1:13" x14ac:dyDescent="0.25">
      <c r="A1141" s="18" t="s">
        <v>309</v>
      </c>
      <c r="B1141" s="18">
        <v>66</v>
      </c>
      <c r="C1141" s="18" t="s">
        <v>6</v>
      </c>
      <c r="D1141" s="18" t="s">
        <v>101</v>
      </c>
      <c r="E1141" s="12" t="s">
        <v>47</v>
      </c>
      <c r="F1141" s="19" t="s">
        <v>50</v>
      </c>
      <c r="G1141" s="12" t="s">
        <v>239</v>
      </c>
      <c r="H1141" t="s">
        <v>300</v>
      </c>
      <c r="I1141" t="s">
        <v>398</v>
      </c>
      <c r="J1141" t="s">
        <v>361</v>
      </c>
      <c r="K1141" t="str">
        <f>Tabla14[[#This Row],[id]]&amp;Tabla14[[#This Row],[Resposable]]</f>
        <v>66Pablo Tuche</v>
      </c>
      <c r="L1141" t="str">
        <f>Tabla14[[#This Row],[id]]&amp;Tabla14[[#This Row],[Resposable]]</f>
        <v>66Pablo Tuche</v>
      </c>
      <c r="M1141" t="s">
        <v>300</v>
      </c>
    </row>
    <row r="1142" spans="1:13" x14ac:dyDescent="0.25">
      <c r="A1142" s="18" t="s">
        <v>24</v>
      </c>
      <c r="B1142" s="18">
        <v>105</v>
      </c>
      <c r="C1142" s="18" t="s">
        <v>6</v>
      </c>
      <c r="D1142" s="18" t="s">
        <v>136</v>
      </c>
      <c r="E1142" s="12" t="s">
        <v>47</v>
      </c>
      <c r="F1142" s="19" t="s">
        <v>60</v>
      </c>
      <c r="G1142" s="12" t="s">
        <v>239</v>
      </c>
      <c r="H1142" t="s">
        <v>300</v>
      </c>
      <c r="I1142" t="s">
        <v>398</v>
      </c>
      <c r="J1142" t="s">
        <v>361</v>
      </c>
      <c r="K1142" t="str">
        <f>Tabla14[[#This Row],[id]]&amp;Tabla14[[#This Row],[Resposable]]</f>
        <v>105Pablo Tuche</v>
      </c>
      <c r="L1142" t="str">
        <f>Tabla14[[#This Row],[id]]&amp;Tabla14[[#This Row],[Resposable]]</f>
        <v>105Pablo Tuche</v>
      </c>
      <c r="M1142" t="s">
        <v>300</v>
      </c>
    </row>
    <row r="1143" spans="1:13" x14ac:dyDescent="0.25">
      <c r="A1143" s="18" t="s">
        <v>24</v>
      </c>
      <c r="B1143" s="18">
        <v>105</v>
      </c>
      <c r="C1143" s="18" t="s">
        <v>6</v>
      </c>
      <c r="D1143" s="18" t="s">
        <v>139</v>
      </c>
      <c r="E1143" s="12" t="s">
        <v>47</v>
      </c>
      <c r="F1143" s="19" t="s">
        <v>60</v>
      </c>
      <c r="G1143" s="12" t="s">
        <v>239</v>
      </c>
      <c r="H1143" t="s">
        <v>300</v>
      </c>
      <c r="I1143" t="s">
        <v>398</v>
      </c>
      <c r="J1143" t="s">
        <v>361</v>
      </c>
      <c r="K1143" t="str">
        <f>Tabla14[[#This Row],[id]]&amp;Tabla14[[#This Row],[Resposable]]</f>
        <v>105Pablo Tuche</v>
      </c>
      <c r="L1143" t="str">
        <f>Tabla14[[#This Row],[id]]&amp;Tabla14[[#This Row],[Resposable]]</f>
        <v>105Pablo Tuche</v>
      </c>
      <c r="M1143" t="s">
        <v>300</v>
      </c>
    </row>
    <row r="1144" spans="1:13" x14ac:dyDescent="0.25">
      <c r="A1144" s="18" t="s">
        <v>24</v>
      </c>
      <c r="B1144" s="18">
        <v>105</v>
      </c>
      <c r="C1144" s="18" t="s">
        <v>6</v>
      </c>
      <c r="D1144" s="18" t="s">
        <v>372</v>
      </c>
      <c r="E1144" s="12" t="s">
        <v>47</v>
      </c>
      <c r="F1144" s="19" t="s">
        <v>60</v>
      </c>
      <c r="G1144" s="12" t="s">
        <v>239</v>
      </c>
      <c r="H1144" t="s">
        <v>300</v>
      </c>
      <c r="I1144" t="s">
        <v>398</v>
      </c>
      <c r="J1144" t="s">
        <v>361</v>
      </c>
      <c r="K1144" t="str">
        <f>Tabla14[[#This Row],[id]]&amp;Tabla14[[#This Row],[Resposable]]</f>
        <v>105Pablo Tuche</v>
      </c>
      <c r="L1144" t="str">
        <f>Tabla14[[#This Row],[id]]&amp;Tabla14[[#This Row],[Resposable]]</f>
        <v>105Pablo Tuche</v>
      </c>
      <c r="M1144" t="s">
        <v>300</v>
      </c>
    </row>
    <row r="1145" spans="1:13" x14ac:dyDescent="0.25">
      <c r="A1145" t="s">
        <v>34</v>
      </c>
      <c r="B1145">
        <v>25</v>
      </c>
      <c r="C1145" t="s">
        <v>8</v>
      </c>
      <c r="D1145" t="s">
        <v>204</v>
      </c>
      <c r="E1145" s="12" t="s">
        <v>47</v>
      </c>
      <c r="F1145" s="4" t="s">
        <v>48</v>
      </c>
      <c r="G1145" s="12" t="s">
        <v>253</v>
      </c>
      <c r="H1145" t="s">
        <v>256</v>
      </c>
      <c r="I1145" t="s">
        <v>395</v>
      </c>
      <c r="J1145" t="s">
        <v>363</v>
      </c>
      <c r="K1145" t="str">
        <f>Tabla14[[#This Row],[id]]&amp;Tabla14[[#This Row],[Resposable]]</f>
        <v>25Raul Castillo</v>
      </c>
      <c r="L1145" t="str">
        <f>Tabla14[[#This Row],[id]]&amp;Tabla14[[#This Row],[Resposable]]</f>
        <v>25Raul Castillo</v>
      </c>
      <c r="M1145" t="s">
        <v>256</v>
      </c>
    </row>
    <row r="1146" spans="1:13" x14ac:dyDescent="0.25">
      <c r="A1146" t="s">
        <v>34</v>
      </c>
      <c r="B1146">
        <v>25</v>
      </c>
      <c r="C1146" t="s">
        <v>9</v>
      </c>
      <c r="D1146" t="s">
        <v>205</v>
      </c>
      <c r="E1146" s="12" t="s">
        <v>47</v>
      </c>
      <c r="F1146" s="4" t="s">
        <v>82</v>
      </c>
      <c r="G1146" s="12" t="s">
        <v>253</v>
      </c>
      <c r="H1146" t="s">
        <v>256</v>
      </c>
      <c r="I1146" t="s">
        <v>395</v>
      </c>
      <c r="J1146" t="s">
        <v>363</v>
      </c>
      <c r="K1146" t="str">
        <f>Tabla14[[#This Row],[id]]&amp;Tabla14[[#This Row],[Resposable]]</f>
        <v>25Raul Castillo</v>
      </c>
      <c r="L1146" t="str">
        <f>Tabla14[[#This Row],[id]]&amp;Tabla14[[#This Row],[Resposable]]</f>
        <v>25Raul Castillo</v>
      </c>
      <c r="M1146" t="s">
        <v>256</v>
      </c>
    </row>
    <row r="1147" spans="1:13" x14ac:dyDescent="0.25">
      <c r="A1147" t="s">
        <v>34</v>
      </c>
      <c r="B1147">
        <v>25</v>
      </c>
      <c r="C1147" t="s">
        <v>7</v>
      </c>
      <c r="D1147" t="s">
        <v>208</v>
      </c>
      <c r="E1147" s="12" t="s">
        <v>47</v>
      </c>
      <c r="F1147" s="4" t="s">
        <v>184</v>
      </c>
      <c r="G1147" s="12" t="s">
        <v>253</v>
      </c>
      <c r="H1147" t="s">
        <v>256</v>
      </c>
      <c r="I1147" t="s">
        <v>395</v>
      </c>
      <c r="J1147" t="s">
        <v>363</v>
      </c>
      <c r="K1147" t="str">
        <f>Tabla14[[#This Row],[id]]&amp;Tabla14[[#This Row],[Resposable]]</f>
        <v>25Raul Castillo</v>
      </c>
      <c r="L1147" t="str">
        <f>Tabla14[[#This Row],[id]]&amp;Tabla14[[#This Row],[Resposable]]</f>
        <v>25Raul Castillo</v>
      </c>
      <c r="M1147" t="s">
        <v>256</v>
      </c>
    </row>
    <row r="1148" spans="1:13" x14ac:dyDescent="0.25">
      <c r="A1148" t="s">
        <v>34</v>
      </c>
      <c r="B1148">
        <v>25</v>
      </c>
      <c r="C1148" t="s">
        <v>9</v>
      </c>
      <c r="D1148" t="s">
        <v>211</v>
      </c>
      <c r="E1148" s="18" t="s">
        <v>47</v>
      </c>
      <c r="F1148" s="4" t="s">
        <v>82</v>
      </c>
      <c r="G1148" s="18" t="s">
        <v>253</v>
      </c>
      <c r="H1148" t="s">
        <v>256</v>
      </c>
      <c r="I1148" t="s">
        <v>395</v>
      </c>
      <c r="J1148" t="s">
        <v>363</v>
      </c>
      <c r="K1148" t="str">
        <f>Tabla14[[#This Row],[id]]&amp;Tabla14[[#This Row],[Resposable]]</f>
        <v>25Raul Castillo</v>
      </c>
      <c r="L1148" t="str">
        <f>Tabla14[[#This Row],[id]]&amp;Tabla14[[#This Row],[Resposable]]</f>
        <v>25Raul Castillo</v>
      </c>
      <c r="M1148" t="s">
        <v>256</v>
      </c>
    </row>
    <row r="1149" spans="1:13" x14ac:dyDescent="0.25">
      <c r="A1149" t="s">
        <v>34</v>
      </c>
      <c r="B1149">
        <v>25</v>
      </c>
      <c r="C1149" t="s">
        <v>7</v>
      </c>
      <c r="D1149" t="s">
        <v>212</v>
      </c>
      <c r="E1149" s="18" t="s">
        <v>47</v>
      </c>
      <c r="F1149" s="4" t="s">
        <v>71</v>
      </c>
      <c r="G1149" s="18" t="s">
        <v>253</v>
      </c>
      <c r="H1149" t="s">
        <v>256</v>
      </c>
      <c r="I1149" t="s">
        <v>395</v>
      </c>
      <c r="J1149" t="s">
        <v>363</v>
      </c>
      <c r="K1149" t="str">
        <f>Tabla14[[#This Row],[id]]&amp;Tabla14[[#This Row],[Resposable]]</f>
        <v>25Raul Castillo</v>
      </c>
      <c r="L1149" t="str">
        <f>Tabla14[[#This Row],[id]]&amp;Tabla14[[#This Row],[Resposable]]</f>
        <v>25Raul Castillo</v>
      </c>
      <c r="M1149" t="s">
        <v>256</v>
      </c>
    </row>
    <row r="1150" spans="1:13" x14ac:dyDescent="0.25">
      <c r="A1150" t="s">
        <v>36</v>
      </c>
      <c r="B1150">
        <v>25</v>
      </c>
      <c r="C1150" t="s">
        <v>8</v>
      </c>
      <c r="D1150" t="s">
        <v>204</v>
      </c>
      <c r="E1150" s="18" t="s">
        <v>47</v>
      </c>
      <c r="F1150" s="4" t="s">
        <v>48</v>
      </c>
      <c r="G1150" s="18" t="s">
        <v>253</v>
      </c>
      <c r="H1150" t="s">
        <v>256</v>
      </c>
      <c r="I1150" t="s">
        <v>395</v>
      </c>
      <c r="J1150" t="s">
        <v>363</v>
      </c>
      <c r="K1150" t="str">
        <f>Tabla14[[#This Row],[id]]&amp;Tabla14[[#This Row],[Resposable]]</f>
        <v>25Raul Castillo</v>
      </c>
      <c r="L1150" t="str">
        <f>Tabla14[[#This Row],[id]]&amp;Tabla14[[#This Row],[Resposable]]</f>
        <v>25Raul Castillo</v>
      </c>
      <c r="M1150" t="s">
        <v>256</v>
      </c>
    </row>
    <row r="1151" spans="1:13" x14ac:dyDescent="0.25">
      <c r="A1151" t="s">
        <v>36</v>
      </c>
      <c r="B1151">
        <v>25</v>
      </c>
      <c r="C1151" t="s">
        <v>9</v>
      </c>
      <c r="D1151" t="s">
        <v>205</v>
      </c>
      <c r="E1151" s="18" t="s">
        <v>47</v>
      </c>
      <c r="F1151" s="4" t="s">
        <v>82</v>
      </c>
      <c r="G1151" s="18" t="s">
        <v>253</v>
      </c>
      <c r="H1151" t="s">
        <v>256</v>
      </c>
      <c r="I1151" t="s">
        <v>395</v>
      </c>
      <c r="J1151" t="s">
        <v>363</v>
      </c>
      <c r="K1151" t="str">
        <f>Tabla14[[#This Row],[id]]&amp;Tabla14[[#This Row],[Resposable]]</f>
        <v>25Raul Castillo</v>
      </c>
      <c r="L1151" t="str">
        <f>Tabla14[[#This Row],[id]]&amp;Tabla14[[#This Row],[Resposable]]</f>
        <v>25Raul Castillo</v>
      </c>
      <c r="M1151" t="s">
        <v>256</v>
      </c>
    </row>
    <row r="1152" spans="1:13" x14ac:dyDescent="0.25">
      <c r="A1152" t="s">
        <v>36</v>
      </c>
      <c r="B1152">
        <v>25</v>
      </c>
      <c r="C1152" t="s">
        <v>7</v>
      </c>
      <c r="D1152" t="s">
        <v>208</v>
      </c>
      <c r="E1152" s="18" t="s">
        <v>47</v>
      </c>
      <c r="F1152" s="4" t="s">
        <v>184</v>
      </c>
      <c r="G1152" s="18" t="s">
        <v>253</v>
      </c>
      <c r="H1152" t="s">
        <v>256</v>
      </c>
      <c r="I1152" t="s">
        <v>395</v>
      </c>
      <c r="J1152" t="s">
        <v>363</v>
      </c>
      <c r="K1152" t="str">
        <f>Tabla14[[#This Row],[id]]&amp;Tabla14[[#This Row],[Resposable]]</f>
        <v>25Raul Castillo</v>
      </c>
      <c r="L1152" t="str">
        <f>Tabla14[[#This Row],[id]]&amp;Tabla14[[#This Row],[Resposable]]</f>
        <v>25Raul Castillo</v>
      </c>
      <c r="M1152" t="s">
        <v>256</v>
      </c>
    </row>
    <row r="1153" spans="1:13" x14ac:dyDescent="0.25">
      <c r="A1153" t="s">
        <v>36</v>
      </c>
      <c r="B1153">
        <v>25</v>
      </c>
      <c r="C1153" t="s">
        <v>9</v>
      </c>
      <c r="D1153" t="s">
        <v>211</v>
      </c>
      <c r="E1153" s="18" t="s">
        <v>47</v>
      </c>
      <c r="F1153" s="4" t="s">
        <v>82</v>
      </c>
      <c r="G1153" s="18" t="s">
        <v>253</v>
      </c>
      <c r="H1153" t="s">
        <v>256</v>
      </c>
      <c r="I1153" t="s">
        <v>395</v>
      </c>
      <c r="J1153" t="s">
        <v>363</v>
      </c>
      <c r="K1153" t="str">
        <f>Tabla14[[#This Row],[id]]&amp;Tabla14[[#This Row],[Resposable]]</f>
        <v>25Raul Castillo</v>
      </c>
      <c r="L1153" t="str">
        <f>Tabla14[[#This Row],[id]]&amp;Tabla14[[#This Row],[Resposable]]</f>
        <v>25Raul Castillo</v>
      </c>
      <c r="M1153" t="s">
        <v>256</v>
      </c>
    </row>
    <row r="1154" spans="1:13" x14ac:dyDescent="0.25">
      <c r="A1154" t="s">
        <v>36</v>
      </c>
      <c r="B1154">
        <v>25</v>
      </c>
      <c r="C1154" t="s">
        <v>7</v>
      </c>
      <c r="D1154" t="s">
        <v>212</v>
      </c>
      <c r="E1154" s="18" t="s">
        <v>47</v>
      </c>
      <c r="F1154" s="4" t="s">
        <v>71</v>
      </c>
      <c r="G1154" s="18" t="s">
        <v>253</v>
      </c>
      <c r="H1154" t="s">
        <v>256</v>
      </c>
      <c r="I1154" t="s">
        <v>395</v>
      </c>
      <c r="J1154" t="s">
        <v>363</v>
      </c>
      <c r="K1154" t="str">
        <f>Tabla14[[#This Row],[id]]&amp;Tabla14[[#This Row],[Resposable]]</f>
        <v>25Raul Castillo</v>
      </c>
      <c r="L1154" t="str">
        <f>Tabla14[[#This Row],[id]]&amp;Tabla14[[#This Row],[Resposable]]</f>
        <v>25Raul Castillo</v>
      </c>
      <c r="M1154" t="s">
        <v>256</v>
      </c>
    </row>
    <row r="1155" spans="1:13" x14ac:dyDescent="0.25">
      <c r="A1155" t="s">
        <v>38</v>
      </c>
      <c r="B1155">
        <v>25</v>
      </c>
      <c r="C1155" t="s">
        <v>9</v>
      </c>
      <c r="D1155" t="s">
        <v>223</v>
      </c>
      <c r="E1155" s="18" t="s">
        <v>47</v>
      </c>
      <c r="F1155" s="4" t="s">
        <v>58</v>
      </c>
      <c r="G1155" s="18" t="s">
        <v>253</v>
      </c>
      <c r="H1155" t="s">
        <v>256</v>
      </c>
      <c r="I1155" t="s">
        <v>395</v>
      </c>
      <c r="J1155" t="s">
        <v>363</v>
      </c>
      <c r="K1155" t="str">
        <f>Tabla14[[#This Row],[id]]&amp;Tabla14[[#This Row],[Resposable]]</f>
        <v>25Raul Castillo</v>
      </c>
      <c r="L1155" t="str">
        <f>Tabla14[[#This Row],[id]]&amp;Tabla14[[#This Row],[Resposable]]</f>
        <v>25Raul Castillo</v>
      </c>
      <c r="M1155" t="s">
        <v>256</v>
      </c>
    </row>
    <row r="1156" spans="1:13" x14ac:dyDescent="0.25">
      <c r="A1156" t="s">
        <v>38</v>
      </c>
      <c r="B1156">
        <v>25</v>
      </c>
      <c r="C1156" t="s">
        <v>8</v>
      </c>
      <c r="D1156" t="s">
        <v>218</v>
      </c>
      <c r="E1156" s="18" t="s">
        <v>47</v>
      </c>
      <c r="F1156" s="4" t="s">
        <v>71</v>
      </c>
      <c r="G1156" s="18" t="s">
        <v>253</v>
      </c>
      <c r="H1156" t="s">
        <v>256</v>
      </c>
      <c r="I1156" t="s">
        <v>395</v>
      </c>
      <c r="J1156" t="s">
        <v>363</v>
      </c>
      <c r="K1156" t="str">
        <f>Tabla14[[#This Row],[id]]&amp;Tabla14[[#This Row],[Resposable]]</f>
        <v>25Raul Castillo</v>
      </c>
      <c r="L1156" t="str">
        <f>Tabla14[[#This Row],[id]]&amp;Tabla14[[#This Row],[Resposable]]</f>
        <v>25Raul Castillo</v>
      </c>
      <c r="M1156" t="s">
        <v>256</v>
      </c>
    </row>
    <row r="1157" spans="1:13" x14ac:dyDescent="0.25">
      <c r="A1157" t="s">
        <v>38</v>
      </c>
      <c r="B1157">
        <v>25</v>
      </c>
      <c r="C1157" t="s">
        <v>18</v>
      </c>
      <c r="D1157" t="s">
        <v>224</v>
      </c>
      <c r="E1157" s="18" t="s">
        <v>47</v>
      </c>
      <c r="F1157" s="4" t="s">
        <v>58</v>
      </c>
      <c r="G1157" s="18" t="s">
        <v>253</v>
      </c>
      <c r="H1157" t="s">
        <v>256</v>
      </c>
      <c r="I1157" t="s">
        <v>395</v>
      </c>
      <c r="J1157" t="s">
        <v>363</v>
      </c>
      <c r="K1157" t="str">
        <f>Tabla14[[#This Row],[id]]&amp;Tabla14[[#This Row],[Resposable]]</f>
        <v>25Raul Castillo</v>
      </c>
      <c r="L1157" t="str">
        <f>Tabla14[[#This Row],[id]]&amp;Tabla14[[#This Row],[Resposable]]</f>
        <v>25Raul Castillo</v>
      </c>
      <c r="M1157" t="s">
        <v>256</v>
      </c>
    </row>
    <row r="1158" spans="1:13" x14ac:dyDescent="0.25">
      <c r="A1158" t="s">
        <v>38</v>
      </c>
      <c r="B1158">
        <v>25</v>
      </c>
      <c r="C1158" t="s">
        <v>9</v>
      </c>
      <c r="D1158" t="s">
        <v>225</v>
      </c>
      <c r="E1158" t="s">
        <v>47</v>
      </c>
      <c r="F1158" s="4" t="s">
        <v>58</v>
      </c>
      <c r="G1158" t="s">
        <v>253</v>
      </c>
      <c r="H1158" t="s">
        <v>256</v>
      </c>
      <c r="I1158" t="s">
        <v>395</v>
      </c>
      <c r="J1158" t="s">
        <v>363</v>
      </c>
      <c r="K1158" t="str">
        <f>Tabla14[[#This Row],[id]]&amp;Tabla14[[#This Row],[Resposable]]</f>
        <v>25Raul Castillo</v>
      </c>
      <c r="L1158" t="str">
        <f>Tabla14[[#This Row],[id]]&amp;Tabla14[[#This Row],[Resposable]]</f>
        <v>25Raul Castillo</v>
      </c>
      <c r="M1158" t="s">
        <v>256</v>
      </c>
    </row>
    <row r="1159" spans="1:13" x14ac:dyDescent="0.25">
      <c r="A1159" t="s">
        <v>38</v>
      </c>
      <c r="B1159">
        <v>25</v>
      </c>
      <c r="C1159" t="s">
        <v>9</v>
      </c>
      <c r="D1159" t="s">
        <v>226</v>
      </c>
      <c r="E1159" t="s">
        <v>47</v>
      </c>
      <c r="F1159" s="4" t="s">
        <v>58</v>
      </c>
      <c r="G1159" t="s">
        <v>253</v>
      </c>
      <c r="H1159" t="s">
        <v>256</v>
      </c>
      <c r="I1159" t="s">
        <v>395</v>
      </c>
      <c r="J1159" t="s">
        <v>363</v>
      </c>
      <c r="K1159" t="str">
        <f>Tabla14[[#This Row],[id]]&amp;Tabla14[[#This Row],[Resposable]]</f>
        <v>25Raul Castillo</v>
      </c>
      <c r="L1159" t="str">
        <f>Tabla14[[#This Row],[id]]&amp;Tabla14[[#This Row],[Resposable]]</f>
        <v>25Raul Castillo</v>
      </c>
      <c r="M1159" t="s">
        <v>256</v>
      </c>
    </row>
    <row r="1160" spans="1:13" x14ac:dyDescent="0.25">
      <c r="A1160" t="s">
        <v>38</v>
      </c>
      <c r="B1160">
        <v>25</v>
      </c>
      <c r="C1160" t="s">
        <v>9</v>
      </c>
      <c r="D1160" t="s">
        <v>228</v>
      </c>
      <c r="E1160" t="s">
        <v>47</v>
      </c>
      <c r="F1160" s="4" t="s">
        <v>58</v>
      </c>
      <c r="G1160" t="s">
        <v>253</v>
      </c>
      <c r="H1160" t="s">
        <v>256</v>
      </c>
      <c r="I1160" t="s">
        <v>395</v>
      </c>
      <c r="J1160" t="s">
        <v>363</v>
      </c>
      <c r="K1160" t="str">
        <f>Tabla14[[#This Row],[id]]&amp;Tabla14[[#This Row],[Resposable]]</f>
        <v>25Raul Castillo</v>
      </c>
      <c r="L1160" t="str">
        <f>Tabla14[[#This Row],[id]]&amp;Tabla14[[#This Row],[Resposable]]</f>
        <v>25Raul Castillo</v>
      </c>
      <c r="M1160" t="s">
        <v>256</v>
      </c>
    </row>
    <row r="1161" spans="1:13" x14ac:dyDescent="0.25">
      <c r="A1161" t="s">
        <v>37</v>
      </c>
      <c r="B1161">
        <v>36</v>
      </c>
      <c r="C1161" t="s">
        <v>8</v>
      </c>
      <c r="D1161" t="s">
        <v>218</v>
      </c>
      <c r="E1161" s="18" t="s">
        <v>47</v>
      </c>
      <c r="F1161" s="4" t="s">
        <v>71</v>
      </c>
      <c r="G1161" s="18" t="s">
        <v>253</v>
      </c>
      <c r="H1161" t="s">
        <v>256</v>
      </c>
      <c r="I1161" t="s">
        <v>395</v>
      </c>
      <c r="J1161" t="s">
        <v>363</v>
      </c>
      <c r="K1161" t="str">
        <f>Tabla14[[#This Row],[id]]&amp;Tabla14[[#This Row],[Resposable]]</f>
        <v>36Raul Castillo</v>
      </c>
      <c r="L1161" t="str">
        <f>Tabla14[[#This Row],[id]]&amp;Tabla14[[#This Row],[Resposable]]</f>
        <v>36Raul Castillo</v>
      </c>
      <c r="M1161" t="s">
        <v>256</v>
      </c>
    </row>
    <row r="1162" spans="1:13" x14ac:dyDescent="0.25">
      <c r="A1162" t="s">
        <v>37</v>
      </c>
      <c r="B1162">
        <v>36</v>
      </c>
      <c r="C1162" t="s">
        <v>8</v>
      </c>
      <c r="D1162" t="s">
        <v>219</v>
      </c>
      <c r="E1162" s="18" t="s">
        <v>47</v>
      </c>
      <c r="F1162" s="4" t="s">
        <v>71</v>
      </c>
      <c r="G1162" s="18" t="s">
        <v>253</v>
      </c>
      <c r="H1162" t="s">
        <v>256</v>
      </c>
      <c r="I1162" t="s">
        <v>395</v>
      </c>
      <c r="J1162" t="s">
        <v>363</v>
      </c>
      <c r="K1162" t="str">
        <f>Tabla14[[#This Row],[id]]&amp;Tabla14[[#This Row],[Resposable]]</f>
        <v>36Raul Castillo</v>
      </c>
      <c r="L1162" t="str">
        <f>Tabla14[[#This Row],[id]]&amp;Tabla14[[#This Row],[Resposable]]</f>
        <v>36Raul Castillo</v>
      </c>
      <c r="M1162" t="s">
        <v>256</v>
      </c>
    </row>
    <row r="1163" spans="1:13" x14ac:dyDescent="0.25">
      <c r="A1163" t="s">
        <v>37</v>
      </c>
      <c r="B1163">
        <v>36</v>
      </c>
      <c r="C1163" t="s">
        <v>7</v>
      </c>
      <c r="D1163" t="s">
        <v>220</v>
      </c>
      <c r="E1163" s="18" t="s">
        <v>47</v>
      </c>
      <c r="F1163" s="4" t="s">
        <v>71</v>
      </c>
      <c r="G1163" s="18" t="s">
        <v>253</v>
      </c>
      <c r="H1163" t="s">
        <v>256</v>
      </c>
      <c r="I1163" t="s">
        <v>395</v>
      </c>
      <c r="J1163" t="s">
        <v>363</v>
      </c>
      <c r="K1163" t="str">
        <f>Tabla14[[#This Row],[id]]&amp;Tabla14[[#This Row],[Resposable]]</f>
        <v>36Raul Castillo</v>
      </c>
      <c r="L1163" t="str">
        <f>Tabla14[[#This Row],[id]]&amp;Tabla14[[#This Row],[Resposable]]</f>
        <v>36Raul Castillo</v>
      </c>
      <c r="M1163" t="s">
        <v>256</v>
      </c>
    </row>
    <row r="1164" spans="1:13" x14ac:dyDescent="0.25">
      <c r="A1164" t="s">
        <v>37</v>
      </c>
      <c r="B1164">
        <v>36</v>
      </c>
      <c r="C1164" t="s">
        <v>7</v>
      </c>
      <c r="D1164" t="s">
        <v>213</v>
      </c>
      <c r="E1164" s="18" t="s">
        <v>47</v>
      </c>
      <c r="F1164" s="4" t="s">
        <v>71</v>
      </c>
      <c r="G1164" s="18" t="s">
        <v>253</v>
      </c>
      <c r="H1164" t="s">
        <v>256</v>
      </c>
      <c r="I1164" t="s">
        <v>395</v>
      </c>
      <c r="J1164" t="s">
        <v>363</v>
      </c>
      <c r="K1164" t="str">
        <f>Tabla14[[#This Row],[id]]&amp;Tabla14[[#This Row],[Resposable]]</f>
        <v>36Raul Castillo</v>
      </c>
      <c r="L1164" t="str">
        <f>Tabla14[[#This Row],[id]]&amp;Tabla14[[#This Row],[Resposable]]</f>
        <v>36Raul Castillo</v>
      </c>
      <c r="M1164" t="s">
        <v>256</v>
      </c>
    </row>
    <row r="1165" spans="1:13" x14ac:dyDescent="0.25">
      <c r="A1165" t="s">
        <v>37</v>
      </c>
      <c r="B1165">
        <v>36</v>
      </c>
      <c r="C1165" t="s">
        <v>8</v>
      </c>
      <c r="D1165" t="s">
        <v>172</v>
      </c>
      <c r="E1165" s="18" t="s">
        <v>47</v>
      </c>
      <c r="F1165" s="4" t="s">
        <v>71</v>
      </c>
      <c r="G1165" s="18" t="s">
        <v>253</v>
      </c>
      <c r="H1165" t="s">
        <v>256</v>
      </c>
      <c r="I1165" t="s">
        <v>395</v>
      </c>
      <c r="J1165" t="s">
        <v>363</v>
      </c>
      <c r="K1165" t="str">
        <f>Tabla14[[#This Row],[id]]&amp;Tabla14[[#This Row],[Resposable]]</f>
        <v>36Raul Castillo</v>
      </c>
      <c r="L1165" t="str">
        <f>Tabla14[[#This Row],[id]]&amp;Tabla14[[#This Row],[Resposable]]</f>
        <v>36Raul Castillo</v>
      </c>
      <c r="M1165" t="s">
        <v>256</v>
      </c>
    </row>
    <row r="1166" spans="1:13" x14ac:dyDescent="0.25">
      <c r="A1166" t="s">
        <v>17</v>
      </c>
      <c r="B1166">
        <v>55</v>
      </c>
      <c r="C1166" t="s">
        <v>18</v>
      </c>
      <c r="D1166" t="s">
        <v>99</v>
      </c>
      <c r="E1166" s="18" t="s">
        <v>47</v>
      </c>
      <c r="F1166" s="4" t="s">
        <v>48</v>
      </c>
      <c r="G1166" s="18" t="s">
        <v>253</v>
      </c>
      <c r="H1166" t="s">
        <v>256</v>
      </c>
      <c r="I1166" t="s">
        <v>395</v>
      </c>
      <c r="J1166" t="s">
        <v>363</v>
      </c>
      <c r="K1166" t="str">
        <f>Tabla14[[#This Row],[id]]&amp;Tabla14[[#This Row],[Resposable]]</f>
        <v>55Raul Castillo</v>
      </c>
      <c r="L1166" t="str">
        <f>Tabla14[[#This Row],[id]]&amp;Tabla14[[#This Row],[Resposable]]</f>
        <v>55Raul Castillo</v>
      </c>
      <c r="M1166" t="s">
        <v>256</v>
      </c>
    </row>
    <row r="1167" spans="1:13" x14ac:dyDescent="0.25">
      <c r="A1167" t="s">
        <v>17</v>
      </c>
      <c r="B1167">
        <v>55</v>
      </c>
      <c r="C1167" t="s">
        <v>7</v>
      </c>
      <c r="D1167" t="s">
        <v>213</v>
      </c>
      <c r="E1167" s="18" t="s">
        <v>47</v>
      </c>
      <c r="F1167" s="4" t="s">
        <v>71</v>
      </c>
      <c r="G1167" s="18" t="s">
        <v>253</v>
      </c>
      <c r="H1167" t="s">
        <v>256</v>
      </c>
      <c r="I1167" t="s">
        <v>395</v>
      </c>
      <c r="J1167" t="s">
        <v>363</v>
      </c>
      <c r="K1167" t="str">
        <f>Tabla14[[#This Row],[id]]&amp;Tabla14[[#This Row],[Resposable]]</f>
        <v>55Raul Castillo</v>
      </c>
      <c r="L1167" t="str">
        <f>Tabla14[[#This Row],[id]]&amp;Tabla14[[#This Row],[Resposable]]</f>
        <v>55Raul Castillo</v>
      </c>
      <c r="M1167" t="s">
        <v>256</v>
      </c>
    </row>
    <row r="1168" spans="1:13" x14ac:dyDescent="0.25">
      <c r="A1168" t="s">
        <v>17</v>
      </c>
      <c r="B1168">
        <v>55</v>
      </c>
      <c r="C1168" t="s">
        <v>8</v>
      </c>
      <c r="D1168" t="s">
        <v>172</v>
      </c>
      <c r="E1168" s="18" t="s">
        <v>47</v>
      </c>
      <c r="F1168" s="4" t="s">
        <v>50</v>
      </c>
      <c r="G1168" s="18" t="s">
        <v>253</v>
      </c>
      <c r="H1168" t="s">
        <v>256</v>
      </c>
      <c r="I1168" t="s">
        <v>395</v>
      </c>
      <c r="J1168" t="s">
        <v>363</v>
      </c>
      <c r="K1168" t="str">
        <f>Tabla14[[#This Row],[id]]&amp;Tabla14[[#This Row],[Resposable]]</f>
        <v>55Raul Castillo</v>
      </c>
      <c r="L1168" t="str">
        <f>Tabla14[[#This Row],[id]]&amp;Tabla14[[#This Row],[Resposable]]</f>
        <v>55Raul Castillo</v>
      </c>
      <c r="M1168" t="s">
        <v>256</v>
      </c>
    </row>
    <row r="1169" spans="1:13" x14ac:dyDescent="0.25">
      <c r="A1169" t="s">
        <v>39</v>
      </c>
      <c r="B1169">
        <v>98</v>
      </c>
      <c r="C1169" t="s">
        <v>7</v>
      </c>
      <c r="D1169" t="s">
        <v>213</v>
      </c>
      <c r="E1169" t="s">
        <v>47</v>
      </c>
      <c r="F1169" s="4" t="s">
        <v>82</v>
      </c>
      <c r="G1169" t="s">
        <v>253</v>
      </c>
      <c r="H1169" t="s">
        <v>256</v>
      </c>
      <c r="I1169" t="s">
        <v>395</v>
      </c>
      <c r="J1169" t="s">
        <v>363</v>
      </c>
      <c r="K1169" t="str">
        <f>Tabla14[[#This Row],[id]]&amp;Tabla14[[#This Row],[Resposable]]</f>
        <v>98Raul Castillo</v>
      </c>
      <c r="L1169" t="str">
        <f>Tabla14[[#This Row],[id]]&amp;Tabla14[[#This Row],[Resposable]]</f>
        <v>98Raul Castillo</v>
      </c>
      <c r="M1169" t="s">
        <v>256</v>
      </c>
    </row>
    <row r="1170" spans="1:13" x14ac:dyDescent="0.25">
      <c r="A1170" t="s">
        <v>39</v>
      </c>
      <c r="B1170">
        <v>98</v>
      </c>
      <c r="C1170" t="s">
        <v>7</v>
      </c>
      <c r="D1170" t="s">
        <v>230</v>
      </c>
      <c r="E1170" t="s">
        <v>47</v>
      </c>
      <c r="F1170" s="4" t="s">
        <v>82</v>
      </c>
      <c r="G1170" t="s">
        <v>253</v>
      </c>
      <c r="H1170" t="s">
        <v>256</v>
      </c>
      <c r="I1170" t="s">
        <v>395</v>
      </c>
      <c r="J1170" t="s">
        <v>363</v>
      </c>
      <c r="K1170" t="str">
        <f>Tabla14[[#This Row],[id]]&amp;Tabla14[[#This Row],[Resposable]]</f>
        <v>98Raul Castillo</v>
      </c>
      <c r="L1170" t="str">
        <f>Tabla14[[#This Row],[id]]&amp;Tabla14[[#This Row],[Resposable]]</f>
        <v>98Raul Castillo</v>
      </c>
      <c r="M1170" t="s">
        <v>256</v>
      </c>
    </row>
    <row r="1171" spans="1:13" x14ac:dyDescent="0.25">
      <c r="A1171" t="s">
        <v>39</v>
      </c>
      <c r="B1171">
        <v>98</v>
      </c>
      <c r="C1171" t="s">
        <v>8</v>
      </c>
      <c r="D1171" t="s">
        <v>172</v>
      </c>
      <c r="E1171" t="s">
        <v>47</v>
      </c>
      <c r="F1171" s="4" t="s">
        <v>82</v>
      </c>
      <c r="G1171" t="s">
        <v>253</v>
      </c>
      <c r="H1171" t="s">
        <v>256</v>
      </c>
      <c r="I1171" t="s">
        <v>395</v>
      </c>
      <c r="J1171" t="s">
        <v>363</v>
      </c>
      <c r="K1171" t="str">
        <f>Tabla14[[#This Row],[id]]&amp;Tabla14[[#This Row],[Resposable]]</f>
        <v>98Raul Castillo</v>
      </c>
      <c r="L1171" t="str">
        <f>Tabla14[[#This Row],[id]]&amp;Tabla14[[#This Row],[Resposable]]</f>
        <v>98Raul Castillo</v>
      </c>
      <c r="M1171" t="s">
        <v>256</v>
      </c>
    </row>
    <row r="1172" spans="1:13" x14ac:dyDescent="0.25">
      <c r="A1172" s="18" t="s">
        <v>35</v>
      </c>
      <c r="B1172" s="18">
        <v>145</v>
      </c>
      <c r="C1172" s="18" t="s">
        <v>7</v>
      </c>
      <c r="D1172" s="18" t="s">
        <v>213</v>
      </c>
      <c r="E1172" s="18" t="s">
        <v>47</v>
      </c>
      <c r="F1172" s="19" t="s">
        <v>71</v>
      </c>
      <c r="G1172" s="18" t="s">
        <v>253</v>
      </c>
      <c r="H1172" t="s">
        <v>256</v>
      </c>
      <c r="I1172" t="s">
        <v>395</v>
      </c>
      <c r="J1172" t="s">
        <v>363</v>
      </c>
      <c r="K1172" t="str">
        <f>Tabla14[[#This Row],[id]]&amp;Tabla14[[#This Row],[Resposable]]</f>
        <v>145Raul Castillo</v>
      </c>
      <c r="L1172" t="str">
        <f>Tabla14[[#This Row],[id]]&amp;Tabla14[[#This Row],[Resposable]]</f>
        <v>145Raul Castillo</v>
      </c>
      <c r="M1172" t="s">
        <v>256</v>
      </c>
    </row>
    <row r="1173" spans="1:13" x14ac:dyDescent="0.25">
      <c r="A1173" s="18" t="s">
        <v>35</v>
      </c>
      <c r="B1173" s="18">
        <v>145</v>
      </c>
      <c r="C1173" s="18" t="s">
        <v>7</v>
      </c>
      <c r="D1173" s="18" t="s">
        <v>214</v>
      </c>
      <c r="E1173" s="18" t="s">
        <v>47</v>
      </c>
      <c r="F1173" s="19" t="s">
        <v>71</v>
      </c>
      <c r="G1173" s="18" t="s">
        <v>253</v>
      </c>
      <c r="H1173" t="s">
        <v>256</v>
      </c>
      <c r="I1173" t="s">
        <v>395</v>
      </c>
      <c r="J1173" t="s">
        <v>363</v>
      </c>
      <c r="K1173" t="str">
        <f>Tabla14[[#This Row],[id]]&amp;Tabla14[[#This Row],[Resposable]]</f>
        <v>145Raul Castillo</v>
      </c>
      <c r="L1173" t="str">
        <f>Tabla14[[#This Row],[id]]&amp;Tabla14[[#This Row],[Resposable]]</f>
        <v>145Raul Castillo</v>
      </c>
      <c r="M1173" t="s">
        <v>256</v>
      </c>
    </row>
    <row r="1174" spans="1:13" x14ac:dyDescent="0.25">
      <c r="A1174" s="18" t="s">
        <v>35</v>
      </c>
      <c r="B1174" s="18">
        <v>145</v>
      </c>
      <c r="C1174" s="18" t="s">
        <v>7</v>
      </c>
      <c r="D1174" s="18" t="s">
        <v>215</v>
      </c>
      <c r="E1174" s="18" t="s">
        <v>47</v>
      </c>
      <c r="F1174" s="19" t="s">
        <v>71</v>
      </c>
      <c r="G1174" s="18" t="s">
        <v>253</v>
      </c>
      <c r="H1174" t="s">
        <v>256</v>
      </c>
      <c r="I1174" t="s">
        <v>395</v>
      </c>
      <c r="J1174" t="s">
        <v>363</v>
      </c>
      <c r="K1174" t="str">
        <f>Tabla14[[#This Row],[id]]&amp;Tabla14[[#This Row],[Resposable]]</f>
        <v>145Raul Castillo</v>
      </c>
      <c r="L1174" t="str">
        <f>Tabla14[[#This Row],[id]]&amp;Tabla14[[#This Row],[Resposable]]</f>
        <v>145Raul Castillo</v>
      </c>
      <c r="M1174" t="s">
        <v>256</v>
      </c>
    </row>
    <row r="1175" spans="1:13" x14ac:dyDescent="0.25">
      <c r="A1175" s="18" t="s">
        <v>35</v>
      </c>
      <c r="B1175" s="18">
        <v>145</v>
      </c>
      <c r="C1175" s="18" t="s">
        <v>8</v>
      </c>
      <c r="D1175" s="18" t="s">
        <v>172</v>
      </c>
      <c r="E1175" s="18" t="s">
        <v>47</v>
      </c>
      <c r="F1175" s="19" t="s">
        <v>50</v>
      </c>
      <c r="G1175" s="18" t="s">
        <v>253</v>
      </c>
      <c r="H1175" t="s">
        <v>256</v>
      </c>
      <c r="I1175" t="s">
        <v>395</v>
      </c>
      <c r="J1175" t="s">
        <v>363</v>
      </c>
      <c r="K1175" t="str">
        <f>Tabla14[[#This Row],[id]]&amp;Tabla14[[#This Row],[Resposable]]</f>
        <v>145Raul Castillo</v>
      </c>
      <c r="L1175" t="str">
        <f>Tabla14[[#This Row],[id]]&amp;Tabla14[[#This Row],[Resposable]]</f>
        <v>145Raul Castillo</v>
      </c>
      <c r="M1175" t="s">
        <v>256</v>
      </c>
    </row>
    <row r="1176" spans="1:13" x14ac:dyDescent="0.25">
      <c r="A1176" t="s">
        <v>323</v>
      </c>
      <c r="B1176">
        <v>124</v>
      </c>
      <c r="C1176" t="s">
        <v>6</v>
      </c>
      <c r="D1176" t="s">
        <v>170</v>
      </c>
      <c r="E1176" t="s">
        <v>47</v>
      </c>
      <c r="F1176" s="4" t="s">
        <v>60</v>
      </c>
      <c r="G1176" t="s">
        <v>239</v>
      </c>
      <c r="H1176" t="s">
        <v>29</v>
      </c>
      <c r="I1176" t="s">
        <v>399</v>
      </c>
      <c r="J1176" t="s">
        <v>361</v>
      </c>
      <c r="K1176" t="str">
        <f>Tabla14[[#This Row],[id]]&amp;Tabla14[[#This Row],[Resposable]]</f>
        <v>124Sergio Linares</v>
      </c>
      <c r="L1176" t="str">
        <f>Tabla14[[#This Row],[id]]&amp;Tabla14[[#This Row],[Resposable]]</f>
        <v>124Sergio Linares</v>
      </c>
      <c r="M1176" t="s">
        <v>29</v>
      </c>
    </row>
    <row r="1177" spans="1:13" x14ac:dyDescent="0.25">
      <c r="A1177" t="s">
        <v>323</v>
      </c>
      <c r="B1177">
        <v>124</v>
      </c>
      <c r="C1177" t="s">
        <v>8</v>
      </c>
      <c r="D1177" t="s">
        <v>179</v>
      </c>
      <c r="E1177" t="s">
        <v>47</v>
      </c>
      <c r="F1177" s="4" t="s">
        <v>77</v>
      </c>
      <c r="G1177" t="s">
        <v>239</v>
      </c>
      <c r="H1177" t="s">
        <v>29</v>
      </c>
      <c r="I1177" t="s">
        <v>399</v>
      </c>
      <c r="J1177" t="s">
        <v>361</v>
      </c>
      <c r="K1177" t="str">
        <f>Tabla14[[#This Row],[id]]&amp;Tabla14[[#This Row],[Resposable]]</f>
        <v>124Sergio Linares</v>
      </c>
      <c r="L1177" t="str">
        <f>Tabla14[[#This Row],[id]]&amp;Tabla14[[#This Row],[Resposable]]</f>
        <v>124Sergio Linares</v>
      </c>
      <c r="M1177" t="s">
        <v>29</v>
      </c>
    </row>
    <row r="1178" spans="1:13" x14ac:dyDescent="0.25">
      <c r="A1178" t="s">
        <v>323</v>
      </c>
      <c r="B1178">
        <v>124</v>
      </c>
      <c r="C1178" t="s">
        <v>6</v>
      </c>
      <c r="D1178" t="s">
        <v>172</v>
      </c>
      <c r="E1178" t="s">
        <v>47</v>
      </c>
      <c r="F1178" s="4" t="s">
        <v>150</v>
      </c>
      <c r="G1178" t="s">
        <v>239</v>
      </c>
      <c r="H1178" t="s">
        <v>29</v>
      </c>
      <c r="I1178" t="s">
        <v>399</v>
      </c>
      <c r="J1178" t="s">
        <v>361</v>
      </c>
      <c r="K1178" t="str">
        <f>Tabla14[[#This Row],[id]]&amp;Tabla14[[#This Row],[Resposable]]</f>
        <v>124Sergio Linares</v>
      </c>
      <c r="L1178" t="str">
        <f>Tabla14[[#This Row],[id]]&amp;Tabla14[[#This Row],[Resposable]]</f>
        <v>124Sergio Linares</v>
      </c>
      <c r="M1178" t="s">
        <v>29</v>
      </c>
    </row>
    <row r="1179" spans="1:13" x14ac:dyDescent="0.25">
      <c r="A1179" t="s">
        <v>34</v>
      </c>
      <c r="B1179">
        <v>23</v>
      </c>
      <c r="C1179" t="s">
        <v>8</v>
      </c>
      <c r="D1179" t="s">
        <v>204</v>
      </c>
      <c r="E1179" t="s">
        <v>47</v>
      </c>
      <c r="F1179" s="4" t="s">
        <v>48</v>
      </c>
      <c r="G1179" t="s">
        <v>253</v>
      </c>
      <c r="H1179" t="s">
        <v>324</v>
      </c>
      <c r="I1179" t="s">
        <v>394</v>
      </c>
      <c r="J1179" t="s">
        <v>363</v>
      </c>
      <c r="K1179" t="str">
        <f>Tabla14[[#This Row],[id]]&amp;Tabla14[[#This Row],[Resposable]]</f>
        <v>23Willy Chic</v>
      </c>
      <c r="L1179" t="str">
        <f>Tabla14[[#This Row],[id]]&amp;Tabla14[[#This Row],[Resposable]]</f>
        <v>23Willy Chic</v>
      </c>
      <c r="M1179" t="s">
        <v>324</v>
      </c>
    </row>
    <row r="1180" spans="1:13" x14ac:dyDescent="0.25">
      <c r="A1180" t="s">
        <v>34</v>
      </c>
      <c r="B1180">
        <v>23</v>
      </c>
      <c r="C1180" t="s">
        <v>9</v>
      </c>
      <c r="D1180" t="s">
        <v>205</v>
      </c>
      <c r="E1180" t="s">
        <v>47</v>
      </c>
      <c r="F1180" s="4" t="s">
        <v>82</v>
      </c>
      <c r="G1180" t="s">
        <v>253</v>
      </c>
      <c r="H1180" t="s">
        <v>324</v>
      </c>
      <c r="I1180" t="s">
        <v>394</v>
      </c>
      <c r="J1180" t="s">
        <v>363</v>
      </c>
      <c r="K1180" t="str">
        <f>Tabla14[[#This Row],[id]]&amp;Tabla14[[#This Row],[Resposable]]</f>
        <v>23Willy Chic</v>
      </c>
      <c r="L1180" t="str">
        <f>Tabla14[[#This Row],[id]]&amp;Tabla14[[#This Row],[Resposable]]</f>
        <v>23Willy Chic</v>
      </c>
      <c r="M1180" t="s">
        <v>324</v>
      </c>
    </row>
    <row r="1181" spans="1:13" x14ac:dyDescent="0.25">
      <c r="A1181" t="s">
        <v>34</v>
      </c>
      <c r="B1181">
        <v>23</v>
      </c>
      <c r="C1181" t="s">
        <v>7</v>
      </c>
      <c r="D1181" t="s">
        <v>208</v>
      </c>
      <c r="E1181" t="s">
        <v>47</v>
      </c>
      <c r="F1181" s="4" t="s">
        <v>184</v>
      </c>
      <c r="G1181" t="s">
        <v>253</v>
      </c>
      <c r="H1181" t="s">
        <v>324</v>
      </c>
      <c r="I1181" t="s">
        <v>394</v>
      </c>
      <c r="J1181" t="s">
        <v>363</v>
      </c>
      <c r="K1181" t="str">
        <f>Tabla14[[#This Row],[id]]&amp;Tabla14[[#This Row],[Resposable]]</f>
        <v>23Willy Chic</v>
      </c>
      <c r="L1181" t="str">
        <f>Tabla14[[#This Row],[id]]&amp;Tabla14[[#This Row],[Resposable]]</f>
        <v>23Willy Chic</v>
      </c>
      <c r="M1181" t="s">
        <v>324</v>
      </c>
    </row>
    <row r="1182" spans="1:13" x14ac:dyDescent="0.25">
      <c r="A1182" t="s">
        <v>34</v>
      </c>
      <c r="B1182">
        <v>23</v>
      </c>
      <c r="C1182" t="s">
        <v>9</v>
      </c>
      <c r="D1182" t="s">
        <v>211</v>
      </c>
      <c r="E1182" t="s">
        <v>47</v>
      </c>
      <c r="F1182" s="4" t="s">
        <v>82</v>
      </c>
      <c r="G1182" t="s">
        <v>253</v>
      </c>
      <c r="H1182" t="s">
        <v>324</v>
      </c>
      <c r="I1182" t="s">
        <v>394</v>
      </c>
      <c r="J1182" t="s">
        <v>363</v>
      </c>
      <c r="K1182" t="str">
        <f>Tabla14[[#This Row],[id]]&amp;Tabla14[[#This Row],[Resposable]]</f>
        <v>23Willy Chic</v>
      </c>
      <c r="L1182" t="str">
        <f>Tabla14[[#This Row],[id]]&amp;Tabla14[[#This Row],[Resposable]]</f>
        <v>23Willy Chic</v>
      </c>
      <c r="M1182" t="s">
        <v>324</v>
      </c>
    </row>
    <row r="1183" spans="1:13" x14ac:dyDescent="0.25">
      <c r="A1183" t="s">
        <v>34</v>
      </c>
      <c r="B1183">
        <v>23</v>
      </c>
      <c r="C1183" t="s">
        <v>7</v>
      </c>
      <c r="D1183" t="s">
        <v>212</v>
      </c>
      <c r="E1183" t="s">
        <v>47</v>
      </c>
      <c r="F1183" s="4" t="s">
        <v>71</v>
      </c>
      <c r="G1183" t="s">
        <v>253</v>
      </c>
      <c r="H1183" t="s">
        <v>324</v>
      </c>
      <c r="I1183" t="s">
        <v>394</v>
      </c>
      <c r="J1183" t="s">
        <v>363</v>
      </c>
      <c r="K1183" t="str">
        <f>Tabla14[[#This Row],[id]]&amp;Tabla14[[#This Row],[Resposable]]</f>
        <v>23Willy Chic</v>
      </c>
      <c r="L1183" t="str">
        <f>Tabla14[[#This Row],[id]]&amp;Tabla14[[#This Row],[Resposable]]</f>
        <v>23Willy Chic</v>
      </c>
      <c r="M1183" t="s">
        <v>324</v>
      </c>
    </row>
    <row r="1184" spans="1:13" x14ac:dyDescent="0.25">
      <c r="A1184" t="s">
        <v>36</v>
      </c>
      <c r="B1184">
        <v>23</v>
      </c>
      <c r="C1184" t="s">
        <v>8</v>
      </c>
      <c r="D1184" t="s">
        <v>204</v>
      </c>
      <c r="E1184" t="s">
        <v>47</v>
      </c>
      <c r="F1184" s="4" t="s">
        <v>48</v>
      </c>
      <c r="G1184" t="s">
        <v>253</v>
      </c>
      <c r="H1184" t="s">
        <v>324</v>
      </c>
      <c r="I1184" t="s">
        <v>394</v>
      </c>
      <c r="J1184" t="s">
        <v>363</v>
      </c>
      <c r="K1184" t="str">
        <f>Tabla14[[#This Row],[id]]&amp;Tabla14[[#This Row],[Resposable]]</f>
        <v>23Willy Chic</v>
      </c>
      <c r="L1184" t="str">
        <f>Tabla14[[#This Row],[id]]&amp;Tabla14[[#This Row],[Resposable]]</f>
        <v>23Willy Chic</v>
      </c>
      <c r="M1184" t="s">
        <v>324</v>
      </c>
    </row>
    <row r="1185" spans="1:13" x14ac:dyDescent="0.25">
      <c r="A1185" t="s">
        <v>36</v>
      </c>
      <c r="B1185">
        <v>23</v>
      </c>
      <c r="C1185" t="s">
        <v>9</v>
      </c>
      <c r="D1185" t="s">
        <v>205</v>
      </c>
      <c r="E1185" t="s">
        <v>47</v>
      </c>
      <c r="F1185" s="4" t="s">
        <v>82</v>
      </c>
      <c r="G1185" t="s">
        <v>253</v>
      </c>
      <c r="H1185" t="s">
        <v>324</v>
      </c>
      <c r="I1185" t="s">
        <v>394</v>
      </c>
      <c r="J1185" t="s">
        <v>363</v>
      </c>
      <c r="K1185" t="str">
        <f>Tabla14[[#This Row],[id]]&amp;Tabla14[[#This Row],[Resposable]]</f>
        <v>23Willy Chic</v>
      </c>
      <c r="L1185" t="str">
        <f>Tabla14[[#This Row],[id]]&amp;Tabla14[[#This Row],[Resposable]]</f>
        <v>23Willy Chic</v>
      </c>
      <c r="M1185" t="s">
        <v>324</v>
      </c>
    </row>
    <row r="1186" spans="1:13" x14ac:dyDescent="0.25">
      <c r="A1186" t="s">
        <v>36</v>
      </c>
      <c r="B1186">
        <v>23</v>
      </c>
      <c r="C1186" t="s">
        <v>7</v>
      </c>
      <c r="D1186" t="s">
        <v>208</v>
      </c>
      <c r="E1186" t="s">
        <v>47</v>
      </c>
      <c r="F1186" s="4" t="s">
        <v>184</v>
      </c>
      <c r="G1186" t="s">
        <v>253</v>
      </c>
      <c r="H1186" t="s">
        <v>324</v>
      </c>
      <c r="I1186" t="s">
        <v>394</v>
      </c>
      <c r="J1186" t="s">
        <v>363</v>
      </c>
      <c r="K1186" t="str">
        <f>Tabla14[[#This Row],[id]]&amp;Tabla14[[#This Row],[Resposable]]</f>
        <v>23Willy Chic</v>
      </c>
      <c r="L1186" t="str">
        <f>Tabla14[[#This Row],[id]]&amp;Tabla14[[#This Row],[Resposable]]</f>
        <v>23Willy Chic</v>
      </c>
      <c r="M1186" t="s">
        <v>324</v>
      </c>
    </row>
    <row r="1187" spans="1:13" x14ac:dyDescent="0.25">
      <c r="A1187" t="s">
        <v>36</v>
      </c>
      <c r="B1187">
        <v>23</v>
      </c>
      <c r="C1187" t="s">
        <v>9</v>
      </c>
      <c r="D1187" t="s">
        <v>211</v>
      </c>
      <c r="E1187" t="s">
        <v>47</v>
      </c>
      <c r="F1187" s="4" t="s">
        <v>82</v>
      </c>
      <c r="G1187" t="s">
        <v>253</v>
      </c>
      <c r="H1187" t="s">
        <v>324</v>
      </c>
      <c r="I1187" t="s">
        <v>394</v>
      </c>
      <c r="J1187" t="s">
        <v>363</v>
      </c>
      <c r="K1187" t="str">
        <f>Tabla14[[#This Row],[id]]&amp;Tabla14[[#This Row],[Resposable]]</f>
        <v>23Willy Chic</v>
      </c>
      <c r="L1187" t="str">
        <f>Tabla14[[#This Row],[id]]&amp;Tabla14[[#This Row],[Resposable]]</f>
        <v>23Willy Chic</v>
      </c>
      <c r="M1187" t="s">
        <v>324</v>
      </c>
    </row>
    <row r="1188" spans="1:13" x14ac:dyDescent="0.25">
      <c r="A1188" t="s">
        <v>36</v>
      </c>
      <c r="B1188">
        <v>23</v>
      </c>
      <c r="C1188" t="s">
        <v>7</v>
      </c>
      <c r="D1188" t="s">
        <v>212</v>
      </c>
      <c r="E1188" t="s">
        <v>47</v>
      </c>
      <c r="F1188" s="4" t="s">
        <v>71</v>
      </c>
      <c r="G1188" t="s">
        <v>253</v>
      </c>
      <c r="H1188" t="s">
        <v>324</v>
      </c>
      <c r="I1188" t="s">
        <v>394</v>
      </c>
      <c r="J1188" t="s">
        <v>363</v>
      </c>
      <c r="K1188" t="str">
        <f>Tabla14[[#This Row],[id]]&amp;Tabla14[[#This Row],[Resposable]]</f>
        <v>23Willy Chic</v>
      </c>
      <c r="L1188" t="str">
        <f>Tabla14[[#This Row],[id]]&amp;Tabla14[[#This Row],[Resposable]]</f>
        <v>23Willy Chic</v>
      </c>
      <c r="M1188" t="s">
        <v>324</v>
      </c>
    </row>
    <row r="1189" spans="1:13" x14ac:dyDescent="0.25">
      <c r="A1189" t="s">
        <v>38</v>
      </c>
      <c r="B1189">
        <v>23</v>
      </c>
      <c r="C1189" t="s">
        <v>9</v>
      </c>
      <c r="D1189" t="s">
        <v>223</v>
      </c>
      <c r="E1189" t="s">
        <v>47</v>
      </c>
      <c r="F1189" s="4" t="s">
        <v>58</v>
      </c>
      <c r="G1189" t="s">
        <v>253</v>
      </c>
      <c r="H1189" t="s">
        <v>324</v>
      </c>
      <c r="I1189" t="s">
        <v>394</v>
      </c>
      <c r="J1189" t="s">
        <v>363</v>
      </c>
      <c r="K1189" t="str">
        <f>Tabla14[[#This Row],[id]]&amp;Tabla14[[#This Row],[Resposable]]</f>
        <v>23Willy Chic</v>
      </c>
      <c r="L1189" t="str">
        <f>Tabla14[[#This Row],[id]]&amp;Tabla14[[#This Row],[Resposable]]</f>
        <v>23Willy Chic</v>
      </c>
      <c r="M1189" t="s">
        <v>324</v>
      </c>
    </row>
    <row r="1190" spans="1:13" x14ac:dyDescent="0.25">
      <c r="A1190" t="s">
        <v>38</v>
      </c>
      <c r="B1190">
        <v>23</v>
      </c>
      <c r="C1190" t="s">
        <v>8</v>
      </c>
      <c r="D1190" t="s">
        <v>218</v>
      </c>
      <c r="E1190" t="s">
        <v>47</v>
      </c>
      <c r="F1190" s="4" t="s">
        <v>71</v>
      </c>
      <c r="G1190" t="s">
        <v>253</v>
      </c>
      <c r="H1190" t="s">
        <v>324</v>
      </c>
      <c r="I1190" t="s">
        <v>394</v>
      </c>
      <c r="J1190" t="s">
        <v>363</v>
      </c>
      <c r="K1190" t="str">
        <f>Tabla14[[#This Row],[id]]&amp;Tabla14[[#This Row],[Resposable]]</f>
        <v>23Willy Chic</v>
      </c>
      <c r="L1190" t="str">
        <f>Tabla14[[#This Row],[id]]&amp;Tabla14[[#This Row],[Resposable]]</f>
        <v>23Willy Chic</v>
      </c>
      <c r="M1190" t="s">
        <v>324</v>
      </c>
    </row>
    <row r="1191" spans="1:13" x14ac:dyDescent="0.25">
      <c r="A1191" t="s">
        <v>38</v>
      </c>
      <c r="B1191">
        <v>23</v>
      </c>
      <c r="C1191" t="s">
        <v>18</v>
      </c>
      <c r="D1191" t="s">
        <v>224</v>
      </c>
      <c r="E1191" t="s">
        <v>47</v>
      </c>
      <c r="F1191" s="4" t="s">
        <v>58</v>
      </c>
      <c r="G1191" t="s">
        <v>253</v>
      </c>
      <c r="H1191" t="s">
        <v>324</v>
      </c>
      <c r="I1191" t="s">
        <v>394</v>
      </c>
      <c r="J1191" t="s">
        <v>363</v>
      </c>
      <c r="K1191" t="str">
        <f>Tabla14[[#This Row],[id]]&amp;Tabla14[[#This Row],[Resposable]]</f>
        <v>23Willy Chic</v>
      </c>
      <c r="L1191" t="str">
        <f>Tabla14[[#This Row],[id]]&amp;Tabla14[[#This Row],[Resposable]]</f>
        <v>23Willy Chic</v>
      </c>
      <c r="M1191" t="s">
        <v>324</v>
      </c>
    </row>
    <row r="1192" spans="1:13" x14ac:dyDescent="0.25">
      <c r="A1192" t="s">
        <v>38</v>
      </c>
      <c r="B1192">
        <v>23</v>
      </c>
      <c r="C1192" t="s">
        <v>9</v>
      </c>
      <c r="D1192" t="s">
        <v>225</v>
      </c>
      <c r="E1192" t="s">
        <v>47</v>
      </c>
      <c r="F1192" s="4" t="s">
        <v>58</v>
      </c>
      <c r="G1192" t="s">
        <v>253</v>
      </c>
      <c r="H1192" t="s">
        <v>324</v>
      </c>
      <c r="I1192" t="s">
        <v>394</v>
      </c>
      <c r="J1192" t="s">
        <v>363</v>
      </c>
      <c r="K1192" t="str">
        <f>Tabla14[[#This Row],[id]]&amp;Tabla14[[#This Row],[Resposable]]</f>
        <v>23Willy Chic</v>
      </c>
      <c r="L1192" t="str">
        <f>Tabla14[[#This Row],[id]]&amp;Tabla14[[#This Row],[Resposable]]</f>
        <v>23Willy Chic</v>
      </c>
      <c r="M1192" t="s">
        <v>324</v>
      </c>
    </row>
    <row r="1193" spans="1:13" x14ac:dyDescent="0.25">
      <c r="A1193" t="s">
        <v>38</v>
      </c>
      <c r="B1193">
        <v>23</v>
      </c>
      <c r="C1193" t="s">
        <v>9</v>
      </c>
      <c r="D1193" t="s">
        <v>226</v>
      </c>
      <c r="E1193" t="s">
        <v>47</v>
      </c>
      <c r="F1193" s="4" t="s">
        <v>58</v>
      </c>
      <c r="G1193" t="s">
        <v>253</v>
      </c>
      <c r="H1193" t="s">
        <v>324</v>
      </c>
      <c r="I1193" t="s">
        <v>394</v>
      </c>
      <c r="J1193" t="s">
        <v>363</v>
      </c>
      <c r="K1193" t="str">
        <f>Tabla14[[#This Row],[id]]&amp;Tabla14[[#This Row],[Resposable]]</f>
        <v>23Willy Chic</v>
      </c>
      <c r="L1193" t="str">
        <f>Tabla14[[#This Row],[id]]&amp;Tabla14[[#This Row],[Resposable]]</f>
        <v>23Willy Chic</v>
      </c>
      <c r="M1193" t="s">
        <v>324</v>
      </c>
    </row>
    <row r="1194" spans="1:13" x14ac:dyDescent="0.25">
      <c r="A1194" t="s">
        <v>38</v>
      </c>
      <c r="B1194">
        <v>23</v>
      </c>
      <c r="C1194" t="s">
        <v>9</v>
      </c>
      <c r="D1194" t="s">
        <v>228</v>
      </c>
      <c r="E1194" t="s">
        <v>47</v>
      </c>
      <c r="F1194" s="4" t="s">
        <v>58</v>
      </c>
      <c r="G1194" t="s">
        <v>253</v>
      </c>
      <c r="H1194" t="s">
        <v>324</v>
      </c>
      <c r="I1194" t="s">
        <v>394</v>
      </c>
      <c r="J1194" t="s">
        <v>363</v>
      </c>
      <c r="K1194" t="str">
        <f>Tabla14[[#This Row],[id]]&amp;Tabla14[[#This Row],[Resposable]]</f>
        <v>23Willy Chic</v>
      </c>
      <c r="L1194" t="str">
        <f>Tabla14[[#This Row],[id]]&amp;Tabla14[[#This Row],[Resposable]]</f>
        <v>23Willy Chic</v>
      </c>
      <c r="M1194" t="s">
        <v>324</v>
      </c>
    </row>
    <row r="1195" spans="1:13" x14ac:dyDescent="0.25">
      <c r="A1195" t="s">
        <v>37</v>
      </c>
      <c r="B1195">
        <v>34</v>
      </c>
      <c r="C1195" t="s">
        <v>8</v>
      </c>
      <c r="D1195" t="s">
        <v>218</v>
      </c>
      <c r="E1195" t="s">
        <v>47</v>
      </c>
      <c r="F1195" s="4" t="s">
        <v>71</v>
      </c>
      <c r="G1195" t="s">
        <v>253</v>
      </c>
      <c r="H1195" t="s">
        <v>324</v>
      </c>
      <c r="I1195" t="s">
        <v>394</v>
      </c>
      <c r="J1195" t="s">
        <v>363</v>
      </c>
      <c r="K1195" t="str">
        <f>Tabla14[[#This Row],[id]]&amp;Tabla14[[#This Row],[Resposable]]</f>
        <v>34Willy Chic</v>
      </c>
      <c r="L1195" t="str">
        <f>Tabla14[[#This Row],[id]]&amp;Tabla14[[#This Row],[Resposable]]</f>
        <v>34Willy Chic</v>
      </c>
      <c r="M1195" t="s">
        <v>324</v>
      </c>
    </row>
    <row r="1196" spans="1:13" x14ac:dyDescent="0.25">
      <c r="A1196" t="s">
        <v>37</v>
      </c>
      <c r="B1196">
        <v>34</v>
      </c>
      <c r="C1196" t="s">
        <v>8</v>
      </c>
      <c r="D1196" t="s">
        <v>219</v>
      </c>
      <c r="E1196" t="s">
        <v>47</v>
      </c>
      <c r="F1196" s="4" t="s">
        <v>71</v>
      </c>
      <c r="G1196" t="s">
        <v>253</v>
      </c>
      <c r="H1196" t="s">
        <v>324</v>
      </c>
      <c r="I1196" t="s">
        <v>394</v>
      </c>
      <c r="J1196" t="s">
        <v>363</v>
      </c>
      <c r="K1196" t="str">
        <f>Tabla14[[#This Row],[id]]&amp;Tabla14[[#This Row],[Resposable]]</f>
        <v>34Willy Chic</v>
      </c>
      <c r="L1196" t="str">
        <f>Tabla14[[#This Row],[id]]&amp;Tabla14[[#This Row],[Resposable]]</f>
        <v>34Willy Chic</v>
      </c>
      <c r="M1196" t="s">
        <v>324</v>
      </c>
    </row>
    <row r="1197" spans="1:13" x14ac:dyDescent="0.25">
      <c r="A1197" t="s">
        <v>37</v>
      </c>
      <c r="B1197">
        <v>34</v>
      </c>
      <c r="C1197" t="s">
        <v>7</v>
      </c>
      <c r="D1197" t="s">
        <v>220</v>
      </c>
      <c r="E1197" t="s">
        <v>47</v>
      </c>
      <c r="F1197" s="4" t="s">
        <v>71</v>
      </c>
      <c r="G1197" t="s">
        <v>253</v>
      </c>
      <c r="H1197" t="s">
        <v>324</v>
      </c>
      <c r="I1197" t="s">
        <v>394</v>
      </c>
      <c r="J1197" t="s">
        <v>363</v>
      </c>
      <c r="K1197" t="str">
        <f>Tabla14[[#This Row],[id]]&amp;Tabla14[[#This Row],[Resposable]]</f>
        <v>34Willy Chic</v>
      </c>
      <c r="L1197" t="str">
        <f>Tabla14[[#This Row],[id]]&amp;Tabla14[[#This Row],[Resposable]]</f>
        <v>34Willy Chic</v>
      </c>
      <c r="M1197" t="s">
        <v>324</v>
      </c>
    </row>
    <row r="1198" spans="1:13" x14ac:dyDescent="0.25">
      <c r="A1198" t="s">
        <v>37</v>
      </c>
      <c r="B1198">
        <v>34</v>
      </c>
      <c r="C1198" t="s">
        <v>7</v>
      </c>
      <c r="D1198" t="s">
        <v>213</v>
      </c>
      <c r="E1198" t="s">
        <v>47</v>
      </c>
      <c r="F1198" s="4" t="s">
        <v>71</v>
      </c>
      <c r="G1198" t="s">
        <v>253</v>
      </c>
      <c r="H1198" t="s">
        <v>324</v>
      </c>
      <c r="I1198" t="s">
        <v>394</v>
      </c>
      <c r="J1198" t="s">
        <v>363</v>
      </c>
      <c r="K1198" t="str">
        <f>Tabla14[[#This Row],[id]]&amp;Tabla14[[#This Row],[Resposable]]</f>
        <v>34Willy Chic</v>
      </c>
      <c r="L1198" t="str">
        <f>Tabla14[[#This Row],[id]]&amp;Tabla14[[#This Row],[Resposable]]</f>
        <v>34Willy Chic</v>
      </c>
      <c r="M1198" t="s">
        <v>324</v>
      </c>
    </row>
    <row r="1199" spans="1:13" x14ac:dyDescent="0.25">
      <c r="A1199" t="s">
        <v>37</v>
      </c>
      <c r="B1199">
        <v>34</v>
      </c>
      <c r="C1199" t="s">
        <v>8</v>
      </c>
      <c r="D1199" t="s">
        <v>172</v>
      </c>
      <c r="E1199" t="s">
        <v>47</v>
      </c>
      <c r="F1199" s="4" t="s">
        <v>71</v>
      </c>
      <c r="G1199" t="s">
        <v>253</v>
      </c>
      <c r="H1199" t="s">
        <v>324</v>
      </c>
      <c r="I1199" t="s">
        <v>394</v>
      </c>
      <c r="J1199" t="s">
        <v>363</v>
      </c>
      <c r="K1199" t="str">
        <f>Tabla14[[#This Row],[id]]&amp;Tabla14[[#This Row],[Resposable]]</f>
        <v>34Willy Chic</v>
      </c>
      <c r="L1199" t="str">
        <f>Tabla14[[#This Row],[id]]&amp;Tabla14[[#This Row],[Resposable]]</f>
        <v>34Willy Chic</v>
      </c>
      <c r="M1199" t="s">
        <v>324</v>
      </c>
    </row>
    <row r="1200" spans="1:13" x14ac:dyDescent="0.25">
      <c r="A1200" t="s">
        <v>374</v>
      </c>
      <c r="B1200">
        <v>89</v>
      </c>
      <c r="C1200" t="s">
        <v>8</v>
      </c>
      <c r="D1200" t="s">
        <v>218</v>
      </c>
      <c r="E1200" t="s">
        <v>47</v>
      </c>
      <c r="F1200" s="4" t="s">
        <v>50</v>
      </c>
      <c r="G1200" t="s">
        <v>253</v>
      </c>
      <c r="H1200" t="s">
        <v>324</v>
      </c>
      <c r="I1200" t="s">
        <v>394</v>
      </c>
      <c r="J1200" t="s">
        <v>363</v>
      </c>
      <c r="K1200" t="str">
        <f>Tabla14[[#This Row],[id]]&amp;Tabla14[[#This Row],[Resposable]]</f>
        <v>89Willy Chic</v>
      </c>
      <c r="L1200" t="str">
        <f>Tabla14[[#This Row],[id]]&amp;Tabla14[[#This Row],[Resposable]]</f>
        <v>89Willy Chic</v>
      </c>
      <c r="M1200" t="s">
        <v>324</v>
      </c>
    </row>
    <row r="1201" spans="1:13" x14ac:dyDescent="0.25">
      <c r="A1201" t="s">
        <v>374</v>
      </c>
      <c r="B1201">
        <v>89</v>
      </c>
      <c r="C1201" t="s">
        <v>7</v>
      </c>
      <c r="D1201" t="s">
        <v>220</v>
      </c>
      <c r="E1201" t="s">
        <v>47</v>
      </c>
      <c r="F1201" s="4" t="s">
        <v>48</v>
      </c>
      <c r="G1201" t="s">
        <v>253</v>
      </c>
      <c r="H1201" t="s">
        <v>324</v>
      </c>
      <c r="I1201" t="s">
        <v>394</v>
      </c>
      <c r="J1201" t="s">
        <v>363</v>
      </c>
      <c r="K1201" t="str">
        <f>Tabla14[[#This Row],[id]]&amp;Tabla14[[#This Row],[Resposable]]</f>
        <v>89Willy Chic</v>
      </c>
      <c r="L1201" t="str">
        <f>Tabla14[[#This Row],[id]]&amp;Tabla14[[#This Row],[Resposable]]</f>
        <v>89Willy Chic</v>
      </c>
      <c r="M1201" t="s">
        <v>324</v>
      </c>
    </row>
    <row r="1202" spans="1:13" x14ac:dyDescent="0.25">
      <c r="A1202" t="s">
        <v>374</v>
      </c>
      <c r="B1202">
        <v>89</v>
      </c>
      <c r="C1202" t="s">
        <v>18</v>
      </c>
      <c r="D1202" t="s">
        <v>224</v>
      </c>
      <c r="E1202" t="s">
        <v>47</v>
      </c>
      <c r="F1202" s="4" t="s">
        <v>58</v>
      </c>
      <c r="G1202" t="s">
        <v>253</v>
      </c>
      <c r="H1202" t="s">
        <v>324</v>
      </c>
      <c r="I1202" t="s">
        <v>394</v>
      </c>
      <c r="J1202" t="s">
        <v>363</v>
      </c>
      <c r="K1202" t="str">
        <f>Tabla14[[#This Row],[id]]&amp;Tabla14[[#This Row],[Resposable]]</f>
        <v>89Willy Chic</v>
      </c>
      <c r="L1202" t="str">
        <f>Tabla14[[#This Row],[id]]&amp;Tabla14[[#This Row],[Resposable]]</f>
        <v>89Willy Chic</v>
      </c>
      <c r="M1202" t="s">
        <v>324</v>
      </c>
    </row>
    <row r="1203" spans="1:13" x14ac:dyDescent="0.25">
      <c r="A1203" t="s">
        <v>374</v>
      </c>
      <c r="B1203">
        <v>89</v>
      </c>
      <c r="C1203" t="s">
        <v>7</v>
      </c>
      <c r="D1203" t="s">
        <v>375</v>
      </c>
      <c r="E1203" t="s">
        <v>47</v>
      </c>
      <c r="F1203" s="4" t="s">
        <v>48</v>
      </c>
      <c r="G1203" t="s">
        <v>253</v>
      </c>
      <c r="H1203" t="s">
        <v>324</v>
      </c>
      <c r="I1203" t="s">
        <v>394</v>
      </c>
      <c r="J1203" t="s">
        <v>363</v>
      </c>
      <c r="K1203" t="str">
        <f>Tabla14[[#This Row],[id]]&amp;Tabla14[[#This Row],[Resposable]]</f>
        <v>89Willy Chic</v>
      </c>
      <c r="L1203" t="str">
        <f>Tabla14[[#This Row],[id]]&amp;Tabla14[[#This Row],[Resposable]]</f>
        <v>89Willy Chic</v>
      </c>
      <c r="M1203" t="s">
        <v>324</v>
      </c>
    </row>
    <row r="1204" spans="1:13" x14ac:dyDescent="0.25">
      <c r="A1204" t="s">
        <v>374</v>
      </c>
      <c r="B1204">
        <v>89</v>
      </c>
      <c r="C1204" t="s">
        <v>7</v>
      </c>
      <c r="D1204" t="s">
        <v>110</v>
      </c>
      <c r="E1204" t="s">
        <v>47</v>
      </c>
      <c r="F1204" s="4" t="s">
        <v>71</v>
      </c>
      <c r="G1204" t="s">
        <v>253</v>
      </c>
      <c r="H1204" t="s">
        <v>324</v>
      </c>
      <c r="I1204" t="s">
        <v>394</v>
      </c>
      <c r="J1204" t="s">
        <v>363</v>
      </c>
      <c r="K1204" t="str">
        <f>Tabla14[[#This Row],[id]]&amp;Tabla14[[#This Row],[Resposable]]</f>
        <v>89Willy Chic</v>
      </c>
      <c r="L1204" t="str">
        <f>Tabla14[[#This Row],[id]]&amp;Tabla14[[#This Row],[Resposable]]</f>
        <v>89Willy Chic</v>
      </c>
      <c r="M1204" t="s">
        <v>324</v>
      </c>
    </row>
    <row r="1205" spans="1:13" x14ac:dyDescent="0.25">
      <c r="A1205" t="s">
        <v>39</v>
      </c>
      <c r="B1205">
        <v>95</v>
      </c>
      <c r="C1205" t="s">
        <v>7</v>
      </c>
      <c r="D1205" t="s">
        <v>213</v>
      </c>
      <c r="E1205" t="s">
        <v>47</v>
      </c>
      <c r="F1205" s="4" t="s">
        <v>82</v>
      </c>
      <c r="G1205" t="s">
        <v>253</v>
      </c>
      <c r="H1205" t="s">
        <v>324</v>
      </c>
      <c r="I1205" t="s">
        <v>394</v>
      </c>
      <c r="J1205" t="s">
        <v>363</v>
      </c>
      <c r="K1205" t="str">
        <f>Tabla14[[#This Row],[id]]&amp;Tabla14[[#This Row],[Resposable]]</f>
        <v>95Willy Chic</v>
      </c>
      <c r="L1205" t="str">
        <f>Tabla14[[#This Row],[id]]&amp;Tabla14[[#This Row],[Resposable]]</f>
        <v>95Willy Chic</v>
      </c>
      <c r="M1205" t="s">
        <v>324</v>
      </c>
    </row>
    <row r="1206" spans="1:13" x14ac:dyDescent="0.25">
      <c r="A1206" t="s">
        <v>39</v>
      </c>
      <c r="B1206">
        <v>95</v>
      </c>
      <c r="C1206" t="s">
        <v>7</v>
      </c>
      <c r="D1206" t="s">
        <v>230</v>
      </c>
      <c r="E1206" t="s">
        <v>47</v>
      </c>
      <c r="F1206" s="4" t="s">
        <v>82</v>
      </c>
      <c r="G1206" t="s">
        <v>253</v>
      </c>
      <c r="H1206" t="s">
        <v>324</v>
      </c>
      <c r="I1206" t="s">
        <v>394</v>
      </c>
      <c r="J1206" t="s">
        <v>363</v>
      </c>
      <c r="K1206" t="str">
        <f>Tabla14[[#This Row],[id]]&amp;Tabla14[[#This Row],[Resposable]]</f>
        <v>95Willy Chic</v>
      </c>
      <c r="L1206" t="str">
        <f>Tabla14[[#This Row],[id]]&amp;Tabla14[[#This Row],[Resposable]]</f>
        <v>95Willy Chic</v>
      </c>
      <c r="M1206" t="s">
        <v>324</v>
      </c>
    </row>
    <row r="1207" spans="1:13" x14ac:dyDescent="0.25">
      <c r="A1207" t="s">
        <v>39</v>
      </c>
      <c r="B1207">
        <v>95</v>
      </c>
      <c r="C1207" t="s">
        <v>8</v>
      </c>
      <c r="D1207" t="s">
        <v>172</v>
      </c>
      <c r="E1207" t="s">
        <v>47</v>
      </c>
      <c r="F1207" s="4" t="s">
        <v>82</v>
      </c>
      <c r="G1207" t="s">
        <v>253</v>
      </c>
      <c r="H1207" t="s">
        <v>324</v>
      </c>
      <c r="I1207" t="s">
        <v>394</v>
      </c>
      <c r="J1207" t="s">
        <v>363</v>
      </c>
      <c r="K1207" t="str">
        <f>Tabla14[[#This Row],[id]]&amp;Tabla14[[#This Row],[Resposable]]</f>
        <v>95Willy Chic</v>
      </c>
      <c r="L1207" t="str">
        <f>Tabla14[[#This Row],[id]]&amp;Tabla14[[#This Row],[Resposable]]</f>
        <v>95Willy Chic</v>
      </c>
      <c r="M1207" t="s">
        <v>324</v>
      </c>
    </row>
    <row r="1208" spans="1:13" x14ac:dyDescent="0.25">
      <c r="A1208" s="18" t="s">
        <v>35</v>
      </c>
      <c r="B1208" s="18">
        <v>139</v>
      </c>
      <c r="C1208" s="18" t="s">
        <v>7</v>
      </c>
      <c r="D1208" s="18" t="s">
        <v>213</v>
      </c>
      <c r="E1208" s="18" t="s">
        <v>47</v>
      </c>
      <c r="F1208" s="19" t="s">
        <v>71</v>
      </c>
      <c r="G1208" s="18" t="s">
        <v>253</v>
      </c>
      <c r="H1208" t="s">
        <v>324</v>
      </c>
      <c r="I1208" t="s">
        <v>394</v>
      </c>
      <c r="J1208" t="s">
        <v>363</v>
      </c>
      <c r="K1208" t="str">
        <f>Tabla14[[#This Row],[id]]&amp;Tabla14[[#This Row],[Resposable]]</f>
        <v>139Willy Chic</v>
      </c>
      <c r="L1208" t="str">
        <f>Tabla14[[#This Row],[id]]&amp;Tabla14[[#This Row],[Resposable]]</f>
        <v>139Willy Chic</v>
      </c>
      <c r="M1208" t="s">
        <v>324</v>
      </c>
    </row>
    <row r="1209" spans="1:13" x14ac:dyDescent="0.25">
      <c r="A1209" s="18" t="s">
        <v>35</v>
      </c>
      <c r="B1209" s="18">
        <v>139</v>
      </c>
      <c r="C1209" s="18" t="s">
        <v>7</v>
      </c>
      <c r="D1209" s="18" t="s">
        <v>214</v>
      </c>
      <c r="E1209" s="18" t="s">
        <v>47</v>
      </c>
      <c r="F1209" s="19" t="s">
        <v>71</v>
      </c>
      <c r="G1209" s="18" t="s">
        <v>253</v>
      </c>
      <c r="H1209" t="s">
        <v>324</v>
      </c>
      <c r="I1209" t="s">
        <v>394</v>
      </c>
      <c r="J1209" t="s">
        <v>363</v>
      </c>
      <c r="K1209" t="str">
        <f>Tabla14[[#This Row],[id]]&amp;Tabla14[[#This Row],[Resposable]]</f>
        <v>139Willy Chic</v>
      </c>
      <c r="L1209" t="str">
        <f>Tabla14[[#This Row],[id]]&amp;Tabla14[[#This Row],[Resposable]]</f>
        <v>139Willy Chic</v>
      </c>
      <c r="M1209" t="s">
        <v>324</v>
      </c>
    </row>
    <row r="1210" spans="1:13" x14ac:dyDescent="0.25">
      <c r="A1210" s="18" t="s">
        <v>35</v>
      </c>
      <c r="B1210" s="18">
        <v>139</v>
      </c>
      <c r="C1210" s="18" t="s">
        <v>7</v>
      </c>
      <c r="D1210" s="18" t="s">
        <v>215</v>
      </c>
      <c r="E1210" s="18" t="s">
        <v>47</v>
      </c>
      <c r="F1210" s="19" t="s">
        <v>71</v>
      </c>
      <c r="G1210" s="18" t="s">
        <v>253</v>
      </c>
      <c r="H1210" t="s">
        <v>324</v>
      </c>
      <c r="I1210" t="s">
        <v>394</v>
      </c>
      <c r="J1210" t="s">
        <v>363</v>
      </c>
      <c r="K1210" t="str">
        <f>Tabla14[[#This Row],[id]]&amp;Tabla14[[#This Row],[Resposable]]</f>
        <v>139Willy Chic</v>
      </c>
      <c r="L1210" t="str">
        <f>Tabla14[[#This Row],[id]]&amp;Tabla14[[#This Row],[Resposable]]</f>
        <v>139Willy Chic</v>
      </c>
      <c r="M1210" t="s">
        <v>324</v>
      </c>
    </row>
    <row r="1211" spans="1:13" x14ac:dyDescent="0.25">
      <c r="A1211" s="18" t="s">
        <v>35</v>
      </c>
      <c r="B1211" s="18">
        <v>139</v>
      </c>
      <c r="C1211" s="18" t="s">
        <v>8</v>
      </c>
      <c r="D1211" s="18" t="s">
        <v>172</v>
      </c>
      <c r="E1211" s="18" t="s">
        <v>47</v>
      </c>
      <c r="F1211" s="19" t="s">
        <v>50</v>
      </c>
      <c r="G1211" s="18" t="s">
        <v>253</v>
      </c>
      <c r="H1211" t="s">
        <v>324</v>
      </c>
      <c r="I1211" t="s">
        <v>394</v>
      </c>
      <c r="J1211" t="s">
        <v>363</v>
      </c>
      <c r="K1211" t="str">
        <f>Tabla14[[#This Row],[id]]&amp;Tabla14[[#This Row],[Resposable]]</f>
        <v>139Willy Chic</v>
      </c>
      <c r="L1211" t="str">
        <f>Tabla14[[#This Row],[id]]&amp;Tabla14[[#This Row],[Resposable]]</f>
        <v>139Willy Chic</v>
      </c>
      <c r="M1211" t="s">
        <v>324</v>
      </c>
    </row>
    <row r="1212" spans="1:13" x14ac:dyDescent="0.25">
      <c r="A1212" t="s">
        <v>40</v>
      </c>
      <c r="B1212">
        <v>156</v>
      </c>
      <c r="C1212" t="s">
        <v>7</v>
      </c>
      <c r="D1212" t="s">
        <v>213</v>
      </c>
      <c r="E1212" s="18" t="s">
        <v>47</v>
      </c>
      <c r="F1212" s="4" t="s">
        <v>71</v>
      </c>
      <c r="G1212" s="18" t="s">
        <v>253</v>
      </c>
      <c r="H1212" t="s">
        <v>324</v>
      </c>
      <c r="I1212" t="s">
        <v>394</v>
      </c>
      <c r="J1212" t="s">
        <v>363</v>
      </c>
      <c r="K1212" t="str">
        <f>Tabla14[[#This Row],[id]]&amp;Tabla14[[#This Row],[Resposable]]</f>
        <v>156Willy Chic</v>
      </c>
      <c r="L1212" t="str">
        <f>Tabla14[[#This Row],[id]]&amp;Tabla14[[#This Row],[Resposable]]</f>
        <v>156Willy Chic</v>
      </c>
      <c r="M1212" t="s">
        <v>324</v>
      </c>
    </row>
    <row r="1213" spans="1:13" x14ac:dyDescent="0.25">
      <c r="A1213" t="s">
        <v>40</v>
      </c>
      <c r="B1213">
        <v>156</v>
      </c>
      <c r="C1213" t="s">
        <v>8</v>
      </c>
      <c r="D1213" t="s">
        <v>172</v>
      </c>
      <c r="E1213" s="18" t="s">
        <v>47</v>
      </c>
      <c r="F1213" s="4" t="s">
        <v>50</v>
      </c>
      <c r="G1213" s="18" t="s">
        <v>253</v>
      </c>
      <c r="H1213" t="s">
        <v>324</v>
      </c>
      <c r="I1213" t="s">
        <v>394</v>
      </c>
      <c r="J1213" t="s">
        <v>363</v>
      </c>
      <c r="K1213" t="str">
        <f>Tabla14[[#This Row],[id]]&amp;Tabla14[[#This Row],[Resposable]]</f>
        <v>156Willy Chic</v>
      </c>
      <c r="L1213" t="str">
        <f>Tabla14[[#This Row],[id]]&amp;Tabla14[[#This Row],[Resposable]]</f>
        <v>156Willy Chic</v>
      </c>
      <c r="M1213" t="s">
        <v>324</v>
      </c>
    </row>
  </sheetData>
  <phoneticPr fontId="1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"/>
  <sheetViews>
    <sheetView tabSelected="1" topLeftCell="B186" workbookViewId="0">
      <selection activeCell="J1" sqref="J1:K222"/>
    </sheetView>
  </sheetViews>
  <sheetFormatPr baseColWidth="10" defaultRowHeight="15" x14ac:dyDescent="0.25"/>
  <cols>
    <col min="2" max="2" width="10.85546875" bestFit="1" customWidth="1"/>
    <col min="3" max="3" width="21.85546875" bestFit="1" customWidth="1"/>
    <col min="4" max="4" width="10" bestFit="1" customWidth="1"/>
    <col min="5" max="6" width="19.5703125" bestFit="1" customWidth="1"/>
    <col min="7" max="7" width="19.7109375" bestFit="1" customWidth="1"/>
    <col min="8" max="8" width="13.7109375" bestFit="1" customWidth="1"/>
    <col min="9" max="9" width="15.7109375" bestFit="1" customWidth="1"/>
    <col min="10" max="10" width="16.85546875" customWidth="1"/>
    <col min="11" max="11" width="10.85546875" bestFit="1" customWidth="1"/>
  </cols>
  <sheetData>
    <row r="1" spans="1:15" x14ac:dyDescent="0.25">
      <c r="A1" t="s">
        <v>303</v>
      </c>
      <c r="B1" t="s">
        <v>408</v>
      </c>
      <c r="C1" t="s">
        <v>411</v>
      </c>
      <c r="D1" t="s">
        <v>403</v>
      </c>
      <c r="E1" t="s">
        <v>404</v>
      </c>
      <c r="F1" t="s">
        <v>405</v>
      </c>
      <c r="G1" t="s">
        <v>406</v>
      </c>
      <c r="H1" t="s">
        <v>407</v>
      </c>
      <c r="I1" t="s">
        <v>410</v>
      </c>
      <c r="J1" t="s">
        <v>1855</v>
      </c>
      <c r="K1" t="s">
        <v>408</v>
      </c>
    </row>
    <row r="2" spans="1:15" x14ac:dyDescent="0.25">
      <c r="A2">
        <v>1</v>
      </c>
      <c r="B2">
        <v>1</v>
      </c>
      <c r="C2" t="str">
        <f t="shared" ref="C2:C65" si="0">D2&amp;G2</f>
        <v>1Alexander Rabanales</v>
      </c>
      <c r="D2" s="5">
        <v>1</v>
      </c>
      <c r="E2" s="1" t="s">
        <v>409</v>
      </c>
      <c r="F2" s="1" t="s">
        <v>47</v>
      </c>
      <c r="G2" s="1" t="s">
        <v>381</v>
      </c>
      <c r="H2" s="6" t="s">
        <v>361</v>
      </c>
      <c r="I2" s="20">
        <v>46028.649155092593</v>
      </c>
      <c r="J2" t="str">
        <f>VLOOKUP(C2,'base de datos'!L2:M1213,2,FALSE)</f>
        <v>Soudronic</v>
      </c>
      <c r="K2">
        <v>1</v>
      </c>
      <c r="O2" s="5"/>
    </row>
    <row r="3" spans="1:15" x14ac:dyDescent="0.25">
      <c r="A3">
        <v>2</v>
      </c>
      <c r="B3">
        <v>2</v>
      </c>
      <c r="C3" t="str">
        <f t="shared" si="0"/>
        <v>6Alexander Rabanales</v>
      </c>
      <c r="D3" s="2">
        <v>6</v>
      </c>
      <c r="E3" s="1" t="s">
        <v>409</v>
      </c>
      <c r="F3" s="3" t="s">
        <v>47</v>
      </c>
      <c r="G3" s="3" t="s">
        <v>381</v>
      </c>
      <c r="H3" s="7" t="s">
        <v>361</v>
      </c>
      <c r="I3" s="20">
        <v>46029.649155092593</v>
      </c>
      <c r="J3" t="str">
        <f>VLOOKUP(C3,'base de datos'!L3:M1214,2,FALSE)</f>
        <v>Soudronic</v>
      </c>
      <c r="K3">
        <v>2</v>
      </c>
      <c r="O3" s="2"/>
    </row>
    <row r="4" spans="1:15" x14ac:dyDescent="0.25">
      <c r="A4">
        <v>3</v>
      </c>
      <c r="B4">
        <v>3</v>
      </c>
      <c r="C4" t="str">
        <f t="shared" si="0"/>
        <v>49Alexander Rabanales</v>
      </c>
      <c r="D4" s="5">
        <v>49</v>
      </c>
      <c r="E4" s="1" t="s">
        <v>409</v>
      </c>
      <c r="F4" s="1" t="s">
        <v>47</v>
      </c>
      <c r="G4" s="1" t="s">
        <v>381</v>
      </c>
      <c r="H4" s="6" t="s">
        <v>361</v>
      </c>
      <c r="I4" s="20">
        <v>46030.649155092593</v>
      </c>
      <c r="J4" t="str">
        <f>VLOOKUP(C4,'base de datos'!L4:M1215,2,FALSE)</f>
        <v>Soudronic</v>
      </c>
      <c r="K4">
        <v>3</v>
      </c>
      <c r="O4" s="5"/>
    </row>
    <row r="5" spans="1:15" x14ac:dyDescent="0.25">
      <c r="A5">
        <v>4</v>
      </c>
      <c r="B5">
        <v>4</v>
      </c>
      <c r="C5" t="str">
        <f t="shared" si="0"/>
        <v>123Andres Rabanales</v>
      </c>
      <c r="D5" s="5">
        <v>123</v>
      </c>
      <c r="E5" s="1" t="s">
        <v>409</v>
      </c>
      <c r="F5" s="1" t="s">
        <v>47</v>
      </c>
      <c r="G5" s="1" t="s">
        <v>397</v>
      </c>
      <c r="H5" s="6" t="s">
        <v>361</v>
      </c>
      <c r="I5" s="20">
        <v>46031.649155092593</v>
      </c>
      <c r="J5" t="str">
        <f>VLOOKUP(C5,'base de datos'!L5:M1216,2,FALSE)</f>
        <v>Tijeras</v>
      </c>
      <c r="K5">
        <v>4</v>
      </c>
      <c r="O5" s="5"/>
    </row>
    <row r="6" spans="1:15" x14ac:dyDescent="0.25">
      <c r="A6">
        <v>5</v>
      </c>
      <c r="B6">
        <v>5</v>
      </c>
      <c r="C6" t="str">
        <f t="shared" si="0"/>
        <v>4Anthony Campos</v>
      </c>
      <c r="D6">
        <v>4</v>
      </c>
      <c r="E6" s="1" t="s">
        <v>409</v>
      </c>
      <c r="F6" s="1" t="s">
        <v>47</v>
      </c>
      <c r="G6" s="1" t="s">
        <v>390</v>
      </c>
      <c r="H6" s="6" t="s">
        <v>363</v>
      </c>
      <c r="I6" s="20">
        <v>46032.649155092593</v>
      </c>
      <c r="J6" t="str">
        <f>VLOOKUP(C6,'base de datos'!L6:M1217,2,FALSE)</f>
        <v>Ishin</v>
      </c>
      <c r="K6">
        <v>5</v>
      </c>
    </row>
    <row r="7" spans="1:15" x14ac:dyDescent="0.25">
      <c r="A7">
        <v>6</v>
      </c>
      <c r="B7">
        <v>6</v>
      </c>
      <c r="C7" t="str">
        <f t="shared" si="0"/>
        <v>19Anthony Campos</v>
      </c>
      <c r="D7">
        <v>19</v>
      </c>
      <c r="E7" s="1" t="s">
        <v>409</v>
      </c>
      <c r="F7" s="1" t="s">
        <v>47</v>
      </c>
      <c r="G7" s="1" t="s">
        <v>390</v>
      </c>
      <c r="H7" s="6" t="s">
        <v>363</v>
      </c>
      <c r="I7" s="20">
        <v>46033.649155092593</v>
      </c>
      <c r="J7" t="str">
        <f>VLOOKUP(C7,'base de datos'!L7:M1218,2,FALSE)</f>
        <v>Ishin</v>
      </c>
      <c r="K7">
        <v>6</v>
      </c>
    </row>
    <row r="8" spans="1:15" x14ac:dyDescent="0.25">
      <c r="A8">
        <v>7</v>
      </c>
      <c r="B8">
        <v>7</v>
      </c>
      <c r="C8" t="str">
        <f t="shared" si="0"/>
        <v>46Anthony Campos</v>
      </c>
      <c r="D8">
        <v>46</v>
      </c>
      <c r="E8" s="1" t="s">
        <v>409</v>
      </c>
      <c r="F8" s="1" t="s">
        <v>47</v>
      </c>
      <c r="G8" s="1" t="s">
        <v>390</v>
      </c>
      <c r="H8" s="6" t="s">
        <v>363</v>
      </c>
      <c r="I8" s="20">
        <v>46034.649155092593</v>
      </c>
      <c r="J8" t="str">
        <f>VLOOKUP(C8,'base de datos'!L8:M1219,2,FALSE)</f>
        <v>Golden Smart 220</v>
      </c>
      <c r="K8">
        <v>7</v>
      </c>
    </row>
    <row r="9" spans="1:15" x14ac:dyDescent="0.25">
      <c r="A9">
        <v>8</v>
      </c>
      <c r="B9">
        <v>8</v>
      </c>
      <c r="C9" t="str">
        <f t="shared" si="0"/>
        <v>47Anthony Campos</v>
      </c>
      <c r="D9">
        <v>47</v>
      </c>
      <c r="E9" s="1" t="s">
        <v>409</v>
      </c>
      <c r="F9" s="1" t="s">
        <v>47</v>
      </c>
      <c r="G9" s="1" t="s">
        <v>390</v>
      </c>
      <c r="H9" s="6" t="s">
        <v>363</v>
      </c>
      <c r="I9" s="20">
        <v>46035.649155092593</v>
      </c>
      <c r="J9" t="str">
        <f>VLOOKUP(C9,'base de datos'!L9:M1220,2,FALSE)</f>
        <v>Ishin</v>
      </c>
      <c r="K9">
        <v>8</v>
      </c>
    </row>
    <row r="10" spans="1:15" x14ac:dyDescent="0.25">
      <c r="A10">
        <v>9</v>
      </c>
      <c r="B10">
        <v>9</v>
      </c>
      <c r="C10" t="str">
        <f t="shared" si="0"/>
        <v>52Anthony Campos</v>
      </c>
      <c r="D10">
        <v>52</v>
      </c>
      <c r="E10" s="1" t="s">
        <v>409</v>
      </c>
      <c r="F10" s="1" t="s">
        <v>47</v>
      </c>
      <c r="G10" s="1" t="s">
        <v>390</v>
      </c>
      <c r="H10" s="6" t="s">
        <v>363</v>
      </c>
      <c r="I10" s="20">
        <v>46036.649155092593</v>
      </c>
      <c r="J10" t="str">
        <f>VLOOKUP(C10,'base de datos'!L10:M1221,2,FALSE)</f>
        <v>Ishin</v>
      </c>
      <c r="K10">
        <v>9</v>
      </c>
    </row>
    <row r="11" spans="1:15" x14ac:dyDescent="0.25">
      <c r="A11">
        <v>10</v>
      </c>
      <c r="B11">
        <v>10</v>
      </c>
      <c r="C11" t="str">
        <f t="shared" si="0"/>
        <v>79Anthony Campos</v>
      </c>
      <c r="D11">
        <v>79</v>
      </c>
      <c r="E11" s="1" t="s">
        <v>409</v>
      </c>
      <c r="F11" s="1" t="s">
        <v>47</v>
      </c>
      <c r="G11" s="1" t="s">
        <v>390</v>
      </c>
      <c r="H11" s="6" t="s">
        <v>363</v>
      </c>
      <c r="I11" s="20">
        <v>46037.649155092593</v>
      </c>
      <c r="J11" t="str">
        <f>VLOOKUP(C11,'base de datos'!L11:M1222,2,FALSE)</f>
        <v>Ishin</v>
      </c>
      <c r="K11">
        <v>10</v>
      </c>
    </row>
    <row r="12" spans="1:15" x14ac:dyDescent="0.25">
      <c r="A12">
        <v>11</v>
      </c>
      <c r="B12">
        <v>11</v>
      </c>
      <c r="C12" t="str">
        <f t="shared" si="0"/>
        <v>106Anthony Campos</v>
      </c>
      <c r="D12">
        <v>106</v>
      </c>
      <c r="E12" s="1" t="s">
        <v>409</v>
      </c>
      <c r="F12" s="1" t="s">
        <v>47</v>
      </c>
      <c r="G12" s="1" t="s">
        <v>390</v>
      </c>
      <c r="H12" s="6" t="s">
        <v>363</v>
      </c>
      <c r="I12" s="20">
        <v>46038.649155092593</v>
      </c>
      <c r="J12" t="str">
        <f>VLOOKUP(C12,'base de datos'!L12:M1223,2,FALSE)</f>
        <v>Ishin</v>
      </c>
      <c r="K12">
        <v>11</v>
      </c>
    </row>
    <row r="13" spans="1:15" x14ac:dyDescent="0.25">
      <c r="A13">
        <v>12</v>
      </c>
      <c r="B13">
        <v>12</v>
      </c>
      <c r="C13" t="str">
        <f t="shared" si="0"/>
        <v>110Anthony Campos</v>
      </c>
      <c r="D13">
        <v>110</v>
      </c>
      <c r="E13" s="1" t="s">
        <v>409</v>
      </c>
      <c r="F13" s="1" t="s">
        <v>47</v>
      </c>
      <c r="G13" s="1" t="s">
        <v>390</v>
      </c>
      <c r="H13" s="6" t="s">
        <v>363</v>
      </c>
      <c r="I13" s="20">
        <v>46039.649155092593</v>
      </c>
      <c r="J13" t="str">
        <f>VLOOKUP(C13,'base de datos'!L13:M1224,2,FALSE)</f>
        <v>Ishin</v>
      </c>
      <c r="K13">
        <v>12</v>
      </c>
    </row>
    <row r="14" spans="1:15" x14ac:dyDescent="0.25">
      <c r="A14">
        <v>13</v>
      </c>
      <c r="B14">
        <v>13</v>
      </c>
      <c r="C14" t="str">
        <f t="shared" si="0"/>
        <v>137Anthony Campos</v>
      </c>
      <c r="D14">
        <v>137</v>
      </c>
      <c r="E14" s="1" t="s">
        <v>409</v>
      </c>
      <c r="F14" s="1" t="s">
        <v>47</v>
      </c>
      <c r="G14" s="1" t="s">
        <v>390</v>
      </c>
      <c r="H14" s="6" t="s">
        <v>363</v>
      </c>
      <c r="I14" s="20">
        <v>46040.649155092593</v>
      </c>
      <c r="J14" t="str">
        <f>VLOOKUP(C14,'base de datos'!L14:M1225,2,FALSE)</f>
        <v>Ishin</v>
      </c>
      <c r="K14">
        <v>13</v>
      </c>
    </row>
    <row r="15" spans="1:15" x14ac:dyDescent="0.25">
      <c r="A15">
        <v>14</v>
      </c>
      <c r="B15">
        <v>14</v>
      </c>
      <c r="C15" t="str">
        <f t="shared" si="0"/>
        <v>155Anthony Campos</v>
      </c>
      <c r="D15">
        <v>155</v>
      </c>
      <c r="E15" s="1" t="s">
        <v>409</v>
      </c>
      <c r="F15" s="1" t="s">
        <v>47</v>
      </c>
      <c r="G15" s="1" t="s">
        <v>390</v>
      </c>
      <c r="H15" s="6" t="s">
        <v>363</v>
      </c>
      <c r="I15" s="20">
        <v>46041.649155092593</v>
      </c>
      <c r="J15" t="str">
        <f>VLOOKUP(C15,'base de datos'!L15:M1226,2,FALSE)</f>
        <v>Ishin</v>
      </c>
      <c r="K15">
        <v>14</v>
      </c>
    </row>
    <row r="16" spans="1:15" x14ac:dyDescent="0.25">
      <c r="A16">
        <v>15</v>
      </c>
      <c r="B16">
        <v>15</v>
      </c>
      <c r="C16" t="str">
        <f t="shared" si="0"/>
        <v>201Anthony Campos</v>
      </c>
      <c r="D16">
        <v>201</v>
      </c>
      <c r="E16" s="1" t="s">
        <v>409</v>
      </c>
      <c r="F16" s="1" t="s">
        <v>47</v>
      </c>
      <c r="G16" s="1" t="s">
        <v>390</v>
      </c>
      <c r="H16" s="6" t="s">
        <v>363</v>
      </c>
      <c r="I16" s="20">
        <v>46042.649155092593</v>
      </c>
      <c r="J16" t="str">
        <f>VLOOKUP(C16,'base de datos'!L16:M1227,2,FALSE)</f>
        <v>Envase Pequeño</v>
      </c>
      <c r="K16">
        <v>15</v>
      </c>
    </row>
    <row r="17" spans="1:11" x14ac:dyDescent="0.25">
      <c r="A17">
        <v>16</v>
      </c>
      <c r="B17">
        <v>16</v>
      </c>
      <c r="C17" t="str">
        <f t="shared" si="0"/>
        <v>203Anthony Campos</v>
      </c>
      <c r="D17">
        <v>203</v>
      </c>
      <c r="E17" s="1" t="s">
        <v>409</v>
      </c>
      <c r="F17" s="1" t="s">
        <v>47</v>
      </c>
      <c r="G17" s="1" t="s">
        <v>390</v>
      </c>
      <c r="H17" s="6" t="s">
        <v>363</v>
      </c>
      <c r="I17" s="20">
        <v>46043.649155092593</v>
      </c>
      <c r="J17" t="str">
        <f>VLOOKUP(C17,'base de datos'!L17:M1228,2,FALSE)</f>
        <v>Envase Pequeño</v>
      </c>
      <c r="K17">
        <v>16</v>
      </c>
    </row>
    <row r="18" spans="1:11" x14ac:dyDescent="0.25">
      <c r="A18">
        <v>17</v>
      </c>
      <c r="B18">
        <v>17</v>
      </c>
      <c r="C18" t="str">
        <f t="shared" si="0"/>
        <v>204Anthony Campos</v>
      </c>
      <c r="D18">
        <v>204</v>
      </c>
      <c r="E18" s="1" t="s">
        <v>409</v>
      </c>
      <c r="F18" s="1" t="s">
        <v>47</v>
      </c>
      <c r="G18" s="1" t="s">
        <v>390</v>
      </c>
      <c r="H18" s="6" t="s">
        <v>363</v>
      </c>
      <c r="I18" s="20">
        <v>46044.649155092593</v>
      </c>
      <c r="J18" t="s">
        <v>378</v>
      </c>
      <c r="K18">
        <v>17</v>
      </c>
    </row>
    <row r="19" spans="1:11" x14ac:dyDescent="0.25">
      <c r="A19">
        <v>18</v>
      </c>
      <c r="B19">
        <v>18</v>
      </c>
      <c r="C19" t="str">
        <f t="shared" si="0"/>
        <v>205Anthony Campos</v>
      </c>
      <c r="D19">
        <v>205</v>
      </c>
      <c r="E19" s="1" t="s">
        <v>409</v>
      </c>
      <c r="F19" s="1" t="s">
        <v>47</v>
      </c>
      <c r="G19" s="1" t="s">
        <v>390</v>
      </c>
      <c r="H19" s="6" t="s">
        <v>363</v>
      </c>
      <c r="I19" s="20">
        <v>46045.649155092593</v>
      </c>
      <c r="J19" t="str">
        <f>VLOOKUP(C19,'base de datos'!L19:M1230,2,FALSE)</f>
        <v>Envase Rectangular</v>
      </c>
      <c r="K19">
        <v>18</v>
      </c>
    </row>
    <row r="20" spans="1:11" x14ac:dyDescent="0.25">
      <c r="A20">
        <v>19</v>
      </c>
      <c r="B20">
        <v>19</v>
      </c>
      <c r="C20" t="str">
        <f t="shared" si="0"/>
        <v>207Anthony Campos</v>
      </c>
      <c r="D20">
        <v>207</v>
      </c>
      <c r="E20" s="1" t="s">
        <v>409</v>
      </c>
      <c r="F20" s="1" t="s">
        <v>47</v>
      </c>
      <c r="G20" s="1" t="s">
        <v>390</v>
      </c>
      <c r="H20" s="6" t="s">
        <v>363</v>
      </c>
      <c r="I20" s="20">
        <v>46046.649155092593</v>
      </c>
      <c r="J20" t="str">
        <f>VLOOKUP(C20,'base de datos'!L20:M1231,2,FALSE)</f>
        <v>Envase Rectangular</v>
      </c>
      <c r="K20">
        <v>19</v>
      </c>
    </row>
    <row r="21" spans="1:11" x14ac:dyDescent="0.25">
      <c r="A21">
        <v>20</v>
      </c>
      <c r="B21">
        <v>20</v>
      </c>
      <c r="C21" t="str">
        <f t="shared" si="0"/>
        <v>208Anthony Campos</v>
      </c>
      <c r="D21">
        <v>208</v>
      </c>
      <c r="E21" s="1" t="s">
        <v>409</v>
      </c>
      <c r="F21" s="1" t="s">
        <v>47</v>
      </c>
      <c r="G21" s="1" t="s">
        <v>390</v>
      </c>
      <c r="H21" s="6" t="s">
        <v>363</v>
      </c>
      <c r="I21" s="20">
        <v>46047.649155092593</v>
      </c>
      <c r="J21" t="str">
        <f>VLOOKUP(C21,'base de datos'!L21:M1232,2,FALSE)</f>
        <v>Envase Rectangular</v>
      </c>
      <c r="K21">
        <v>20</v>
      </c>
    </row>
    <row r="22" spans="1:11" x14ac:dyDescent="0.25">
      <c r="A22">
        <v>21</v>
      </c>
      <c r="B22">
        <v>21</v>
      </c>
      <c r="C22" t="str">
        <f t="shared" si="0"/>
        <v>2Bezalel Mendoza</v>
      </c>
      <c r="D22">
        <v>2</v>
      </c>
      <c r="E22" s="1" t="s">
        <v>409</v>
      </c>
      <c r="F22" s="1" t="s">
        <v>47</v>
      </c>
      <c r="G22" s="3" t="s">
        <v>384</v>
      </c>
      <c r="H22" s="7" t="s">
        <v>360</v>
      </c>
      <c r="I22" s="20">
        <v>46048.649155092593</v>
      </c>
      <c r="J22" t="str">
        <f>VLOOKUP(C22,'base de datos'!L22:M1233,2,FALSE)</f>
        <v>Smag</v>
      </c>
      <c r="K22">
        <v>21</v>
      </c>
    </row>
    <row r="23" spans="1:11" x14ac:dyDescent="0.25">
      <c r="A23">
        <v>22</v>
      </c>
      <c r="B23">
        <v>22</v>
      </c>
      <c r="C23" t="str">
        <f t="shared" si="0"/>
        <v>4Bezalel Mendoza</v>
      </c>
      <c r="D23">
        <v>4</v>
      </c>
      <c r="E23" s="1" t="s">
        <v>409</v>
      </c>
      <c r="F23" s="1" t="s">
        <v>47</v>
      </c>
      <c r="G23" s="3" t="s">
        <v>384</v>
      </c>
      <c r="H23" s="7" t="s">
        <v>360</v>
      </c>
      <c r="I23" s="20">
        <v>46049.649155092593</v>
      </c>
      <c r="J23" t="str">
        <f>VLOOKUP(C23,'base de datos'!L23:M1234,2,FALSE)</f>
        <v>Ishin</v>
      </c>
      <c r="K23">
        <v>22</v>
      </c>
    </row>
    <row r="24" spans="1:11" x14ac:dyDescent="0.25">
      <c r="A24">
        <v>23</v>
      </c>
      <c r="B24">
        <v>23</v>
      </c>
      <c r="C24" t="str">
        <f t="shared" si="0"/>
        <v>5Bezalel Mendoza</v>
      </c>
      <c r="D24">
        <v>5</v>
      </c>
      <c r="E24" s="1" t="s">
        <v>409</v>
      </c>
      <c r="F24" s="1" t="s">
        <v>47</v>
      </c>
      <c r="G24" s="3" t="s">
        <v>384</v>
      </c>
      <c r="H24" s="7" t="s">
        <v>360</v>
      </c>
      <c r="I24" s="20">
        <v>46050.649155092593</v>
      </c>
      <c r="J24" t="str">
        <f>VLOOKUP(C24,'base de datos'!L24:M1235,2,FALSE)</f>
        <v>Golden Smart 220</v>
      </c>
      <c r="K24">
        <v>23</v>
      </c>
    </row>
    <row r="25" spans="1:11" x14ac:dyDescent="0.25">
      <c r="A25">
        <v>24</v>
      </c>
      <c r="B25">
        <v>24</v>
      </c>
      <c r="C25" t="str">
        <f t="shared" si="0"/>
        <v>10Bezalel Mendoza</v>
      </c>
      <c r="D25">
        <v>10</v>
      </c>
      <c r="E25" s="1" t="s">
        <v>409</v>
      </c>
      <c r="F25" s="1" t="s">
        <v>47</v>
      </c>
      <c r="G25" s="3" t="s">
        <v>384</v>
      </c>
      <c r="H25" s="7" t="s">
        <v>360</v>
      </c>
      <c r="I25" s="20">
        <v>46051.649155092593</v>
      </c>
      <c r="J25" t="str">
        <f>VLOOKUP(C25,'base de datos'!L25:M1236,2,FALSE)</f>
        <v>Golden Smart 220</v>
      </c>
      <c r="K25">
        <v>24</v>
      </c>
    </row>
    <row r="26" spans="1:11" x14ac:dyDescent="0.25">
      <c r="A26">
        <v>25</v>
      </c>
      <c r="B26">
        <v>25</v>
      </c>
      <c r="C26" t="str">
        <f t="shared" si="0"/>
        <v>19Bezalel Mendoza</v>
      </c>
      <c r="D26">
        <v>19</v>
      </c>
      <c r="E26" s="1" t="s">
        <v>409</v>
      </c>
      <c r="F26" s="1" t="s">
        <v>47</v>
      </c>
      <c r="G26" s="3" t="s">
        <v>384</v>
      </c>
      <c r="H26" s="7" t="s">
        <v>360</v>
      </c>
      <c r="I26" s="20">
        <v>46052.649155092593</v>
      </c>
      <c r="J26" t="str">
        <f>VLOOKUP(C26,'base de datos'!L26:M1237,2,FALSE)</f>
        <v>Ishin</v>
      </c>
      <c r="K26">
        <v>25</v>
      </c>
    </row>
    <row r="27" spans="1:11" x14ac:dyDescent="0.25">
      <c r="A27">
        <v>26</v>
      </c>
      <c r="B27">
        <v>26</v>
      </c>
      <c r="C27" t="str">
        <f t="shared" si="0"/>
        <v>20Bezalel Mendoza</v>
      </c>
      <c r="D27">
        <v>20</v>
      </c>
      <c r="E27" s="1" t="s">
        <v>409</v>
      </c>
      <c r="F27" s="1" t="s">
        <v>47</v>
      </c>
      <c r="G27" s="3" t="s">
        <v>384</v>
      </c>
      <c r="H27" s="7" t="s">
        <v>360</v>
      </c>
      <c r="I27" s="20">
        <v>46053.649155092593</v>
      </c>
      <c r="J27" t="str">
        <f>VLOOKUP(C27,'base de datos'!L27:M1238,2,FALSE)</f>
        <v>Compresores</v>
      </c>
      <c r="K27">
        <v>26</v>
      </c>
    </row>
    <row r="28" spans="1:11" x14ac:dyDescent="0.25">
      <c r="A28">
        <v>27</v>
      </c>
      <c r="B28">
        <v>27</v>
      </c>
      <c r="C28" t="str">
        <f t="shared" si="0"/>
        <v>21Bezalel Mendoza</v>
      </c>
      <c r="D28">
        <v>21</v>
      </c>
      <c r="E28" s="1" t="s">
        <v>409</v>
      </c>
      <c r="F28" s="1" t="s">
        <v>47</v>
      </c>
      <c r="G28" s="3" t="s">
        <v>384</v>
      </c>
      <c r="H28" s="7" t="s">
        <v>360</v>
      </c>
      <c r="I28" s="20">
        <v>46054.649155092593</v>
      </c>
      <c r="J28" t="str">
        <f>VLOOKUP(C28,'base de datos'!L28:M1239,2,FALSE)</f>
        <v>Compresores</v>
      </c>
      <c r="K28">
        <v>27</v>
      </c>
    </row>
    <row r="29" spans="1:11" x14ac:dyDescent="0.25">
      <c r="A29">
        <v>28</v>
      </c>
      <c r="B29">
        <v>28</v>
      </c>
      <c r="C29" t="str">
        <f t="shared" si="0"/>
        <v>23Bezalel Mendoza</v>
      </c>
      <c r="D29">
        <v>23</v>
      </c>
      <c r="E29" s="1" t="s">
        <v>409</v>
      </c>
      <c r="F29" s="1" t="s">
        <v>47</v>
      </c>
      <c r="G29" s="3" t="s">
        <v>384</v>
      </c>
      <c r="H29" s="7" t="s">
        <v>360</v>
      </c>
      <c r="I29" s="20">
        <v>46055.649155092593</v>
      </c>
      <c r="J29" t="str">
        <f>VLOOKUP(C29,'base de datos'!L29:M1240,2,FALSE)</f>
        <v>Bibra</v>
      </c>
      <c r="K29">
        <v>28</v>
      </c>
    </row>
    <row r="30" spans="1:11" x14ac:dyDescent="0.25">
      <c r="A30">
        <v>29</v>
      </c>
      <c r="B30">
        <v>29</v>
      </c>
      <c r="C30" t="str">
        <f t="shared" si="0"/>
        <v>25Bezalel Mendoza</v>
      </c>
      <c r="D30">
        <v>25</v>
      </c>
      <c r="E30" s="1" t="s">
        <v>409</v>
      </c>
      <c r="F30" s="1" t="s">
        <v>47</v>
      </c>
      <c r="G30" s="3" t="s">
        <v>384</v>
      </c>
      <c r="H30" s="7" t="s">
        <v>360</v>
      </c>
      <c r="I30" s="20">
        <v>46056.649155092593</v>
      </c>
      <c r="J30" t="str">
        <f>VLOOKUP(C30,'base de datos'!L30:M1241,2,FALSE)</f>
        <v>CNC 3</v>
      </c>
      <c r="K30">
        <v>29</v>
      </c>
    </row>
    <row r="31" spans="1:11" x14ac:dyDescent="0.25">
      <c r="A31">
        <v>30</v>
      </c>
      <c r="B31">
        <v>30</v>
      </c>
      <c r="C31" t="str">
        <f t="shared" si="0"/>
        <v>34Bezalel Mendoza</v>
      </c>
      <c r="D31">
        <v>34</v>
      </c>
      <c r="E31" s="1" t="s">
        <v>409</v>
      </c>
      <c r="F31" s="1" t="s">
        <v>47</v>
      </c>
      <c r="G31" s="3" t="s">
        <v>384</v>
      </c>
      <c r="H31" s="7" t="s">
        <v>360</v>
      </c>
      <c r="I31" s="20">
        <v>46057.649155092593</v>
      </c>
      <c r="J31" t="str">
        <f>VLOOKUP(C31,'base de datos'!L31:M1242,2,FALSE)</f>
        <v>Bibra</v>
      </c>
      <c r="K31">
        <v>30</v>
      </c>
    </row>
    <row r="32" spans="1:11" x14ac:dyDescent="0.25">
      <c r="A32">
        <v>31</v>
      </c>
      <c r="B32">
        <v>31</v>
      </c>
      <c r="C32" t="str">
        <f t="shared" si="0"/>
        <v>36Bezalel Mendoza</v>
      </c>
      <c r="D32">
        <v>36</v>
      </c>
      <c r="E32" s="1" t="s">
        <v>409</v>
      </c>
      <c r="F32" s="1" t="s">
        <v>47</v>
      </c>
      <c r="G32" s="3" t="s">
        <v>384</v>
      </c>
      <c r="H32" s="7" t="s">
        <v>360</v>
      </c>
      <c r="I32" s="20">
        <v>46058.649155092593</v>
      </c>
      <c r="J32" t="str">
        <f>VLOOKUP(C32,'base de datos'!L32:M1243,2,FALSE)</f>
        <v>CNC 3</v>
      </c>
      <c r="K32">
        <v>31</v>
      </c>
    </row>
    <row r="33" spans="1:11" x14ac:dyDescent="0.25">
      <c r="A33">
        <v>32</v>
      </c>
      <c r="B33">
        <v>32</v>
      </c>
      <c r="C33" t="str">
        <f t="shared" si="0"/>
        <v>43Bezalel Mendoza</v>
      </c>
      <c r="D33">
        <v>43</v>
      </c>
      <c r="E33" s="1" t="s">
        <v>409</v>
      </c>
      <c r="F33" s="1" t="s">
        <v>47</v>
      </c>
      <c r="G33" s="3" t="s">
        <v>384</v>
      </c>
      <c r="H33" s="7" t="s">
        <v>360</v>
      </c>
      <c r="I33" s="20">
        <v>46059.649155092593</v>
      </c>
      <c r="J33" t="str">
        <f>VLOOKUP(C33,'base de datos'!L33:M1244,2,FALSE)</f>
        <v>Soudronic</v>
      </c>
      <c r="K33">
        <v>32</v>
      </c>
    </row>
    <row r="34" spans="1:11" x14ac:dyDescent="0.25">
      <c r="A34">
        <v>33</v>
      </c>
      <c r="B34">
        <v>33</v>
      </c>
      <c r="C34" t="str">
        <f t="shared" si="0"/>
        <v>46Bezalel Mendoza</v>
      </c>
      <c r="D34">
        <v>46</v>
      </c>
      <c r="E34" s="1" t="s">
        <v>409</v>
      </c>
      <c r="F34" s="1" t="s">
        <v>47</v>
      </c>
      <c r="G34" s="3" t="s">
        <v>384</v>
      </c>
      <c r="H34" s="7" t="s">
        <v>360</v>
      </c>
      <c r="I34" s="20">
        <v>46060.649155092593</v>
      </c>
      <c r="J34" t="str">
        <f>VLOOKUP(C34,'base de datos'!L34:M1245,2,FALSE)</f>
        <v>Golden Smart 220</v>
      </c>
      <c r="K34">
        <v>33</v>
      </c>
    </row>
    <row r="35" spans="1:11" x14ac:dyDescent="0.25">
      <c r="A35">
        <v>34</v>
      </c>
      <c r="B35">
        <v>34</v>
      </c>
      <c r="C35" t="str">
        <f t="shared" si="0"/>
        <v>47Bezalel Mendoza</v>
      </c>
      <c r="D35">
        <v>47</v>
      </c>
      <c r="E35" s="1" t="s">
        <v>409</v>
      </c>
      <c r="F35" s="1" t="s">
        <v>47</v>
      </c>
      <c r="G35" s="3" t="s">
        <v>384</v>
      </c>
      <c r="H35" s="7" t="s">
        <v>360</v>
      </c>
      <c r="I35" s="20">
        <v>46061.649155092593</v>
      </c>
      <c r="J35" t="str">
        <f>VLOOKUP(C35,'base de datos'!L35:M1246,2,FALSE)</f>
        <v>Ishin</v>
      </c>
      <c r="K35">
        <v>34</v>
      </c>
    </row>
    <row r="36" spans="1:11" x14ac:dyDescent="0.25">
      <c r="A36">
        <v>35</v>
      </c>
      <c r="B36">
        <v>35</v>
      </c>
      <c r="C36" t="str">
        <f t="shared" si="0"/>
        <v>49Bezalel Mendoza</v>
      </c>
      <c r="D36">
        <v>49</v>
      </c>
      <c r="E36" s="1" t="s">
        <v>409</v>
      </c>
      <c r="F36" s="1" t="s">
        <v>47</v>
      </c>
      <c r="G36" s="3" t="s">
        <v>384</v>
      </c>
      <c r="H36" s="7" t="s">
        <v>360</v>
      </c>
      <c r="I36" s="20">
        <v>46062.649155092593</v>
      </c>
      <c r="J36" t="str">
        <f>VLOOKUP(C36,'base de datos'!L36:M1247,2,FALSE)</f>
        <v>Soudronic</v>
      </c>
      <c r="K36">
        <v>35</v>
      </c>
    </row>
    <row r="37" spans="1:11" x14ac:dyDescent="0.25">
      <c r="A37">
        <v>36</v>
      </c>
      <c r="B37">
        <v>36</v>
      </c>
      <c r="C37" t="str">
        <f t="shared" si="0"/>
        <v>52Bezalel Mendoza</v>
      </c>
      <c r="D37">
        <v>52</v>
      </c>
      <c r="E37" s="1" t="s">
        <v>409</v>
      </c>
      <c r="F37" s="1" t="s">
        <v>47</v>
      </c>
      <c r="G37" s="3" t="s">
        <v>384</v>
      </c>
      <c r="H37" s="7" t="s">
        <v>360</v>
      </c>
      <c r="I37" s="20">
        <v>46063.649155092593</v>
      </c>
      <c r="J37" t="str">
        <f>VLOOKUP(C37,'base de datos'!L37:M1248,2,FALSE)</f>
        <v>Ishin</v>
      </c>
      <c r="K37">
        <v>36</v>
      </c>
    </row>
    <row r="38" spans="1:11" x14ac:dyDescent="0.25">
      <c r="A38">
        <v>37</v>
      </c>
      <c r="B38">
        <v>37</v>
      </c>
      <c r="C38" t="str">
        <f t="shared" si="0"/>
        <v>53Bezalel Mendoza</v>
      </c>
      <c r="D38">
        <v>53</v>
      </c>
      <c r="E38" s="1" t="s">
        <v>409</v>
      </c>
      <c r="F38" s="1" t="s">
        <v>47</v>
      </c>
      <c r="G38" s="3" t="s">
        <v>384</v>
      </c>
      <c r="H38" s="7" t="s">
        <v>360</v>
      </c>
      <c r="I38" s="20">
        <v>46064.649155092593</v>
      </c>
      <c r="J38" t="str">
        <f>VLOOKUP(C38,'base de datos'!L38:M1249,2,FALSE)</f>
        <v>Golden Smart 220</v>
      </c>
      <c r="K38">
        <v>37</v>
      </c>
    </row>
    <row r="39" spans="1:11" x14ac:dyDescent="0.25">
      <c r="A39">
        <v>38</v>
      </c>
      <c r="B39">
        <v>38</v>
      </c>
      <c r="C39" t="str">
        <f t="shared" si="0"/>
        <v>55Bezalel Mendoza</v>
      </c>
      <c r="D39">
        <v>55</v>
      </c>
      <c r="E39" s="1" t="s">
        <v>409</v>
      </c>
      <c r="F39" s="1" t="s">
        <v>47</v>
      </c>
      <c r="G39" s="3" t="s">
        <v>384</v>
      </c>
      <c r="H39" s="7" t="s">
        <v>360</v>
      </c>
      <c r="I39" s="20">
        <v>46065.649155092593</v>
      </c>
      <c r="J39" t="str">
        <f>VLOOKUP(C39,'base de datos'!L39:M1250,2,FALSE)</f>
        <v>CNC 3</v>
      </c>
      <c r="K39">
        <v>38</v>
      </c>
    </row>
    <row r="40" spans="1:11" x14ac:dyDescent="0.25">
      <c r="A40">
        <v>39</v>
      </c>
      <c r="B40">
        <v>39</v>
      </c>
      <c r="C40" t="str">
        <f t="shared" si="0"/>
        <v>61Bezalel Mendoza</v>
      </c>
      <c r="D40">
        <v>61</v>
      </c>
      <c r="E40" s="1" t="s">
        <v>409</v>
      </c>
      <c r="F40" s="1" t="s">
        <v>47</v>
      </c>
      <c r="G40" s="3" t="s">
        <v>384</v>
      </c>
      <c r="H40" s="7" t="s">
        <v>360</v>
      </c>
      <c r="I40" s="20">
        <v>46066.649155092593</v>
      </c>
      <c r="J40" t="str">
        <f>VLOOKUP(C40,'base de datos'!L40:M1251,2,FALSE)</f>
        <v>Soudronic</v>
      </c>
      <c r="K40">
        <v>39</v>
      </c>
    </row>
    <row r="41" spans="1:11" x14ac:dyDescent="0.25">
      <c r="A41">
        <v>40</v>
      </c>
      <c r="B41">
        <v>40</v>
      </c>
      <c r="C41" t="str">
        <f t="shared" si="0"/>
        <v>65Bezalel Mendoza</v>
      </c>
      <c r="D41">
        <v>65</v>
      </c>
      <c r="E41" s="1" t="s">
        <v>409</v>
      </c>
      <c r="F41" s="1" t="s">
        <v>47</v>
      </c>
      <c r="G41" s="3" t="s">
        <v>384</v>
      </c>
      <c r="H41" s="7" t="s">
        <v>360</v>
      </c>
      <c r="I41" s="20">
        <v>46067.649155092593</v>
      </c>
      <c r="J41" t="str">
        <f>VLOOKUP(C41,'base de datos'!L41:M1252,2,FALSE)</f>
        <v>Golden Smart 220</v>
      </c>
      <c r="K41">
        <v>40</v>
      </c>
    </row>
    <row r="42" spans="1:11" x14ac:dyDescent="0.25">
      <c r="A42">
        <v>41</v>
      </c>
      <c r="B42">
        <v>41</v>
      </c>
      <c r="C42" t="str">
        <f t="shared" si="0"/>
        <v>79Bezalel Mendoza</v>
      </c>
      <c r="D42">
        <v>79</v>
      </c>
      <c r="E42" s="1" t="s">
        <v>409</v>
      </c>
      <c r="F42" s="1" t="s">
        <v>47</v>
      </c>
      <c r="G42" s="3" t="s">
        <v>384</v>
      </c>
      <c r="H42" s="7" t="s">
        <v>360</v>
      </c>
      <c r="I42" s="20">
        <v>46068.649155092593</v>
      </c>
      <c r="J42" t="str">
        <f>VLOOKUP(C42,'base de datos'!L42:M1253,2,FALSE)</f>
        <v>Ishin</v>
      </c>
      <c r="K42">
        <v>41</v>
      </c>
    </row>
    <row r="43" spans="1:11" x14ac:dyDescent="0.25">
      <c r="A43">
        <v>42</v>
      </c>
      <c r="B43">
        <v>42</v>
      </c>
      <c r="C43" t="str">
        <f t="shared" si="0"/>
        <v>89Bezalel Mendoza</v>
      </c>
      <c r="D43">
        <v>89</v>
      </c>
      <c r="E43" s="1" t="s">
        <v>409</v>
      </c>
      <c r="F43" s="1" t="s">
        <v>47</v>
      </c>
      <c r="G43" s="3" t="s">
        <v>384</v>
      </c>
      <c r="H43" s="7" t="s">
        <v>360</v>
      </c>
      <c r="I43" s="20">
        <v>46069.649155092593</v>
      </c>
      <c r="J43" t="str">
        <f>VLOOKUP(C43,'base de datos'!L43:M1254,2,FALSE)</f>
        <v>Bibra</v>
      </c>
      <c r="K43">
        <v>42</v>
      </c>
    </row>
    <row r="44" spans="1:11" x14ac:dyDescent="0.25">
      <c r="A44">
        <v>43</v>
      </c>
      <c r="B44">
        <v>43</v>
      </c>
      <c r="C44" t="str">
        <f t="shared" si="0"/>
        <v>95Bezalel Mendoza</v>
      </c>
      <c r="D44">
        <v>95</v>
      </c>
      <c r="E44" s="1" t="s">
        <v>409</v>
      </c>
      <c r="F44" s="1" t="s">
        <v>47</v>
      </c>
      <c r="G44" s="3" t="s">
        <v>384</v>
      </c>
      <c r="H44" s="7" t="s">
        <v>360</v>
      </c>
      <c r="I44" s="20">
        <v>46070.649155092593</v>
      </c>
      <c r="J44" t="str">
        <f>VLOOKUP(C44,'base de datos'!L44:M1255,2,FALSE)</f>
        <v>Bibra</v>
      </c>
      <c r="K44">
        <v>43</v>
      </c>
    </row>
    <row r="45" spans="1:11" x14ac:dyDescent="0.25">
      <c r="A45">
        <v>44</v>
      </c>
      <c r="B45">
        <v>44</v>
      </c>
      <c r="C45" t="str">
        <f t="shared" si="0"/>
        <v>98Bezalel Mendoza</v>
      </c>
      <c r="D45">
        <v>98</v>
      </c>
      <c r="E45" s="1" t="s">
        <v>409</v>
      </c>
      <c r="F45" s="1" t="s">
        <v>47</v>
      </c>
      <c r="G45" s="3" t="s">
        <v>384</v>
      </c>
      <c r="H45" s="7" t="s">
        <v>360</v>
      </c>
      <c r="I45" s="20">
        <v>46071.649155092593</v>
      </c>
      <c r="J45" t="str">
        <f>VLOOKUP(C45,'base de datos'!L45:M1256,2,FALSE)</f>
        <v>CNC 3</v>
      </c>
      <c r="K45">
        <v>44</v>
      </c>
    </row>
    <row r="46" spans="1:11" x14ac:dyDescent="0.25">
      <c r="A46">
        <v>45</v>
      </c>
      <c r="B46">
        <v>45</v>
      </c>
      <c r="C46" t="str">
        <f t="shared" si="0"/>
        <v>106Bezalel Mendoza</v>
      </c>
      <c r="D46">
        <v>106</v>
      </c>
      <c r="E46" s="1" t="s">
        <v>409</v>
      </c>
      <c r="F46" s="1" t="s">
        <v>47</v>
      </c>
      <c r="G46" s="3" t="s">
        <v>384</v>
      </c>
      <c r="H46" s="7" t="s">
        <v>360</v>
      </c>
      <c r="I46" s="20">
        <v>46072.649155092593</v>
      </c>
      <c r="J46" t="str">
        <f>VLOOKUP(C46,'base de datos'!L46:M1257,2,FALSE)</f>
        <v>Ishin</v>
      </c>
      <c r="K46">
        <v>45</v>
      </c>
    </row>
    <row r="47" spans="1:11" x14ac:dyDescent="0.25">
      <c r="A47">
        <v>46</v>
      </c>
      <c r="B47">
        <v>46</v>
      </c>
      <c r="C47" t="str">
        <f t="shared" si="0"/>
        <v>107Bezalel Mendoza</v>
      </c>
      <c r="D47">
        <v>107</v>
      </c>
      <c r="E47" s="1" t="s">
        <v>409</v>
      </c>
      <c r="F47" s="1" t="s">
        <v>47</v>
      </c>
      <c r="G47" s="3" t="s">
        <v>384</v>
      </c>
      <c r="H47" s="7" t="s">
        <v>360</v>
      </c>
      <c r="I47" s="20">
        <v>46073.649155092593</v>
      </c>
      <c r="J47" t="str">
        <f>VLOOKUP(C47,'base de datos'!L47:M1258,2,FALSE)</f>
        <v>Golden Smart 220</v>
      </c>
      <c r="K47">
        <v>46</v>
      </c>
    </row>
    <row r="48" spans="1:11" x14ac:dyDescent="0.25">
      <c r="A48">
        <v>47</v>
      </c>
      <c r="B48">
        <v>47</v>
      </c>
      <c r="C48" t="str">
        <f t="shared" si="0"/>
        <v>110Bezalel Mendoza</v>
      </c>
      <c r="D48">
        <v>110</v>
      </c>
      <c r="E48" s="1" t="s">
        <v>409</v>
      </c>
      <c r="F48" s="1" t="s">
        <v>47</v>
      </c>
      <c r="G48" s="3" t="s">
        <v>384</v>
      </c>
      <c r="H48" s="7" t="s">
        <v>360</v>
      </c>
      <c r="I48" s="20">
        <v>46074.649155092593</v>
      </c>
      <c r="J48" t="str">
        <f>VLOOKUP(C48,'base de datos'!L48:M1259,2,FALSE)</f>
        <v>Ishin</v>
      </c>
      <c r="K48">
        <v>47</v>
      </c>
    </row>
    <row r="49" spans="1:11" x14ac:dyDescent="0.25">
      <c r="A49">
        <v>48</v>
      </c>
      <c r="B49">
        <v>48</v>
      </c>
      <c r="C49" t="str">
        <f t="shared" si="0"/>
        <v>114Bezalel Mendoza</v>
      </c>
      <c r="D49">
        <v>114</v>
      </c>
      <c r="E49" s="1" t="s">
        <v>409</v>
      </c>
      <c r="F49" s="1" t="s">
        <v>47</v>
      </c>
      <c r="G49" s="3" t="s">
        <v>384</v>
      </c>
      <c r="H49" s="7" t="s">
        <v>360</v>
      </c>
      <c r="I49" s="20">
        <v>46075.649155092593</v>
      </c>
      <c r="J49" t="str">
        <f>VLOOKUP(C49,'base de datos'!L49:M1260,2,FALSE)</f>
        <v>Tijeras</v>
      </c>
      <c r="K49">
        <v>48</v>
      </c>
    </row>
    <row r="50" spans="1:11" x14ac:dyDescent="0.25">
      <c r="A50">
        <v>49</v>
      </c>
      <c r="B50">
        <v>49</v>
      </c>
      <c r="C50" t="str">
        <f t="shared" si="0"/>
        <v>116Bezalel Mendoza</v>
      </c>
      <c r="D50">
        <v>116</v>
      </c>
      <c r="E50" s="1" t="s">
        <v>409</v>
      </c>
      <c r="F50" s="1" t="s">
        <v>47</v>
      </c>
      <c r="G50" s="3" t="s">
        <v>384</v>
      </c>
      <c r="H50" s="7" t="s">
        <v>360</v>
      </c>
      <c r="I50" s="20">
        <v>46076.649155092593</v>
      </c>
      <c r="J50" t="str">
        <f>VLOOKUP(C50,'base de datos'!L50:M1261,2,FALSE)</f>
        <v>Tijeras</v>
      </c>
      <c r="K50">
        <v>49</v>
      </c>
    </row>
    <row r="51" spans="1:11" x14ac:dyDescent="0.25">
      <c r="A51">
        <v>50</v>
      </c>
      <c r="B51">
        <v>50</v>
      </c>
      <c r="C51" t="str">
        <f t="shared" si="0"/>
        <v>118Bezalel Mendoza</v>
      </c>
      <c r="D51">
        <v>118</v>
      </c>
      <c r="E51" s="1" t="s">
        <v>409</v>
      </c>
      <c r="F51" s="1" t="s">
        <v>47</v>
      </c>
      <c r="G51" s="3" t="s">
        <v>384</v>
      </c>
      <c r="H51" s="7" t="s">
        <v>360</v>
      </c>
      <c r="I51" s="20">
        <v>46077.649155092593</v>
      </c>
      <c r="J51" t="str">
        <f>VLOOKUP(C51,'base de datos'!L51:M1262,2,FALSE)</f>
        <v>Tijeras</v>
      </c>
      <c r="K51">
        <v>50</v>
      </c>
    </row>
    <row r="52" spans="1:11" x14ac:dyDescent="0.25">
      <c r="A52">
        <v>51</v>
      </c>
      <c r="B52">
        <v>51</v>
      </c>
      <c r="C52" t="str">
        <f t="shared" si="0"/>
        <v>120Bezalel Mendoza</v>
      </c>
      <c r="D52">
        <v>120</v>
      </c>
      <c r="E52" s="1" t="s">
        <v>409</v>
      </c>
      <c r="F52" s="1" t="s">
        <v>47</v>
      </c>
      <c r="G52" s="3" t="s">
        <v>384</v>
      </c>
      <c r="H52" s="7" t="s">
        <v>360</v>
      </c>
      <c r="I52" s="20">
        <v>46078.649155092593</v>
      </c>
      <c r="J52" t="str">
        <f>VLOOKUP(C52,'base de datos'!L52:M1263,2,FALSE)</f>
        <v>Tijeras</v>
      </c>
      <c r="K52">
        <v>51</v>
      </c>
    </row>
    <row r="53" spans="1:11" x14ac:dyDescent="0.25">
      <c r="A53">
        <v>52</v>
      </c>
      <c r="B53">
        <v>52</v>
      </c>
      <c r="C53" t="str">
        <f t="shared" si="0"/>
        <v>122Bezalel Mendoza</v>
      </c>
      <c r="D53">
        <v>122</v>
      </c>
      <c r="E53" s="1" t="s">
        <v>409</v>
      </c>
      <c r="F53" s="1" t="s">
        <v>47</v>
      </c>
      <c r="G53" s="3" t="s">
        <v>384</v>
      </c>
      <c r="H53" s="7" t="s">
        <v>360</v>
      </c>
      <c r="I53" s="20">
        <v>46079.649155092593</v>
      </c>
      <c r="J53" t="str">
        <f>VLOOKUP(C53,'base de datos'!L53:M1264,2,FALSE)</f>
        <v>Tijeras</v>
      </c>
      <c r="K53">
        <v>52</v>
      </c>
    </row>
    <row r="54" spans="1:11" x14ac:dyDescent="0.25">
      <c r="A54">
        <v>53</v>
      </c>
      <c r="B54">
        <v>53</v>
      </c>
      <c r="C54" t="str">
        <f t="shared" si="0"/>
        <v>123Bezalel Mendoza</v>
      </c>
      <c r="D54">
        <v>123</v>
      </c>
      <c r="E54" s="1" t="s">
        <v>409</v>
      </c>
      <c r="F54" s="1" t="s">
        <v>47</v>
      </c>
      <c r="G54" s="3" t="s">
        <v>384</v>
      </c>
      <c r="H54" s="7" t="s">
        <v>360</v>
      </c>
      <c r="I54" s="20">
        <v>46080.649155092593</v>
      </c>
      <c r="J54" t="str">
        <f>VLOOKUP(C54,'base de datos'!L54:M1265,2,FALSE)</f>
        <v>Tijeras</v>
      </c>
      <c r="K54">
        <v>53</v>
      </c>
    </row>
    <row r="55" spans="1:11" x14ac:dyDescent="0.25">
      <c r="A55">
        <v>54</v>
      </c>
      <c r="B55">
        <v>54</v>
      </c>
      <c r="C55" t="str">
        <f t="shared" si="0"/>
        <v>130Bezalel Mendoza</v>
      </c>
      <c r="D55">
        <v>130</v>
      </c>
      <c r="E55" s="1" t="s">
        <v>409</v>
      </c>
      <c r="F55" s="1" t="s">
        <v>47</v>
      </c>
      <c r="G55" s="3" t="s">
        <v>384</v>
      </c>
      <c r="H55" s="7" t="s">
        <v>360</v>
      </c>
      <c r="I55" s="20">
        <v>46081.649155092593</v>
      </c>
      <c r="J55" t="str">
        <f>VLOOKUP(C55,'base de datos'!L55:M1266,2,FALSE)</f>
        <v>Soudronic</v>
      </c>
      <c r="K55">
        <v>54</v>
      </c>
    </row>
    <row r="56" spans="1:11" x14ac:dyDescent="0.25">
      <c r="A56">
        <v>55</v>
      </c>
      <c r="B56">
        <v>55</v>
      </c>
      <c r="C56" t="str">
        <f t="shared" si="0"/>
        <v>135Bezalel Mendoza</v>
      </c>
      <c r="D56">
        <v>135</v>
      </c>
      <c r="E56" s="1" t="s">
        <v>409</v>
      </c>
      <c r="F56" s="1" t="s">
        <v>47</v>
      </c>
      <c r="G56" s="3" t="s">
        <v>384</v>
      </c>
      <c r="H56" s="7" t="s">
        <v>360</v>
      </c>
      <c r="I56" s="20">
        <v>46082.649155092593</v>
      </c>
      <c r="J56" t="str">
        <f>VLOOKUP(C56,'base de datos'!L56:M1267,2,FALSE)</f>
        <v>Golden Smart 220</v>
      </c>
      <c r="K56">
        <v>55</v>
      </c>
    </row>
    <row r="57" spans="1:11" x14ac:dyDescent="0.25">
      <c r="A57">
        <v>56</v>
      </c>
      <c r="B57">
        <v>56</v>
      </c>
      <c r="C57" t="str">
        <f t="shared" si="0"/>
        <v>137Bezalel Mendoza</v>
      </c>
      <c r="D57">
        <v>137</v>
      </c>
      <c r="E57" s="1" t="s">
        <v>409</v>
      </c>
      <c r="F57" s="1" t="s">
        <v>47</v>
      </c>
      <c r="G57" s="3" t="s">
        <v>384</v>
      </c>
      <c r="H57" s="7" t="s">
        <v>360</v>
      </c>
      <c r="I57" s="20">
        <v>46083.649155092593</v>
      </c>
      <c r="J57" t="str">
        <f>VLOOKUP(C57,'base de datos'!L57:M1268,2,FALSE)</f>
        <v>Ishin</v>
      </c>
      <c r="K57">
        <v>56</v>
      </c>
    </row>
    <row r="58" spans="1:11" x14ac:dyDescent="0.25">
      <c r="A58">
        <v>57</v>
      </c>
      <c r="B58">
        <v>57</v>
      </c>
      <c r="C58" t="str">
        <f t="shared" si="0"/>
        <v>139Bezalel Mendoza</v>
      </c>
      <c r="D58">
        <v>139</v>
      </c>
      <c r="E58" s="1" t="s">
        <v>409</v>
      </c>
      <c r="F58" s="1" t="s">
        <v>47</v>
      </c>
      <c r="G58" s="3" t="s">
        <v>384</v>
      </c>
      <c r="H58" s="7" t="s">
        <v>360</v>
      </c>
      <c r="I58" s="20">
        <v>46084.649155092593</v>
      </c>
      <c r="J58" t="str">
        <f>VLOOKUP(C58,'base de datos'!L58:M1269,2,FALSE)</f>
        <v>Bibra</v>
      </c>
      <c r="K58">
        <v>57</v>
      </c>
    </row>
    <row r="59" spans="1:11" x14ac:dyDescent="0.25">
      <c r="A59">
        <v>58</v>
      </c>
      <c r="B59">
        <v>58</v>
      </c>
      <c r="C59" t="str">
        <f t="shared" si="0"/>
        <v>145Bezalel Mendoza</v>
      </c>
      <c r="D59">
        <v>145</v>
      </c>
      <c r="E59" s="1" t="s">
        <v>409</v>
      </c>
      <c r="F59" s="1" t="s">
        <v>47</v>
      </c>
      <c r="G59" s="3" t="s">
        <v>384</v>
      </c>
      <c r="H59" s="7" t="s">
        <v>360</v>
      </c>
      <c r="I59" s="20">
        <v>46085.649155092593</v>
      </c>
      <c r="J59" t="str">
        <f>VLOOKUP(C59,'base de datos'!L59:M1270,2,FALSE)</f>
        <v>CNC 3</v>
      </c>
      <c r="K59">
        <v>58</v>
      </c>
    </row>
    <row r="60" spans="1:11" x14ac:dyDescent="0.25">
      <c r="A60">
        <v>59</v>
      </c>
      <c r="B60">
        <v>59</v>
      </c>
      <c r="C60" t="str">
        <f t="shared" si="0"/>
        <v>155Bezalel Mendoza</v>
      </c>
      <c r="D60">
        <v>155</v>
      </c>
      <c r="E60" s="1" t="s">
        <v>409</v>
      </c>
      <c r="F60" s="1" t="s">
        <v>47</v>
      </c>
      <c r="G60" s="3" t="s">
        <v>384</v>
      </c>
      <c r="H60" s="7" t="s">
        <v>360</v>
      </c>
      <c r="I60" s="20">
        <v>46086.649155092593</v>
      </c>
      <c r="J60" t="str">
        <f>VLOOKUP(C60,'base de datos'!L60:M1271,2,FALSE)</f>
        <v>Ishin</v>
      </c>
      <c r="K60">
        <v>59</v>
      </c>
    </row>
    <row r="61" spans="1:11" x14ac:dyDescent="0.25">
      <c r="A61">
        <v>60</v>
      </c>
      <c r="B61">
        <v>60</v>
      </c>
      <c r="C61" t="str">
        <f t="shared" si="0"/>
        <v>156Bezalel Mendoza</v>
      </c>
      <c r="D61">
        <v>156</v>
      </c>
      <c r="E61" s="1" t="s">
        <v>409</v>
      </c>
      <c r="F61" s="1" t="s">
        <v>47</v>
      </c>
      <c r="G61" s="3" t="s">
        <v>384</v>
      </c>
      <c r="H61" s="7" t="s">
        <v>360</v>
      </c>
      <c r="I61" s="20">
        <v>46087.649155092593</v>
      </c>
      <c r="J61" t="str">
        <f>VLOOKUP(C61,'base de datos'!L61:M1272,2,FALSE)</f>
        <v>Bibra</v>
      </c>
      <c r="K61">
        <v>60</v>
      </c>
    </row>
    <row r="62" spans="1:11" x14ac:dyDescent="0.25">
      <c r="A62">
        <v>61</v>
      </c>
      <c r="B62">
        <v>61</v>
      </c>
      <c r="C62" t="str">
        <f t="shared" si="0"/>
        <v>178Bezalel Mendoza</v>
      </c>
      <c r="D62">
        <v>178</v>
      </c>
      <c r="E62" s="1" t="s">
        <v>409</v>
      </c>
      <c r="F62" s="1" t="s">
        <v>47</v>
      </c>
      <c r="G62" s="3" t="s">
        <v>384</v>
      </c>
      <c r="H62" s="7" t="s">
        <v>360</v>
      </c>
      <c r="I62" s="20">
        <v>46088.649155092593</v>
      </c>
      <c r="J62" t="str">
        <f>VLOOKUP(C62,'base de datos'!L62:M1273,2,FALSE)</f>
        <v>Soudronic</v>
      </c>
      <c r="K62">
        <v>61</v>
      </c>
    </row>
    <row r="63" spans="1:11" x14ac:dyDescent="0.25">
      <c r="A63">
        <v>62</v>
      </c>
      <c r="B63">
        <v>62</v>
      </c>
      <c r="C63" t="str">
        <f t="shared" si="0"/>
        <v>180Bezalel Mendoza</v>
      </c>
      <c r="D63">
        <v>180</v>
      </c>
      <c r="E63" s="1" t="s">
        <v>409</v>
      </c>
      <c r="F63" s="1" t="s">
        <v>47</v>
      </c>
      <c r="G63" s="3" t="s">
        <v>384</v>
      </c>
      <c r="H63" s="7" t="s">
        <v>360</v>
      </c>
      <c r="I63" s="20">
        <v>46089.649155092593</v>
      </c>
      <c r="J63" t="str">
        <f>VLOOKUP(C63,'base de datos'!L63:M1274,2,FALSE)</f>
        <v>Golden Smart 220</v>
      </c>
      <c r="K63">
        <v>62</v>
      </c>
    </row>
    <row r="64" spans="1:11" x14ac:dyDescent="0.25">
      <c r="A64">
        <v>63</v>
      </c>
      <c r="B64">
        <v>63</v>
      </c>
      <c r="C64" t="str">
        <f t="shared" si="0"/>
        <v>201Bezalel Mendoza</v>
      </c>
      <c r="D64">
        <v>201</v>
      </c>
      <c r="E64" s="1" t="s">
        <v>409</v>
      </c>
      <c r="F64" s="1" t="s">
        <v>47</v>
      </c>
      <c r="G64" s="3" t="s">
        <v>384</v>
      </c>
      <c r="H64" s="7" t="s">
        <v>360</v>
      </c>
      <c r="I64" s="20">
        <v>46090.649155092593</v>
      </c>
      <c r="J64" t="str">
        <f>VLOOKUP(C64,'base de datos'!L64:M1275,2,FALSE)</f>
        <v>Envase Pequeño</v>
      </c>
      <c r="K64">
        <v>63</v>
      </c>
    </row>
    <row r="65" spans="1:15" x14ac:dyDescent="0.25">
      <c r="A65">
        <v>64</v>
      </c>
      <c r="B65">
        <v>64</v>
      </c>
      <c r="C65" t="str">
        <f t="shared" si="0"/>
        <v>203Bezalel Mendoza</v>
      </c>
      <c r="D65">
        <v>203</v>
      </c>
      <c r="E65" s="1" t="s">
        <v>409</v>
      </c>
      <c r="F65" s="1" t="s">
        <v>47</v>
      </c>
      <c r="G65" s="3" t="s">
        <v>384</v>
      </c>
      <c r="H65" s="7" t="s">
        <v>360</v>
      </c>
      <c r="I65" s="20">
        <v>46091.649155092593</v>
      </c>
      <c r="J65" t="str">
        <f>VLOOKUP(C65,'base de datos'!L65:M1276,2,FALSE)</f>
        <v>Envase Pequeño</v>
      </c>
      <c r="K65">
        <v>64</v>
      </c>
    </row>
    <row r="66" spans="1:15" x14ac:dyDescent="0.25">
      <c r="A66">
        <v>65</v>
      </c>
      <c r="B66">
        <v>65</v>
      </c>
      <c r="C66" t="str">
        <f t="shared" ref="C66:C129" si="1">D66&amp;G66</f>
        <v>204Bezalel Mendoza</v>
      </c>
      <c r="D66">
        <v>204</v>
      </c>
      <c r="E66" s="1" t="s">
        <v>409</v>
      </c>
      <c r="F66" s="1" t="s">
        <v>47</v>
      </c>
      <c r="G66" s="3" t="s">
        <v>384</v>
      </c>
      <c r="H66" s="7" t="s">
        <v>360</v>
      </c>
      <c r="I66" s="20">
        <v>46092.649155092593</v>
      </c>
      <c r="J66" t="str">
        <f>VLOOKUP(C66,'base de datos'!L66:M1277,2,FALSE)</f>
        <v>Envase Pequeño</v>
      </c>
      <c r="K66">
        <v>65</v>
      </c>
    </row>
    <row r="67" spans="1:15" x14ac:dyDescent="0.25">
      <c r="A67">
        <v>66</v>
      </c>
      <c r="B67">
        <v>66</v>
      </c>
      <c r="C67" t="str">
        <f t="shared" si="1"/>
        <v>205Bezalel Mendoza</v>
      </c>
      <c r="D67">
        <v>205</v>
      </c>
      <c r="E67" s="1" t="s">
        <v>409</v>
      </c>
      <c r="F67" s="1" t="s">
        <v>47</v>
      </c>
      <c r="G67" s="3" t="s">
        <v>384</v>
      </c>
      <c r="H67" s="7" t="s">
        <v>360</v>
      </c>
      <c r="I67" s="20">
        <v>46093.649155092593</v>
      </c>
      <c r="J67" t="str">
        <f>VLOOKUP(C67,'base de datos'!L67:M1278,2,FALSE)</f>
        <v>Envase Rectangular</v>
      </c>
      <c r="K67">
        <v>66</v>
      </c>
    </row>
    <row r="68" spans="1:15" x14ac:dyDescent="0.25">
      <c r="A68">
        <v>67</v>
      </c>
      <c r="B68">
        <v>67</v>
      </c>
      <c r="C68" t="str">
        <f t="shared" si="1"/>
        <v>207Bezalel Mendoza</v>
      </c>
      <c r="D68">
        <v>207</v>
      </c>
      <c r="E68" s="1" t="s">
        <v>409</v>
      </c>
      <c r="F68" s="1" t="s">
        <v>47</v>
      </c>
      <c r="G68" s="3" t="s">
        <v>384</v>
      </c>
      <c r="H68" s="7" t="s">
        <v>360</v>
      </c>
      <c r="I68" s="20">
        <v>46094.649155092593</v>
      </c>
      <c r="J68" t="str">
        <f>VLOOKUP(C68,'base de datos'!L68:M1279,2,FALSE)</f>
        <v>Envase Rectangular</v>
      </c>
      <c r="K68">
        <v>67</v>
      </c>
    </row>
    <row r="69" spans="1:15" x14ac:dyDescent="0.25">
      <c r="A69">
        <v>68</v>
      </c>
      <c r="B69">
        <v>68</v>
      </c>
      <c r="C69" t="str">
        <f t="shared" si="1"/>
        <v>208Bezalel Mendoza</v>
      </c>
      <c r="D69">
        <v>208</v>
      </c>
      <c r="E69" s="1" t="s">
        <v>409</v>
      </c>
      <c r="F69" s="1" t="s">
        <v>47</v>
      </c>
      <c r="G69" s="3" t="s">
        <v>384</v>
      </c>
      <c r="H69" s="7" t="s">
        <v>360</v>
      </c>
      <c r="I69" s="20">
        <v>46095.649155092593</v>
      </c>
      <c r="J69" t="str">
        <f>VLOOKUP(C69,'base de datos'!L69:M1280,2,FALSE)</f>
        <v>Envase Rectangular</v>
      </c>
      <c r="K69">
        <v>68</v>
      </c>
    </row>
    <row r="70" spans="1:15" x14ac:dyDescent="0.25">
      <c r="A70">
        <v>69</v>
      </c>
      <c r="B70">
        <v>69</v>
      </c>
      <c r="C70" t="str">
        <f t="shared" si="1"/>
        <v>65Binder Chocooj</v>
      </c>
      <c r="D70" s="5">
        <v>65</v>
      </c>
      <c r="E70" s="1" t="s">
        <v>409</v>
      </c>
      <c r="F70" s="1" t="s">
        <v>47</v>
      </c>
      <c r="G70" s="1" t="s">
        <v>391</v>
      </c>
      <c r="H70" s="6" t="s">
        <v>361</v>
      </c>
      <c r="I70" s="20">
        <v>46096.649155092593</v>
      </c>
      <c r="J70" t="str">
        <f>VLOOKUP(C70,'base de datos'!L70:M1281,2,FALSE)</f>
        <v>Golden Smart 220</v>
      </c>
      <c r="K70">
        <v>69</v>
      </c>
      <c r="O70" s="5"/>
    </row>
    <row r="71" spans="1:15" x14ac:dyDescent="0.25">
      <c r="A71">
        <v>70</v>
      </c>
      <c r="B71">
        <v>70</v>
      </c>
      <c r="C71" t="str">
        <f t="shared" si="1"/>
        <v>20Carlos de Leon</v>
      </c>
      <c r="D71">
        <v>20</v>
      </c>
      <c r="E71" s="1" t="s">
        <v>409</v>
      </c>
      <c r="F71" s="1" t="s">
        <v>47</v>
      </c>
      <c r="G71" s="3" t="s">
        <v>396</v>
      </c>
      <c r="H71" s="7" t="s">
        <v>363</v>
      </c>
      <c r="I71" s="20">
        <v>46097.649155092593</v>
      </c>
      <c r="J71" t="str">
        <f>VLOOKUP(C71,'base de datos'!L71:M1282,2,FALSE)</f>
        <v>Compresores</v>
      </c>
      <c r="K71">
        <v>70</v>
      </c>
    </row>
    <row r="72" spans="1:15" x14ac:dyDescent="0.25">
      <c r="A72">
        <v>71</v>
      </c>
      <c r="B72">
        <v>71</v>
      </c>
      <c r="C72" t="str">
        <f t="shared" si="1"/>
        <v>21Carlos de Leon</v>
      </c>
      <c r="D72">
        <v>21</v>
      </c>
      <c r="E72" s="1" t="s">
        <v>409</v>
      </c>
      <c r="F72" s="1" t="s">
        <v>47</v>
      </c>
      <c r="G72" s="3" t="s">
        <v>396</v>
      </c>
      <c r="H72" s="7" t="s">
        <v>363</v>
      </c>
      <c r="I72" s="20">
        <v>46098.649155092593</v>
      </c>
      <c r="J72" t="str">
        <f>VLOOKUP(C72,'base de datos'!L72:M1283,2,FALSE)</f>
        <v>Compresores</v>
      </c>
      <c r="K72">
        <v>71</v>
      </c>
    </row>
    <row r="73" spans="1:15" x14ac:dyDescent="0.25">
      <c r="A73">
        <v>72</v>
      </c>
      <c r="B73">
        <v>72</v>
      </c>
      <c r="C73" t="str">
        <f t="shared" si="1"/>
        <v>68Carlos de Leon</v>
      </c>
      <c r="D73">
        <v>68</v>
      </c>
      <c r="E73" s="1" t="s">
        <v>409</v>
      </c>
      <c r="F73" s="1" t="s">
        <v>47</v>
      </c>
      <c r="G73" s="3" t="s">
        <v>396</v>
      </c>
      <c r="H73" s="7" t="s">
        <v>363</v>
      </c>
      <c r="I73" s="20">
        <v>46099.649155092593</v>
      </c>
      <c r="J73" t="str">
        <f>VLOOKUP(C73,'base de datos'!L73:M1284,2,FALSE)</f>
        <v>Montacargas</v>
      </c>
      <c r="K73">
        <v>72</v>
      </c>
    </row>
    <row r="74" spans="1:15" x14ac:dyDescent="0.25">
      <c r="A74">
        <v>73</v>
      </c>
      <c r="B74">
        <v>73</v>
      </c>
      <c r="C74" t="str">
        <f t="shared" si="1"/>
        <v>69Carlos de Leon</v>
      </c>
      <c r="D74">
        <v>69</v>
      </c>
      <c r="E74" s="1" t="s">
        <v>409</v>
      </c>
      <c r="F74" s="1" t="s">
        <v>47</v>
      </c>
      <c r="G74" s="3" t="s">
        <v>396</v>
      </c>
      <c r="H74" s="7" t="s">
        <v>363</v>
      </c>
      <c r="I74" s="20">
        <v>46100.649155092593</v>
      </c>
      <c r="J74" t="str">
        <f>VLOOKUP(C74,'base de datos'!L74:M1285,2,FALSE)</f>
        <v>Montacargas</v>
      </c>
      <c r="K74">
        <v>73</v>
      </c>
    </row>
    <row r="75" spans="1:15" x14ac:dyDescent="0.25">
      <c r="A75">
        <v>74</v>
      </c>
      <c r="B75">
        <v>74</v>
      </c>
      <c r="C75" t="str">
        <f t="shared" si="1"/>
        <v>1Cesar Roque</v>
      </c>
      <c r="D75">
        <v>1</v>
      </c>
      <c r="E75" s="1" t="s">
        <v>409</v>
      </c>
      <c r="F75" s="1" t="s">
        <v>47</v>
      </c>
      <c r="G75" s="3" t="s">
        <v>382</v>
      </c>
      <c r="H75" s="7" t="s">
        <v>363</v>
      </c>
      <c r="I75" s="20">
        <v>46101.649155092593</v>
      </c>
      <c r="J75" t="str">
        <f>VLOOKUP(C75,'base de datos'!L75:M1286,2,FALSE)</f>
        <v>Soudronic</v>
      </c>
      <c r="K75">
        <v>74</v>
      </c>
    </row>
    <row r="76" spans="1:15" x14ac:dyDescent="0.25">
      <c r="A76">
        <v>75</v>
      </c>
      <c r="B76">
        <v>75</v>
      </c>
      <c r="C76" t="str">
        <f t="shared" si="1"/>
        <v>2Cesar Roque</v>
      </c>
      <c r="D76">
        <v>2</v>
      </c>
      <c r="E76" s="1" t="s">
        <v>409</v>
      </c>
      <c r="F76" s="1" t="s">
        <v>47</v>
      </c>
      <c r="G76" s="3" t="s">
        <v>382</v>
      </c>
      <c r="H76" s="7" t="s">
        <v>363</v>
      </c>
      <c r="I76" s="20">
        <v>46102.649155092593</v>
      </c>
      <c r="J76" t="str">
        <f>VLOOKUP(C76,'base de datos'!L76:M1287,2,FALSE)</f>
        <v>Smag</v>
      </c>
      <c r="K76">
        <v>75</v>
      </c>
    </row>
    <row r="77" spans="1:15" x14ac:dyDescent="0.25">
      <c r="A77">
        <v>76</v>
      </c>
      <c r="B77">
        <v>76</v>
      </c>
      <c r="C77" t="str">
        <f t="shared" si="1"/>
        <v>6Cesar Roque</v>
      </c>
      <c r="D77">
        <v>6</v>
      </c>
      <c r="E77" s="1" t="s">
        <v>409</v>
      </c>
      <c r="F77" s="1" t="s">
        <v>47</v>
      </c>
      <c r="G77" s="3" t="s">
        <v>382</v>
      </c>
      <c r="H77" s="7" t="s">
        <v>363</v>
      </c>
      <c r="I77" s="20">
        <v>46103.649155092593</v>
      </c>
      <c r="J77" t="str">
        <f>VLOOKUP(C77,'base de datos'!L77:M1288,2,FALSE)</f>
        <v>Soudronic</v>
      </c>
      <c r="K77">
        <v>76</v>
      </c>
    </row>
    <row r="78" spans="1:15" x14ac:dyDescent="0.25">
      <c r="A78">
        <v>77</v>
      </c>
      <c r="B78">
        <v>77</v>
      </c>
      <c r="C78" t="str">
        <f t="shared" si="1"/>
        <v>7Cesar Roque</v>
      </c>
      <c r="D78">
        <v>7</v>
      </c>
      <c r="E78" s="1" t="s">
        <v>409</v>
      </c>
      <c r="F78" s="1" t="s">
        <v>47</v>
      </c>
      <c r="G78" s="3" t="s">
        <v>382</v>
      </c>
      <c r="H78" s="7" t="s">
        <v>363</v>
      </c>
      <c r="I78" s="20">
        <v>46104.649155092593</v>
      </c>
      <c r="J78" t="str">
        <f>VLOOKUP(C78,'base de datos'!L78:M1289,2,FALSE)</f>
        <v>Smag</v>
      </c>
      <c r="K78">
        <v>77</v>
      </c>
    </row>
    <row r="79" spans="1:15" x14ac:dyDescent="0.25">
      <c r="A79">
        <v>78</v>
      </c>
      <c r="B79">
        <v>78</v>
      </c>
      <c r="C79" t="str">
        <f t="shared" si="1"/>
        <v>12Cesar Roque</v>
      </c>
      <c r="D79">
        <v>12</v>
      </c>
      <c r="E79" s="1" t="s">
        <v>409</v>
      </c>
      <c r="F79" s="1" t="s">
        <v>47</v>
      </c>
      <c r="G79" s="3" t="s">
        <v>382</v>
      </c>
      <c r="H79" s="7" t="s">
        <v>363</v>
      </c>
      <c r="I79" s="20">
        <v>46105.649155092593</v>
      </c>
      <c r="J79" t="str">
        <f>VLOOKUP(C79,'base de datos'!L79:M1290,2,FALSE)</f>
        <v>Soudronic</v>
      </c>
      <c r="K79">
        <v>78</v>
      </c>
    </row>
    <row r="80" spans="1:15" x14ac:dyDescent="0.25">
      <c r="A80">
        <v>79</v>
      </c>
      <c r="B80">
        <v>79</v>
      </c>
      <c r="C80" t="str">
        <f t="shared" si="1"/>
        <v>16Cesar Roque</v>
      </c>
      <c r="D80">
        <v>16</v>
      </c>
      <c r="E80" s="1" t="s">
        <v>409</v>
      </c>
      <c r="F80" s="1" t="s">
        <v>47</v>
      </c>
      <c r="G80" s="3" t="s">
        <v>382</v>
      </c>
      <c r="H80" s="7" t="s">
        <v>363</v>
      </c>
      <c r="I80" s="20">
        <v>46106.649155092593</v>
      </c>
      <c r="J80" t="str">
        <f>VLOOKUP(C80,'base de datos'!L80:M1291,2,FALSE)</f>
        <v>Smart 110</v>
      </c>
      <c r="K80">
        <v>79</v>
      </c>
    </row>
    <row r="81" spans="1:11" x14ac:dyDescent="0.25">
      <c r="A81">
        <v>80</v>
      </c>
      <c r="B81">
        <v>80</v>
      </c>
      <c r="C81" t="str">
        <f t="shared" si="1"/>
        <v>42Cesar Roque</v>
      </c>
      <c r="D81">
        <v>42</v>
      </c>
      <c r="E81" s="1" t="s">
        <v>409</v>
      </c>
      <c r="F81" s="1" t="s">
        <v>47</v>
      </c>
      <c r="G81" s="3" t="s">
        <v>382</v>
      </c>
      <c r="H81" s="7" t="s">
        <v>363</v>
      </c>
      <c r="I81" s="20">
        <v>46107.649155092593</v>
      </c>
      <c r="J81" t="str">
        <f>VLOOKUP(C81,'base de datos'!L81:M1292,2,FALSE)</f>
        <v>Soudronic</v>
      </c>
      <c r="K81">
        <v>80</v>
      </c>
    </row>
    <row r="82" spans="1:11" x14ac:dyDescent="0.25">
      <c r="A82">
        <v>81</v>
      </c>
      <c r="B82">
        <v>81</v>
      </c>
      <c r="C82" t="str">
        <f t="shared" si="1"/>
        <v>43Cesar Roque</v>
      </c>
      <c r="D82">
        <v>43</v>
      </c>
      <c r="E82" s="1" t="s">
        <v>409</v>
      </c>
      <c r="F82" s="1" t="s">
        <v>47</v>
      </c>
      <c r="G82" s="3" t="s">
        <v>382</v>
      </c>
      <c r="H82" s="7" t="s">
        <v>363</v>
      </c>
      <c r="I82" s="20">
        <v>46108.649155092593</v>
      </c>
      <c r="J82" t="str">
        <f>VLOOKUP(C82,'base de datos'!L82:M1293,2,FALSE)</f>
        <v>Soudronic</v>
      </c>
      <c r="K82">
        <v>81</v>
      </c>
    </row>
    <row r="83" spans="1:11" x14ac:dyDescent="0.25">
      <c r="A83">
        <v>82</v>
      </c>
      <c r="B83">
        <v>82</v>
      </c>
      <c r="C83" t="str">
        <f t="shared" si="1"/>
        <v>49Cesar Roque</v>
      </c>
      <c r="D83">
        <v>49</v>
      </c>
      <c r="E83" s="1" t="s">
        <v>409</v>
      </c>
      <c r="F83" s="1" t="s">
        <v>47</v>
      </c>
      <c r="G83" s="3" t="s">
        <v>382</v>
      </c>
      <c r="H83" s="7" t="s">
        <v>363</v>
      </c>
      <c r="I83" s="20">
        <v>46109.649155092593</v>
      </c>
      <c r="J83" t="str">
        <f>VLOOKUP(C83,'base de datos'!L83:M1294,2,FALSE)</f>
        <v>Soudronic</v>
      </c>
      <c r="K83">
        <v>82</v>
      </c>
    </row>
    <row r="84" spans="1:11" x14ac:dyDescent="0.25">
      <c r="A84">
        <v>83</v>
      </c>
      <c r="B84">
        <v>83</v>
      </c>
      <c r="C84" t="str">
        <f t="shared" si="1"/>
        <v>50Cesar Roque</v>
      </c>
      <c r="D84">
        <v>50</v>
      </c>
      <c r="E84" s="1" t="s">
        <v>409</v>
      </c>
      <c r="F84" s="1" t="s">
        <v>47</v>
      </c>
      <c r="G84" s="3" t="s">
        <v>382</v>
      </c>
      <c r="H84" s="7" t="s">
        <v>363</v>
      </c>
      <c r="I84" s="20">
        <v>46110.649155092593</v>
      </c>
      <c r="J84" t="str">
        <f>VLOOKUP(C84,'base de datos'!L84:M1295,2,FALSE)</f>
        <v>Smag</v>
      </c>
      <c r="K84">
        <v>83</v>
      </c>
    </row>
    <row r="85" spans="1:11" x14ac:dyDescent="0.25">
      <c r="A85">
        <v>84</v>
      </c>
      <c r="B85">
        <v>84</v>
      </c>
      <c r="C85" t="str">
        <f t="shared" si="1"/>
        <v>61Cesar Roque</v>
      </c>
      <c r="D85">
        <v>61</v>
      </c>
      <c r="E85" s="1" t="s">
        <v>409</v>
      </c>
      <c r="F85" s="1" t="s">
        <v>47</v>
      </c>
      <c r="G85" s="3" t="s">
        <v>382</v>
      </c>
      <c r="H85" s="7" t="s">
        <v>363</v>
      </c>
      <c r="I85" s="20">
        <v>46111.649155092593</v>
      </c>
      <c r="J85" t="str">
        <f>VLOOKUP(C85,'base de datos'!L85:M1296,2,FALSE)</f>
        <v>Soudronic</v>
      </c>
      <c r="K85">
        <v>84</v>
      </c>
    </row>
    <row r="86" spans="1:11" x14ac:dyDescent="0.25">
      <c r="A86">
        <v>85</v>
      </c>
      <c r="B86">
        <v>85</v>
      </c>
      <c r="C86" t="str">
        <f t="shared" si="1"/>
        <v>62Cesar Roque</v>
      </c>
      <c r="D86">
        <v>62</v>
      </c>
      <c r="E86" s="1" t="s">
        <v>409</v>
      </c>
      <c r="F86" s="1" t="s">
        <v>47</v>
      </c>
      <c r="G86" s="3" t="s">
        <v>382</v>
      </c>
      <c r="H86" s="7" t="s">
        <v>363</v>
      </c>
      <c r="I86" s="20">
        <v>46112.649155092593</v>
      </c>
      <c r="J86" t="str">
        <f>VLOOKUP(C86,'base de datos'!L86:M1297,2,FALSE)</f>
        <v>Soudronic</v>
      </c>
      <c r="K86">
        <v>85</v>
      </c>
    </row>
    <row r="87" spans="1:11" x14ac:dyDescent="0.25">
      <c r="A87">
        <v>86</v>
      </c>
      <c r="B87">
        <v>86</v>
      </c>
      <c r="C87" t="str">
        <f t="shared" si="1"/>
        <v>63Cesar Roque</v>
      </c>
      <c r="D87">
        <v>63</v>
      </c>
      <c r="E87" s="1" t="s">
        <v>409</v>
      </c>
      <c r="F87" s="1" t="s">
        <v>47</v>
      </c>
      <c r="G87" s="3" t="s">
        <v>382</v>
      </c>
      <c r="H87" s="7" t="s">
        <v>363</v>
      </c>
      <c r="I87" s="20">
        <v>46113.649155092593</v>
      </c>
      <c r="J87" t="str">
        <f>VLOOKUP(C87,'base de datos'!L87:M1298,2,FALSE)</f>
        <v>Smag</v>
      </c>
      <c r="K87">
        <v>86</v>
      </c>
    </row>
    <row r="88" spans="1:11" x14ac:dyDescent="0.25">
      <c r="A88">
        <v>87</v>
      </c>
      <c r="B88">
        <v>87</v>
      </c>
      <c r="C88" t="str">
        <f t="shared" si="1"/>
        <v>64Cesar Roque</v>
      </c>
      <c r="D88">
        <v>64</v>
      </c>
      <c r="E88" s="1" t="s">
        <v>409</v>
      </c>
      <c r="F88" s="1" t="s">
        <v>47</v>
      </c>
      <c r="G88" s="3" t="s">
        <v>382</v>
      </c>
      <c r="H88" s="7" t="s">
        <v>363</v>
      </c>
      <c r="I88" s="20">
        <v>46114.649155092593</v>
      </c>
      <c r="J88" t="str">
        <f>VLOOKUP(C88,'base de datos'!L88:M1299,2,FALSE)</f>
        <v>Smag</v>
      </c>
      <c r="K88">
        <v>87</v>
      </c>
    </row>
    <row r="89" spans="1:11" x14ac:dyDescent="0.25">
      <c r="A89">
        <v>88</v>
      </c>
      <c r="B89">
        <v>88</v>
      </c>
      <c r="C89" t="str">
        <f t="shared" si="1"/>
        <v>66Cesar Roque</v>
      </c>
      <c r="D89">
        <v>66</v>
      </c>
      <c r="E89" s="1" t="s">
        <v>409</v>
      </c>
      <c r="F89" s="1" t="s">
        <v>47</v>
      </c>
      <c r="G89" s="3" t="s">
        <v>382</v>
      </c>
      <c r="H89" s="7" t="s">
        <v>363</v>
      </c>
      <c r="I89" s="20">
        <v>46115.649155092593</v>
      </c>
      <c r="J89" t="str">
        <f>VLOOKUP(C89,'base de datos'!L89:M1300,2,FALSE)</f>
        <v>Smart 110</v>
      </c>
      <c r="K89">
        <v>88</v>
      </c>
    </row>
    <row r="90" spans="1:11" x14ac:dyDescent="0.25">
      <c r="A90">
        <v>89</v>
      </c>
      <c r="B90">
        <v>89</v>
      </c>
      <c r="C90" t="str">
        <f t="shared" si="1"/>
        <v>104Cesar Roque</v>
      </c>
      <c r="D90">
        <v>104</v>
      </c>
      <c r="E90" s="1" t="s">
        <v>409</v>
      </c>
      <c r="F90" s="1" t="s">
        <v>47</v>
      </c>
      <c r="G90" s="3" t="s">
        <v>382</v>
      </c>
      <c r="H90" s="7" t="s">
        <v>363</v>
      </c>
      <c r="I90" s="20">
        <v>46116.649155092593</v>
      </c>
      <c r="J90" t="str">
        <f>VLOOKUP(C90,'base de datos'!L90:M1301,2,FALSE)</f>
        <v>Smag</v>
      </c>
      <c r="K90">
        <v>89</v>
      </c>
    </row>
    <row r="91" spans="1:11" x14ac:dyDescent="0.25">
      <c r="A91">
        <v>90</v>
      </c>
      <c r="B91">
        <v>90</v>
      </c>
      <c r="C91" t="str">
        <f t="shared" si="1"/>
        <v>109Cesar Roque</v>
      </c>
      <c r="D91">
        <v>109</v>
      </c>
      <c r="E91" s="1" t="s">
        <v>409</v>
      </c>
      <c r="F91" s="1" t="s">
        <v>47</v>
      </c>
      <c r="G91" s="3" t="s">
        <v>382</v>
      </c>
      <c r="H91" s="7" t="s">
        <v>363</v>
      </c>
      <c r="I91" s="20">
        <v>46117.649155092593</v>
      </c>
      <c r="J91" t="str">
        <f>VLOOKUP(C91,'base de datos'!L91:M1302,2,FALSE)</f>
        <v>Smag</v>
      </c>
      <c r="K91">
        <v>90</v>
      </c>
    </row>
    <row r="92" spans="1:11" x14ac:dyDescent="0.25">
      <c r="A92">
        <v>91</v>
      </c>
      <c r="B92">
        <v>91</v>
      </c>
      <c r="C92" t="str">
        <f t="shared" si="1"/>
        <v>123Cesar Roque</v>
      </c>
      <c r="D92">
        <v>123</v>
      </c>
      <c r="E92" s="1" t="s">
        <v>409</v>
      </c>
      <c r="F92" s="1" t="s">
        <v>47</v>
      </c>
      <c r="G92" s="3" t="s">
        <v>382</v>
      </c>
      <c r="H92" s="7" t="s">
        <v>363</v>
      </c>
      <c r="I92" s="20">
        <v>46118.649155092593</v>
      </c>
      <c r="J92" t="str">
        <f>VLOOKUP(C92,'base de datos'!L92:M1303,2,FALSE)</f>
        <v>Tijeras</v>
      </c>
      <c r="K92">
        <v>91</v>
      </c>
    </row>
    <row r="93" spans="1:11" x14ac:dyDescent="0.25">
      <c r="A93">
        <v>92</v>
      </c>
      <c r="B93">
        <v>92</v>
      </c>
      <c r="C93" t="str">
        <f t="shared" si="1"/>
        <v>130Cesar Roque</v>
      </c>
      <c r="D93">
        <v>130</v>
      </c>
      <c r="E93" s="1" t="s">
        <v>409</v>
      </c>
      <c r="F93" s="1" t="s">
        <v>47</v>
      </c>
      <c r="G93" s="3" t="s">
        <v>382</v>
      </c>
      <c r="H93" s="7" t="s">
        <v>363</v>
      </c>
      <c r="I93" s="20">
        <v>46119.649155092593</v>
      </c>
      <c r="J93" t="str">
        <f>VLOOKUP(C93,'base de datos'!L93:M1304,2,FALSE)</f>
        <v>Soudronic</v>
      </c>
      <c r="K93">
        <v>92</v>
      </c>
    </row>
    <row r="94" spans="1:11" x14ac:dyDescent="0.25">
      <c r="A94">
        <v>93</v>
      </c>
      <c r="B94">
        <v>93</v>
      </c>
      <c r="C94" t="str">
        <f t="shared" si="1"/>
        <v>133Cesar Roque</v>
      </c>
      <c r="D94">
        <v>133</v>
      </c>
      <c r="E94" s="1" t="s">
        <v>409</v>
      </c>
      <c r="F94" s="1" t="s">
        <v>47</v>
      </c>
      <c r="G94" s="3" t="s">
        <v>382</v>
      </c>
      <c r="H94" s="7" t="s">
        <v>363</v>
      </c>
      <c r="I94" s="20">
        <v>46120.649155092593</v>
      </c>
      <c r="J94" t="str">
        <f>VLOOKUP(C94,'base de datos'!L94:M1305,2,FALSE)</f>
        <v>Smag</v>
      </c>
      <c r="K94">
        <v>93</v>
      </c>
    </row>
    <row r="95" spans="1:11" x14ac:dyDescent="0.25">
      <c r="A95">
        <v>94</v>
      </c>
      <c r="B95">
        <v>94</v>
      </c>
      <c r="C95" t="str">
        <f t="shared" si="1"/>
        <v>134Cesar Roque</v>
      </c>
      <c r="D95">
        <v>134</v>
      </c>
      <c r="E95" s="1" t="s">
        <v>409</v>
      </c>
      <c r="F95" s="1" t="s">
        <v>47</v>
      </c>
      <c r="G95" s="3" t="s">
        <v>382</v>
      </c>
      <c r="H95" s="7" t="s">
        <v>363</v>
      </c>
      <c r="I95" s="20">
        <v>46121.649155092593</v>
      </c>
      <c r="J95" t="str">
        <f>VLOOKUP(C95,'base de datos'!L95:M1306,2,FALSE)</f>
        <v>Smart 110</v>
      </c>
      <c r="K95">
        <v>94</v>
      </c>
    </row>
    <row r="96" spans="1:11" x14ac:dyDescent="0.25">
      <c r="A96">
        <v>95</v>
      </c>
      <c r="B96">
        <v>95</v>
      </c>
      <c r="C96" t="str">
        <f t="shared" si="1"/>
        <v>178Cesar Roque</v>
      </c>
      <c r="D96">
        <v>178</v>
      </c>
      <c r="E96" s="1" t="s">
        <v>409</v>
      </c>
      <c r="F96" s="1" t="s">
        <v>47</v>
      </c>
      <c r="G96" s="3" t="s">
        <v>382</v>
      </c>
      <c r="H96" s="7" t="s">
        <v>363</v>
      </c>
      <c r="I96" s="20">
        <v>46122.649155092593</v>
      </c>
      <c r="J96" t="str">
        <f>VLOOKUP(C96,'base de datos'!L96:M1307,2,FALSE)</f>
        <v>Soudronic</v>
      </c>
      <c r="K96">
        <v>95</v>
      </c>
    </row>
    <row r="97" spans="1:15" x14ac:dyDescent="0.25">
      <c r="A97">
        <v>96</v>
      </c>
      <c r="B97">
        <v>96</v>
      </c>
      <c r="C97" t="str">
        <f t="shared" si="1"/>
        <v>179Cesar Roque</v>
      </c>
      <c r="D97">
        <v>179</v>
      </c>
      <c r="E97" s="1" t="s">
        <v>409</v>
      </c>
      <c r="F97" s="1" t="s">
        <v>47</v>
      </c>
      <c r="G97" s="3" t="s">
        <v>382</v>
      </c>
      <c r="H97" s="7" t="s">
        <v>363</v>
      </c>
      <c r="I97" s="20">
        <v>46123.649155092593</v>
      </c>
      <c r="J97" t="str">
        <f>VLOOKUP(C97,'base de datos'!L97:M1308,2,FALSE)</f>
        <v>Smag</v>
      </c>
      <c r="K97">
        <v>96</v>
      </c>
    </row>
    <row r="98" spans="1:15" x14ac:dyDescent="0.25">
      <c r="A98">
        <v>97</v>
      </c>
      <c r="B98">
        <v>97</v>
      </c>
      <c r="C98" t="str">
        <f t="shared" si="1"/>
        <v>63Christopher Yuman</v>
      </c>
      <c r="D98" s="5">
        <v>63</v>
      </c>
      <c r="E98" s="1" t="s">
        <v>409</v>
      </c>
      <c r="F98" s="1" t="s">
        <v>47</v>
      </c>
      <c r="G98" s="1" t="s">
        <v>386</v>
      </c>
      <c r="H98" s="6" t="s">
        <v>361</v>
      </c>
      <c r="I98" s="20">
        <v>46124.649155092593</v>
      </c>
      <c r="J98" t="str">
        <f>VLOOKUP(C98,'base de datos'!L98:M1309,2,FALSE)</f>
        <v>Smag</v>
      </c>
      <c r="K98">
        <v>97</v>
      </c>
      <c r="O98" s="5"/>
    </row>
    <row r="99" spans="1:15" x14ac:dyDescent="0.25">
      <c r="A99">
        <v>98</v>
      </c>
      <c r="B99">
        <v>98</v>
      </c>
      <c r="C99" t="str">
        <f t="shared" si="1"/>
        <v>64Christopher Yuman</v>
      </c>
      <c r="D99" s="2">
        <v>64</v>
      </c>
      <c r="E99" s="1" t="s">
        <v>409</v>
      </c>
      <c r="F99" s="3" t="s">
        <v>47</v>
      </c>
      <c r="G99" s="3" t="s">
        <v>386</v>
      </c>
      <c r="H99" s="7" t="s">
        <v>361</v>
      </c>
      <c r="I99" s="20">
        <v>46125.649155092593</v>
      </c>
      <c r="J99" t="str">
        <f>VLOOKUP(C99,'base de datos'!L99:M1310,2,FALSE)</f>
        <v>Smag</v>
      </c>
      <c r="K99">
        <v>98</v>
      </c>
      <c r="O99" s="2"/>
    </row>
    <row r="100" spans="1:15" x14ac:dyDescent="0.25">
      <c r="A100">
        <v>99</v>
      </c>
      <c r="B100">
        <v>99</v>
      </c>
      <c r="C100" t="str">
        <f t="shared" si="1"/>
        <v>24Daniel Coc</v>
      </c>
      <c r="D100">
        <v>24</v>
      </c>
      <c r="E100" s="1" t="s">
        <v>409</v>
      </c>
      <c r="F100" s="1" t="s">
        <v>47</v>
      </c>
      <c r="G100" s="1" t="s">
        <v>401</v>
      </c>
      <c r="H100" s="6" t="s">
        <v>361</v>
      </c>
      <c r="I100" s="20">
        <v>46126.649155092593</v>
      </c>
      <c r="J100" t="str">
        <f>VLOOKUP(C100,'base de datos'!L100:M1311,2,FALSE)</f>
        <v>CNC 2</v>
      </c>
      <c r="K100">
        <v>99</v>
      </c>
    </row>
    <row r="101" spans="1:15" x14ac:dyDescent="0.25">
      <c r="A101">
        <v>100</v>
      </c>
      <c r="B101">
        <v>100</v>
      </c>
      <c r="C101" t="str">
        <f t="shared" si="1"/>
        <v>35Daniel Coc</v>
      </c>
      <c r="D101">
        <v>35</v>
      </c>
      <c r="E101" s="1" t="s">
        <v>409</v>
      </c>
      <c r="F101" s="1" t="s">
        <v>47</v>
      </c>
      <c r="G101" s="1" t="s">
        <v>401</v>
      </c>
      <c r="H101" s="6" t="s">
        <v>361</v>
      </c>
      <c r="I101" s="20">
        <v>46127.649155092593</v>
      </c>
      <c r="J101" t="str">
        <f>VLOOKUP(C101,'base de datos'!L101:M1312,2,FALSE)</f>
        <v>CNC 2</v>
      </c>
      <c r="K101">
        <v>100</v>
      </c>
    </row>
    <row r="102" spans="1:15" x14ac:dyDescent="0.25">
      <c r="A102">
        <v>101</v>
      </c>
      <c r="B102">
        <v>101</v>
      </c>
      <c r="C102" t="str">
        <f t="shared" si="1"/>
        <v>54Daniel Coc</v>
      </c>
      <c r="D102">
        <v>54</v>
      </c>
      <c r="E102" s="1" t="s">
        <v>409</v>
      </c>
      <c r="F102" s="1" t="s">
        <v>47</v>
      </c>
      <c r="G102" s="1" t="s">
        <v>401</v>
      </c>
      <c r="H102" s="6" t="s">
        <v>361</v>
      </c>
      <c r="I102" s="20">
        <v>46128.649155092593</v>
      </c>
      <c r="J102" t="str">
        <f>VLOOKUP(C102,'base de datos'!L102:M1313,2,FALSE)</f>
        <v>CNC 2</v>
      </c>
      <c r="K102">
        <v>101</v>
      </c>
    </row>
    <row r="103" spans="1:15" x14ac:dyDescent="0.25">
      <c r="A103">
        <v>102</v>
      </c>
      <c r="B103">
        <v>102</v>
      </c>
      <c r="C103" t="str">
        <f t="shared" si="1"/>
        <v>96Daniel Coc</v>
      </c>
      <c r="D103">
        <v>96</v>
      </c>
      <c r="E103" s="1" t="s">
        <v>409</v>
      </c>
      <c r="F103" s="1" t="s">
        <v>47</v>
      </c>
      <c r="G103" s="1" t="s">
        <v>401</v>
      </c>
      <c r="H103" s="6" t="s">
        <v>361</v>
      </c>
      <c r="I103" s="20">
        <v>46129.649155092593</v>
      </c>
      <c r="J103" t="str">
        <f>VLOOKUP(C103,'base de datos'!L103:M1314,2,FALSE)</f>
        <v>CNC 2</v>
      </c>
      <c r="K103">
        <v>102</v>
      </c>
    </row>
    <row r="104" spans="1:15" x14ac:dyDescent="0.25">
      <c r="A104">
        <v>103</v>
      </c>
      <c r="B104">
        <v>103</v>
      </c>
      <c r="C104" t="str">
        <f t="shared" si="1"/>
        <v>142Daniel Coc</v>
      </c>
      <c r="D104">
        <v>142</v>
      </c>
      <c r="E104" s="1" t="s">
        <v>409</v>
      </c>
      <c r="F104" s="1" t="s">
        <v>47</v>
      </c>
      <c r="G104" s="1" t="s">
        <v>401</v>
      </c>
      <c r="H104" s="6" t="s">
        <v>361</v>
      </c>
      <c r="I104" s="20">
        <v>46130.649155092593</v>
      </c>
      <c r="J104" t="str">
        <f>VLOOKUP(C104,'base de datos'!L104:M1315,2,FALSE)</f>
        <v>CNC 2</v>
      </c>
      <c r="K104">
        <v>103</v>
      </c>
    </row>
    <row r="105" spans="1:15" x14ac:dyDescent="0.25">
      <c r="A105">
        <v>104</v>
      </c>
      <c r="B105">
        <v>104</v>
      </c>
      <c r="C105" t="str">
        <f t="shared" si="1"/>
        <v>109Dany Sotoj</v>
      </c>
      <c r="D105" s="5">
        <v>109</v>
      </c>
      <c r="E105" s="1" t="s">
        <v>409</v>
      </c>
      <c r="F105" s="1" t="s">
        <v>47</v>
      </c>
      <c r="G105" s="1" t="s">
        <v>387</v>
      </c>
      <c r="H105" s="6" t="s">
        <v>361</v>
      </c>
      <c r="I105" s="20">
        <v>46131.649155092593</v>
      </c>
      <c r="J105" t="str">
        <f>VLOOKUP(C105,'base de datos'!L105:M1316,2,FALSE)</f>
        <v>Smag</v>
      </c>
      <c r="K105">
        <v>104</v>
      </c>
      <c r="O105" s="5"/>
    </row>
    <row r="106" spans="1:15" x14ac:dyDescent="0.25">
      <c r="A106">
        <v>105</v>
      </c>
      <c r="B106">
        <v>105</v>
      </c>
      <c r="C106" t="str">
        <f t="shared" si="1"/>
        <v>3Edgar Aquil</v>
      </c>
      <c r="D106">
        <v>3</v>
      </c>
      <c r="E106" s="1" t="s">
        <v>409</v>
      </c>
      <c r="F106" s="3" t="s">
        <v>47</v>
      </c>
      <c r="G106" s="3" t="s">
        <v>392</v>
      </c>
      <c r="H106" s="7" t="s">
        <v>363</v>
      </c>
      <c r="I106" s="20">
        <v>46132.649155092593</v>
      </c>
      <c r="J106" t="str">
        <f>VLOOKUP(C106,'base de datos'!L106:M1317,2,FALSE)</f>
        <v>Smart 110</v>
      </c>
      <c r="K106">
        <v>105</v>
      </c>
    </row>
    <row r="107" spans="1:15" x14ac:dyDescent="0.25">
      <c r="A107">
        <v>106</v>
      </c>
      <c r="B107">
        <v>106</v>
      </c>
      <c r="C107" t="str">
        <f t="shared" si="1"/>
        <v>8Edgar Aquil</v>
      </c>
      <c r="D107">
        <v>8</v>
      </c>
      <c r="E107" s="1" t="s">
        <v>409</v>
      </c>
      <c r="F107" s="3" t="s">
        <v>47</v>
      </c>
      <c r="G107" s="3" t="s">
        <v>392</v>
      </c>
      <c r="H107" s="7" t="s">
        <v>363</v>
      </c>
      <c r="I107" s="20">
        <v>46133.649155092593</v>
      </c>
      <c r="J107" t="str">
        <f>VLOOKUP(C107,'base de datos'!L107:M1318,2,FALSE)</f>
        <v>Smart 110</v>
      </c>
      <c r="K107">
        <v>106</v>
      </c>
    </row>
    <row r="108" spans="1:15" x14ac:dyDescent="0.25">
      <c r="A108">
        <v>107</v>
      </c>
      <c r="B108">
        <v>107</v>
      </c>
      <c r="C108" t="str">
        <f t="shared" si="1"/>
        <v>24Edgar Aquil</v>
      </c>
      <c r="D108">
        <v>24</v>
      </c>
      <c r="E108" s="1" t="s">
        <v>409</v>
      </c>
      <c r="F108" s="3" t="s">
        <v>47</v>
      </c>
      <c r="G108" s="3" t="s">
        <v>392</v>
      </c>
      <c r="H108" s="7" t="s">
        <v>363</v>
      </c>
      <c r="I108" s="20">
        <v>46134.649155092593</v>
      </c>
      <c r="J108" t="str">
        <f>VLOOKUP(C108,'base de datos'!L108:M1319,2,FALSE)</f>
        <v>CNC 2</v>
      </c>
      <c r="K108">
        <v>107</v>
      </c>
    </row>
    <row r="109" spans="1:15" x14ac:dyDescent="0.25">
      <c r="A109">
        <v>108</v>
      </c>
      <c r="B109">
        <v>108</v>
      </c>
      <c r="C109" t="str">
        <f t="shared" si="1"/>
        <v>35Edgar Aquil</v>
      </c>
      <c r="D109">
        <v>35</v>
      </c>
      <c r="E109" s="1" t="s">
        <v>409</v>
      </c>
      <c r="F109" s="3" t="s">
        <v>47</v>
      </c>
      <c r="G109" s="3" t="s">
        <v>392</v>
      </c>
      <c r="H109" s="7" t="s">
        <v>363</v>
      </c>
      <c r="I109" s="20">
        <v>46135.649155092593</v>
      </c>
      <c r="J109" t="str">
        <f>VLOOKUP(C109,'base de datos'!L109:M1320,2,FALSE)</f>
        <v>CNC 2</v>
      </c>
      <c r="K109">
        <v>108</v>
      </c>
    </row>
    <row r="110" spans="1:15" x14ac:dyDescent="0.25">
      <c r="A110">
        <v>109</v>
      </c>
      <c r="B110">
        <v>109</v>
      </c>
      <c r="C110" t="str">
        <f t="shared" si="1"/>
        <v>51Edgar Aquil</v>
      </c>
      <c r="D110">
        <v>51</v>
      </c>
      <c r="E110" s="1" t="s">
        <v>409</v>
      </c>
      <c r="F110" s="3" t="s">
        <v>47</v>
      </c>
      <c r="G110" s="3" t="s">
        <v>392</v>
      </c>
      <c r="H110" s="7" t="s">
        <v>363</v>
      </c>
      <c r="I110" s="20">
        <v>46136.649155092593</v>
      </c>
      <c r="J110" t="str">
        <f>VLOOKUP(C110,'base de datos'!L110:M1321,2,FALSE)</f>
        <v>Smart 110</v>
      </c>
      <c r="K110">
        <v>109</v>
      </c>
    </row>
    <row r="111" spans="1:15" x14ac:dyDescent="0.25">
      <c r="A111">
        <v>110</v>
      </c>
      <c r="B111">
        <v>110</v>
      </c>
      <c r="C111" t="str">
        <f t="shared" si="1"/>
        <v>54Edgar Aquil</v>
      </c>
      <c r="D111">
        <v>54</v>
      </c>
      <c r="E111" s="1" t="s">
        <v>409</v>
      </c>
      <c r="F111" s="3" t="s">
        <v>47</v>
      </c>
      <c r="G111" s="3" t="s">
        <v>392</v>
      </c>
      <c r="H111" s="7" t="s">
        <v>363</v>
      </c>
      <c r="I111" s="20">
        <v>46137.649155092593</v>
      </c>
      <c r="J111" t="str">
        <f>VLOOKUP(C111,'base de datos'!L111:M1322,2,FALSE)</f>
        <v>CNC 2</v>
      </c>
      <c r="K111">
        <v>110</v>
      </c>
    </row>
    <row r="112" spans="1:15" x14ac:dyDescent="0.25">
      <c r="A112">
        <v>111</v>
      </c>
      <c r="B112">
        <v>111</v>
      </c>
      <c r="C112" t="str">
        <f t="shared" si="1"/>
        <v>96Edgar Aquil</v>
      </c>
      <c r="D112">
        <v>96</v>
      </c>
      <c r="E112" s="1" t="s">
        <v>409</v>
      </c>
      <c r="F112" s="3" t="s">
        <v>47</v>
      </c>
      <c r="G112" s="3" t="s">
        <v>392</v>
      </c>
      <c r="H112" s="7" t="s">
        <v>363</v>
      </c>
      <c r="I112" s="20">
        <v>46138.649155092593</v>
      </c>
      <c r="J112" t="str">
        <f>VLOOKUP(C112,'base de datos'!L112:M1323,2,FALSE)</f>
        <v>CNC 2</v>
      </c>
      <c r="K112">
        <v>111</v>
      </c>
    </row>
    <row r="113" spans="1:11" x14ac:dyDescent="0.25">
      <c r="A113">
        <v>112</v>
      </c>
      <c r="B113">
        <v>112</v>
      </c>
      <c r="C113" t="str">
        <f t="shared" si="1"/>
        <v>105Edgar Aquil</v>
      </c>
      <c r="D113">
        <v>105</v>
      </c>
      <c r="E113" s="1" t="s">
        <v>409</v>
      </c>
      <c r="F113" s="3" t="s">
        <v>47</v>
      </c>
      <c r="G113" s="3" t="s">
        <v>392</v>
      </c>
      <c r="H113" s="7" t="s">
        <v>363</v>
      </c>
      <c r="I113" s="20">
        <v>46139.649155092593</v>
      </c>
      <c r="J113" t="str">
        <f>VLOOKUP(C113,'base de datos'!L113:M1324,2,FALSE)</f>
        <v>Smart 110</v>
      </c>
      <c r="K113">
        <v>112</v>
      </c>
    </row>
    <row r="114" spans="1:11" x14ac:dyDescent="0.25">
      <c r="A114">
        <v>113</v>
      </c>
      <c r="B114">
        <v>113</v>
      </c>
      <c r="C114" t="str">
        <f t="shared" si="1"/>
        <v>142Edgar Aquil</v>
      </c>
      <c r="D114">
        <v>142</v>
      </c>
      <c r="E114" s="1" t="s">
        <v>409</v>
      </c>
      <c r="F114" s="3" t="s">
        <v>47</v>
      </c>
      <c r="G114" s="3" t="s">
        <v>392</v>
      </c>
      <c r="H114" s="7" t="s">
        <v>363</v>
      </c>
      <c r="I114" s="20">
        <v>46140.649155092593</v>
      </c>
      <c r="J114" t="str">
        <f>VLOOKUP(C114,'base de datos'!L114:M1325,2,FALSE)</f>
        <v>CNC 2</v>
      </c>
      <c r="K114">
        <v>113</v>
      </c>
    </row>
    <row r="115" spans="1:11" x14ac:dyDescent="0.25">
      <c r="A115">
        <v>114</v>
      </c>
      <c r="B115">
        <v>114</v>
      </c>
      <c r="C115" t="str">
        <f t="shared" si="1"/>
        <v>181Edgar Aquil</v>
      </c>
      <c r="D115">
        <v>181</v>
      </c>
      <c r="E115" s="1" t="s">
        <v>409</v>
      </c>
      <c r="F115" s="3" t="s">
        <v>47</v>
      </c>
      <c r="G115" s="3" t="s">
        <v>392</v>
      </c>
      <c r="H115" s="7" t="s">
        <v>363</v>
      </c>
      <c r="I115" s="20">
        <v>46141.649155092593</v>
      </c>
      <c r="J115" t="str">
        <f>VLOOKUP(C115,'base de datos'!L115:M1326,2,FALSE)</f>
        <v>Smart 110</v>
      </c>
      <c r="K115">
        <v>114</v>
      </c>
    </row>
    <row r="116" spans="1:11" x14ac:dyDescent="0.25">
      <c r="A116">
        <v>115</v>
      </c>
      <c r="B116">
        <v>115</v>
      </c>
      <c r="C116" t="str">
        <f t="shared" si="1"/>
        <v>23Ernesto Diaz</v>
      </c>
      <c r="D116">
        <v>23</v>
      </c>
      <c r="E116" s="1" t="s">
        <v>409</v>
      </c>
      <c r="F116" s="1" t="s">
        <v>47</v>
      </c>
      <c r="G116" s="1" t="s">
        <v>400</v>
      </c>
      <c r="H116" s="6" t="s">
        <v>361</v>
      </c>
      <c r="I116" s="20">
        <v>46142.649155092593</v>
      </c>
      <c r="J116" t="str">
        <f>VLOOKUP(C116,'base de datos'!L116:M1327,2,FALSE)</f>
        <v>Bibra</v>
      </c>
      <c r="K116">
        <v>115</v>
      </c>
    </row>
    <row r="117" spans="1:11" x14ac:dyDescent="0.25">
      <c r="A117">
        <v>116</v>
      </c>
      <c r="B117">
        <v>116</v>
      </c>
      <c r="C117" t="str">
        <f t="shared" si="1"/>
        <v>34Ernesto Diaz</v>
      </c>
      <c r="D117">
        <v>34</v>
      </c>
      <c r="E117" s="1" t="s">
        <v>409</v>
      </c>
      <c r="F117" s="1" t="s">
        <v>47</v>
      </c>
      <c r="G117" s="1" t="s">
        <v>400</v>
      </c>
      <c r="H117" s="6" t="s">
        <v>361</v>
      </c>
      <c r="I117" s="20">
        <v>46143.649155092593</v>
      </c>
      <c r="J117" t="str">
        <f>VLOOKUP(C117,'base de datos'!L117:M1328,2,FALSE)</f>
        <v>Bibra</v>
      </c>
      <c r="K117">
        <v>116</v>
      </c>
    </row>
    <row r="118" spans="1:11" x14ac:dyDescent="0.25">
      <c r="A118">
        <v>117</v>
      </c>
      <c r="B118">
        <v>117</v>
      </c>
      <c r="C118" t="str">
        <f t="shared" si="1"/>
        <v>89Ernesto Diaz</v>
      </c>
      <c r="D118">
        <v>89</v>
      </c>
      <c r="E118" s="1" t="s">
        <v>409</v>
      </c>
      <c r="F118" s="1" t="s">
        <v>47</v>
      </c>
      <c r="G118" s="1" t="s">
        <v>400</v>
      </c>
      <c r="H118" s="6" t="s">
        <v>361</v>
      </c>
      <c r="I118" s="20">
        <v>46144.649155092593</v>
      </c>
      <c r="J118" t="str">
        <f>VLOOKUP(C118,'base de datos'!L118:M1329,2,FALSE)</f>
        <v>Bibra</v>
      </c>
      <c r="K118">
        <v>117</v>
      </c>
    </row>
    <row r="119" spans="1:11" x14ac:dyDescent="0.25">
      <c r="A119">
        <v>118</v>
      </c>
      <c r="B119">
        <v>118</v>
      </c>
      <c r="C119" t="str">
        <f t="shared" si="1"/>
        <v>95Ernesto Diaz</v>
      </c>
      <c r="D119">
        <v>95</v>
      </c>
      <c r="E119" s="1" t="s">
        <v>409</v>
      </c>
      <c r="F119" s="1" t="s">
        <v>47</v>
      </c>
      <c r="G119" s="1" t="s">
        <v>400</v>
      </c>
      <c r="H119" s="6" t="s">
        <v>361</v>
      </c>
      <c r="I119" s="20">
        <v>46145.649155092593</v>
      </c>
      <c r="J119" t="str">
        <f>VLOOKUP(C119,'base de datos'!L119:M1330,2,FALSE)</f>
        <v>Bibra</v>
      </c>
      <c r="K119">
        <v>118</v>
      </c>
    </row>
    <row r="120" spans="1:11" x14ac:dyDescent="0.25">
      <c r="A120">
        <v>119</v>
      </c>
      <c r="B120">
        <v>119</v>
      </c>
      <c r="C120" t="str">
        <f t="shared" si="1"/>
        <v>139Ernesto Diaz</v>
      </c>
      <c r="D120">
        <v>139</v>
      </c>
      <c r="E120" s="1" t="s">
        <v>409</v>
      </c>
      <c r="F120" s="1" t="s">
        <v>47</v>
      </c>
      <c r="G120" s="1" t="s">
        <v>400</v>
      </c>
      <c r="H120" s="6" t="s">
        <v>361</v>
      </c>
      <c r="I120" s="20">
        <v>46146.649155092593</v>
      </c>
      <c r="J120" t="str">
        <f>VLOOKUP(C120,'base de datos'!L120:M1331,2,FALSE)</f>
        <v>Bibra</v>
      </c>
      <c r="K120">
        <v>119</v>
      </c>
    </row>
    <row r="121" spans="1:11" x14ac:dyDescent="0.25">
      <c r="A121">
        <v>120</v>
      </c>
      <c r="B121">
        <v>120</v>
      </c>
      <c r="C121" t="str">
        <f t="shared" si="1"/>
        <v>156Ernesto Diaz</v>
      </c>
      <c r="D121">
        <v>156</v>
      </c>
      <c r="E121" s="1" t="s">
        <v>409</v>
      </c>
      <c r="F121" s="1" t="s">
        <v>47</v>
      </c>
      <c r="G121" s="1" t="s">
        <v>400</v>
      </c>
      <c r="H121" s="6" t="s">
        <v>361</v>
      </c>
      <c r="I121" s="20">
        <v>46147.649155092593</v>
      </c>
      <c r="J121" t="str">
        <f>VLOOKUP(C121,'base de datos'!L121:M1332,2,FALSE)</f>
        <v>Bibra</v>
      </c>
      <c r="K121">
        <v>120</v>
      </c>
    </row>
    <row r="122" spans="1:11" x14ac:dyDescent="0.25">
      <c r="A122">
        <v>121</v>
      </c>
      <c r="B122">
        <v>121</v>
      </c>
      <c r="C122" t="str">
        <f t="shared" si="1"/>
        <v>1Ever Morales</v>
      </c>
      <c r="D122">
        <v>1</v>
      </c>
      <c r="E122" s="1" t="s">
        <v>409</v>
      </c>
      <c r="F122" s="1" t="s">
        <v>47</v>
      </c>
      <c r="G122" s="1" t="s">
        <v>380</v>
      </c>
      <c r="H122" s="6" t="s">
        <v>360</v>
      </c>
      <c r="I122" s="20">
        <v>46148.649155092593</v>
      </c>
      <c r="J122" t="str">
        <f>VLOOKUP(C122,'base de datos'!L122:M1333,2,FALSE)</f>
        <v>Soudronic</v>
      </c>
      <c r="K122">
        <v>121</v>
      </c>
    </row>
    <row r="123" spans="1:11" x14ac:dyDescent="0.25">
      <c r="A123">
        <v>122</v>
      </c>
      <c r="B123">
        <v>122</v>
      </c>
      <c r="C123" t="str">
        <f t="shared" si="1"/>
        <v>2Ever Morales</v>
      </c>
      <c r="D123">
        <v>2</v>
      </c>
      <c r="E123" s="1" t="s">
        <v>409</v>
      </c>
      <c r="F123" s="1" t="s">
        <v>47</v>
      </c>
      <c r="G123" s="1" t="s">
        <v>380</v>
      </c>
      <c r="H123" s="6" t="s">
        <v>360</v>
      </c>
      <c r="I123" s="20">
        <v>46149.649155092593</v>
      </c>
      <c r="J123" t="str">
        <f>VLOOKUP(C123,'base de datos'!L123:M1334,2,FALSE)</f>
        <v>Smag</v>
      </c>
      <c r="K123">
        <v>122</v>
      </c>
    </row>
    <row r="124" spans="1:11" x14ac:dyDescent="0.25">
      <c r="A124">
        <v>123</v>
      </c>
      <c r="B124">
        <v>123</v>
      </c>
      <c r="C124" t="str">
        <f t="shared" si="1"/>
        <v>3Ever Morales</v>
      </c>
      <c r="D124">
        <v>3</v>
      </c>
      <c r="E124" s="1" t="s">
        <v>409</v>
      </c>
      <c r="F124" s="1" t="s">
        <v>47</v>
      </c>
      <c r="G124" s="1" t="s">
        <v>380</v>
      </c>
      <c r="H124" s="6" t="s">
        <v>360</v>
      </c>
      <c r="I124" s="20">
        <v>46150.649155092593</v>
      </c>
      <c r="J124" t="str">
        <f>VLOOKUP(C124,'base de datos'!L124:M1335,2,FALSE)</f>
        <v>Smart 110</v>
      </c>
      <c r="K124">
        <v>123</v>
      </c>
    </row>
    <row r="125" spans="1:11" x14ac:dyDescent="0.25">
      <c r="A125">
        <v>124</v>
      </c>
      <c r="B125">
        <v>124</v>
      </c>
      <c r="C125" t="str">
        <f t="shared" si="1"/>
        <v>6Ever Morales</v>
      </c>
      <c r="D125">
        <v>6</v>
      </c>
      <c r="E125" s="1" t="s">
        <v>409</v>
      </c>
      <c r="F125" s="1" t="s">
        <v>47</v>
      </c>
      <c r="G125" s="1" t="s">
        <v>380</v>
      </c>
      <c r="H125" s="6" t="s">
        <v>360</v>
      </c>
      <c r="I125" s="20">
        <v>46151.649155092593</v>
      </c>
      <c r="J125" t="str">
        <f>VLOOKUP(C125,'base de datos'!L125:M1336,2,FALSE)</f>
        <v>Soudronic</v>
      </c>
      <c r="K125">
        <v>124</v>
      </c>
    </row>
    <row r="126" spans="1:11" x14ac:dyDescent="0.25">
      <c r="A126">
        <v>125</v>
      </c>
      <c r="B126">
        <v>125</v>
      </c>
      <c r="C126" t="str">
        <f t="shared" si="1"/>
        <v>7Ever Morales</v>
      </c>
      <c r="D126">
        <v>7</v>
      </c>
      <c r="E126" s="1" t="s">
        <v>409</v>
      </c>
      <c r="F126" s="1" t="s">
        <v>47</v>
      </c>
      <c r="G126" s="1" t="s">
        <v>380</v>
      </c>
      <c r="H126" s="6" t="s">
        <v>360</v>
      </c>
      <c r="I126" s="20">
        <v>46152.649155092593</v>
      </c>
      <c r="J126" t="str">
        <f>VLOOKUP(C126,'base de datos'!L126:M1337,2,FALSE)</f>
        <v>Smag</v>
      </c>
      <c r="K126">
        <v>125</v>
      </c>
    </row>
    <row r="127" spans="1:11" x14ac:dyDescent="0.25">
      <c r="A127">
        <v>126</v>
      </c>
      <c r="B127">
        <v>126</v>
      </c>
      <c r="C127" t="str">
        <f t="shared" si="1"/>
        <v>8Ever Morales</v>
      </c>
      <c r="D127">
        <v>8</v>
      </c>
      <c r="E127" s="1" t="s">
        <v>409</v>
      </c>
      <c r="F127" s="1" t="s">
        <v>47</v>
      </c>
      <c r="G127" s="1" t="s">
        <v>380</v>
      </c>
      <c r="H127" s="6" t="s">
        <v>360</v>
      </c>
      <c r="I127" s="20">
        <v>46153.649155092593</v>
      </c>
      <c r="J127" t="str">
        <f>VLOOKUP(C127,'base de datos'!L127:M1338,2,FALSE)</f>
        <v>Smart 110</v>
      </c>
      <c r="K127">
        <v>126</v>
      </c>
    </row>
    <row r="128" spans="1:11" x14ac:dyDescent="0.25">
      <c r="A128">
        <v>127</v>
      </c>
      <c r="B128">
        <v>127</v>
      </c>
      <c r="C128" t="str">
        <f t="shared" si="1"/>
        <v>12Ever Morales</v>
      </c>
      <c r="D128">
        <v>12</v>
      </c>
      <c r="E128" s="1" t="s">
        <v>409</v>
      </c>
      <c r="F128" s="1" t="s">
        <v>47</v>
      </c>
      <c r="G128" s="1" t="s">
        <v>380</v>
      </c>
      <c r="H128" s="6" t="s">
        <v>360</v>
      </c>
      <c r="I128" s="20">
        <v>46154.649155092593</v>
      </c>
      <c r="J128" t="str">
        <f>VLOOKUP(C128,'base de datos'!L128:M1339,2,FALSE)</f>
        <v>Soudronic</v>
      </c>
      <c r="K128">
        <v>127</v>
      </c>
    </row>
    <row r="129" spans="1:11" x14ac:dyDescent="0.25">
      <c r="A129">
        <v>128</v>
      </c>
      <c r="B129">
        <v>128</v>
      </c>
      <c r="C129" t="str">
        <f t="shared" si="1"/>
        <v>16Ever Morales</v>
      </c>
      <c r="D129">
        <v>16</v>
      </c>
      <c r="E129" s="1" t="s">
        <v>409</v>
      </c>
      <c r="F129" s="1" t="s">
        <v>47</v>
      </c>
      <c r="G129" s="1" t="s">
        <v>380</v>
      </c>
      <c r="H129" s="6" t="s">
        <v>360</v>
      </c>
      <c r="I129" s="20">
        <v>46155.649155092593</v>
      </c>
      <c r="J129" t="str">
        <f>VLOOKUP(C129,'base de datos'!L129:M1340,2,FALSE)</f>
        <v>Smart 110</v>
      </c>
      <c r="K129">
        <v>128</v>
      </c>
    </row>
    <row r="130" spans="1:11" x14ac:dyDescent="0.25">
      <c r="A130">
        <v>129</v>
      </c>
      <c r="B130">
        <v>129</v>
      </c>
      <c r="C130" t="str">
        <f t="shared" ref="C130:C193" si="2">D130&amp;G130</f>
        <v>24Ever Morales</v>
      </c>
      <c r="D130">
        <v>24</v>
      </c>
      <c r="E130" s="1" t="s">
        <v>409</v>
      </c>
      <c r="F130" s="1" t="s">
        <v>47</v>
      </c>
      <c r="G130" s="1" t="s">
        <v>380</v>
      </c>
      <c r="H130" s="6" t="s">
        <v>360</v>
      </c>
      <c r="I130" s="20">
        <v>46156.649155092593</v>
      </c>
      <c r="J130" t="str">
        <f>VLOOKUP(C130,'base de datos'!L130:M1341,2,FALSE)</f>
        <v>CNC 2</v>
      </c>
      <c r="K130">
        <v>129</v>
      </c>
    </row>
    <row r="131" spans="1:11" x14ac:dyDescent="0.25">
      <c r="A131">
        <v>130</v>
      </c>
      <c r="B131">
        <v>130</v>
      </c>
      <c r="C131" t="str">
        <f t="shared" si="2"/>
        <v>26Ever Morales</v>
      </c>
      <c r="D131">
        <v>26</v>
      </c>
      <c r="E131" s="1" t="s">
        <v>409</v>
      </c>
      <c r="F131" s="1" t="s">
        <v>47</v>
      </c>
      <c r="G131" s="1" t="s">
        <v>380</v>
      </c>
      <c r="H131" s="6" t="s">
        <v>360</v>
      </c>
      <c r="I131" s="20">
        <v>46157.649155092593</v>
      </c>
      <c r="J131" t="str">
        <f>VLOOKUP(C131,'base de datos'!L131:M1342,2,FALSE)</f>
        <v>Codificadoras</v>
      </c>
      <c r="K131">
        <v>130</v>
      </c>
    </row>
    <row r="132" spans="1:11" x14ac:dyDescent="0.25">
      <c r="A132">
        <v>131</v>
      </c>
      <c r="B132">
        <v>131</v>
      </c>
      <c r="C132" t="str">
        <f t="shared" si="2"/>
        <v>27Ever Morales</v>
      </c>
      <c r="D132">
        <v>27</v>
      </c>
      <c r="E132" s="1" t="s">
        <v>409</v>
      </c>
      <c r="F132" s="1" t="s">
        <v>47</v>
      </c>
      <c r="G132" s="1" t="s">
        <v>380</v>
      </c>
      <c r="H132" s="6" t="s">
        <v>360</v>
      </c>
      <c r="I132" s="20">
        <v>46158.649155092593</v>
      </c>
      <c r="J132" t="str">
        <f>VLOOKUP(C132,'base de datos'!L132:M1343,2,FALSE)</f>
        <v>Codificadoras</v>
      </c>
      <c r="K132">
        <v>131</v>
      </c>
    </row>
    <row r="133" spans="1:11" x14ac:dyDescent="0.25">
      <c r="A133">
        <v>132</v>
      </c>
      <c r="B133">
        <v>132</v>
      </c>
      <c r="C133" t="str">
        <f t="shared" si="2"/>
        <v>28Ever Morales</v>
      </c>
      <c r="D133">
        <v>28</v>
      </c>
      <c r="E133" s="1" t="s">
        <v>409</v>
      </c>
      <c r="F133" s="1" t="s">
        <v>47</v>
      </c>
      <c r="G133" s="1" t="s">
        <v>380</v>
      </c>
      <c r="H133" s="6" t="s">
        <v>360</v>
      </c>
      <c r="I133" s="20">
        <v>46159.649155092593</v>
      </c>
      <c r="J133" t="str">
        <f>VLOOKUP(C133,'base de datos'!L133:M1344,2,FALSE)</f>
        <v>Codificadoras</v>
      </c>
      <c r="K133">
        <v>132</v>
      </c>
    </row>
    <row r="134" spans="1:11" x14ac:dyDescent="0.25">
      <c r="A134">
        <v>133</v>
      </c>
      <c r="B134">
        <v>133</v>
      </c>
      <c r="C134" t="str">
        <f t="shared" si="2"/>
        <v>29Ever Morales</v>
      </c>
      <c r="D134">
        <v>29</v>
      </c>
      <c r="E134" s="1" t="s">
        <v>409</v>
      </c>
      <c r="F134" s="1" t="s">
        <v>47</v>
      </c>
      <c r="G134" s="1" t="s">
        <v>380</v>
      </c>
      <c r="H134" s="6" t="s">
        <v>360</v>
      </c>
      <c r="I134" s="20">
        <v>46160.649155092593</v>
      </c>
      <c r="J134" t="str">
        <f>VLOOKUP(C134,'base de datos'!L134:M1345,2,FALSE)</f>
        <v>Codificadoras</v>
      </c>
      <c r="K134">
        <v>133</v>
      </c>
    </row>
    <row r="135" spans="1:11" x14ac:dyDescent="0.25">
      <c r="A135">
        <v>134</v>
      </c>
      <c r="B135">
        <v>134</v>
      </c>
      <c r="C135" t="str">
        <f t="shared" si="2"/>
        <v>30Ever Morales</v>
      </c>
      <c r="D135">
        <v>30</v>
      </c>
      <c r="E135" s="1" t="s">
        <v>409</v>
      </c>
      <c r="F135" s="1" t="s">
        <v>47</v>
      </c>
      <c r="G135" s="1" t="s">
        <v>380</v>
      </c>
      <c r="H135" s="6" t="s">
        <v>360</v>
      </c>
      <c r="I135" s="20">
        <v>46161.649155092593</v>
      </c>
      <c r="J135" t="str">
        <f>VLOOKUP(C135,'base de datos'!L135:M1346,2,FALSE)</f>
        <v>Codificadoras</v>
      </c>
      <c r="K135">
        <v>134</v>
      </c>
    </row>
    <row r="136" spans="1:11" x14ac:dyDescent="0.25">
      <c r="A136">
        <v>135</v>
      </c>
      <c r="B136">
        <v>135</v>
      </c>
      <c r="C136" t="str">
        <f t="shared" si="2"/>
        <v>35Ever Morales</v>
      </c>
      <c r="D136">
        <v>35</v>
      </c>
      <c r="E136" s="1" t="s">
        <v>409</v>
      </c>
      <c r="F136" s="1" t="s">
        <v>47</v>
      </c>
      <c r="G136" s="1" t="s">
        <v>380</v>
      </c>
      <c r="H136" s="6" t="s">
        <v>360</v>
      </c>
      <c r="I136" s="20">
        <v>46162.649155092593</v>
      </c>
      <c r="J136" t="str">
        <f>VLOOKUP(C136,'base de datos'!L136:M1347,2,FALSE)</f>
        <v>CNC 2</v>
      </c>
      <c r="K136">
        <v>135</v>
      </c>
    </row>
    <row r="137" spans="1:11" x14ac:dyDescent="0.25">
      <c r="A137">
        <v>136</v>
      </c>
      <c r="B137">
        <v>136</v>
      </c>
      <c r="C137" t="str">
        <f t="shared" si="2"/>
        <v>42Ever Morales</v>
      </c>
      <c r="D137">
        <v>42</v>
      </c>
      <c r="E137" s="1" t="s">
        <v>409</v>
      </c>
      <c r="F137" s="1" t="s">
        <v>47</v>
      </c>
      <c r="G137" s="1" t="s">
        <v>380</v>
      </c>
      <c r="H137" s="6" t="s">
        <v>360</v>
      </c>
      <c r="I137" s="20">
        <v>46163.649155092593</v>
      </c>
      <c r="J137" t="str">
        <f>VLOOKUP(C137,'base de datos'!L137:M1348,2,FALSE)</f>
        <v>Soudronic</v>
      </c>
      <c r="K137">
        <v>136</v>
      </c>
    </row>
    <row r="138" spans="1:11" x14ac:dyDescent="0.25">
      <c r="A138">
        <v>137</v>
      </c>
      <c r="B138">
        <v>137</v>
      </c>
      <c r="C138" t="str">
        <f t="shared" si="2"/>
        <v>49Ever Morales</v>
      </c>
      <c r="D138">
        <v>49</v>
      </c>
      <c r="E138" s="1" t="s">
        <v>409</v>
      </c>
      <c r="F138" s="1" t="s">
        <v>47</v>
      </c>
      <c r="G138" s="1" t="s">
        <v>380</v>
      </c>
      <c r="H138" s="6" t="s">
        <v>360</v>
      </c>
      <c r="I138" s="20">
        <v>46164.649155092593</v>
      </c>
      <c r="J138" t="str">
        <f>VLOOKUP(C138,'base de datos'!L138:M1349,2,FALSE)</f>
        <v>Soudronic</v>
      </c>
      <c r="K138">
        <v>137</v>
      </c>
    </row>
    <row r="139" spans="1:11" x14ac:dyDescent="0.25">
      <c r="A139">
        <v>138</v>
      </c>
      <c r="B139">
        <v>138</v>
      </c>
      <c r="C139" t="str">
        <f t="shared" si="2"/>
        <v>50Ever Morales</v>
      </c>
      <c r="D139">
        <v>50</v>
      </c>
      <c r="E139" s="1" t="s">
        <v>409</v>
      </c>
      <c r="F139" s="1" t="s">
        <v>47</v>
      </c>
      <c r="G139" s="1" t="s">
        <v>380</v>
      </c>
      <c r="H139" s="6" t="s">
        <v>360</v>
      </c>
      <c r="I139" s="20">
        <v>46165.649155092593</v>
      </c>
      <c r="J139" t="str">
        <f>VLOOKUP(C139,'base de datos'!L139:M1350,2,FALSE)</f>
        <v>Smag</v>
      </c>
      <c r="K139">
        <v>138</v>
      </c>
    </row>
    <row r="140" spans="1:11" x14ac:dyDescent="0.25">
      <c r="A140">
        <v>139</v>
      </c>
      <c r="B140">
        <v>139</v>
      </c>
      <c r="C140" t="str">
        <f t="shared" si="2"/>
        <v>51Ever Morales</v>
      </c>
      <c r="D140">
        <v>51</v>
      </c>
      <c r="E140" s="1" t="s">
        <v>409</v>
      </c>
      <c r="F140" s="1" t="s">
        <v>47</v>
      </c>
      <c r="G140" s="1" t="s">
        <v>380</v>
      </c>
      <c r="H140" s="6" t="s">
        <v>360</v>
      </c>
      <c r="I140" s="20">
        <v>46166.649155092593</v>
      </c>
      <c r="J140" t="str">
        <f>VLOOKUP(C140,'base de datos'!L140:M1351,2,FALSE)</f>
        <v>Smart 110</v>
      </c>
      <c r="K140">
        <v>139</v>
      </c>
    </row>
    <row r="141" spans="1:11" x14ac:dyDescent="0.25">
      <c r="A141">
        <v>140</v>
      </c>
      <c r="B141">
        <v>140</v>
      </c>
      <c r="C141" t="str">
        <f t="shared" si="2"/>
        <v>53Ever Morales</v>
      </c>
      <c r="D141">
        <v>53</v>
      </c>
      <c r="E141" s="1" t="s">
        <v>409</v>
      </c>
      <c r="F141" s="1" t="s">
        <v>47</v>
      </c>
      <c r="G141" s="1" t="s">
        <v>380</v>
      </c>
      <c r="H141" s="6" t="s">
        <v>360</v>
      </c>
      <c r="I141" s="20">
        <v>46167.649155092593</v>
      </c>
      <c r="J141" t="str">
        <f>VLOOKUP(C141,'base de datos'!L141:M1352,2,FALSE)</f>
        <v>Golden Smart 220</v>
      </c>
      <c r="K141">
        <v>140</v>
      </c>
    </row>
    <row r="142" spans="1:11" x14ac:dyDescent="0.25">
      <c r="A142">
        <v>141</v>
      </c>
      <c r="B142">
        <v>141</v>
      </c>
      <c r="C142" t="str">
        <f t="shared" si="2"/>
        <v>54Ever Morales</v>
      </c>
      <c r="D142">
        <v>54</v>
      </c>
      <c r="E142" s="1" t="s">
        <v>409</v>
      </c>
      <c r="F142" s="1" t="s">
        <v>47</v>
      </c>
      <c r="G142" s="1" t="s">
        <v>380</v>
      </c>
      <c r="H142" s="6" t="s">
        <v>360</v>
      </c>
      <c r="I142" s="20">
        <v>46168.649155092593</v>
      </c>
      <c r="J142" t="str">
        <f>VLOOKUP(C142,'base de datos'!L142:M1353,2,FALSE)</f>
        <v>CNC 2</v>
      </c>
      <c r="K142">
        <v>141</v>
      </c>
    </row>
    <row r="143" spans="1:11" x14ac:dyDescent="0.25">
      <c r="A143">
        <v>142</v>
      </c>
      <c r="B143">
        <v>142</v>
      </c>
      <c r="C143" t="str">
        <f t="shared" si="2"/>
        <v>61Ever Morales</v>
      </c>
      <c r="D143">
        <v>61</v>
      </c>
      <c r="E143" s="1" t="s">
        <v>409</v>
      </c>
      <c r="F143" s="1" t="s">
        <v>47</v>
      </c>
      <c r="G143" s="1" t="s">
        <v>380</v>
      </c>
      <c r="H143" s="6" t="s">
        <v>360</v>
      </c>
      <c r="I143" s="20">
        <v>46169.649155092593</v>
      </c>
      <c r="J143" t="str">
        <f>VLOOKUP(C143,'base de datos'!L143:M1354,2,FALSE)</f>
        <v>Soudronic</v>
      </c>
      <c r="K143">
        <v>142</v>
      </c>
    </row>
    <row r="144" spans="1:11" x14ac:dyDescent="0.25">
      <c r="A144">
        <v>143</v>
      </c>
      <c r="B144">
        <v>143</v>
      </c>
      <c r="C144" t="str">
        <f t="shared" si="2"/>
        <v>62Ever Morales</v>
      </c>
      <c r="D144">
        <v>62</v>
      </c>
      <c r="E144" s="1" t="s">
        <v>409</v>
      </c>
      <c r="F144" s="1" t="s">
        <v>47</v>
      </c>
      <c r="G144" s="1" t="s">
        <v>380</v>
      </c>
      <c r="H144" s="6" t="s">
        <v>360</v>
      </c>
      <c r="I144" s="20">
        <v>46170.649155092593</v>
      </c>
      <c r="J144" t="str">
        <f>VLOOKUP(C144,'base de datos'!L144:M1355,2,FALSE)</f>
        <v>Soudronic</v>
      </c>
      <c r="K144">
        <v>143</v>
      </c>
    </row>
    <row r="145" spans="1:11" x14ac:dyDescent="0.25">
      <c r="A145">
        <v>144</v>
      </c>
      <c r="B145">
        <v>144</v>
      </c>
      <c r="C145" t="str">
        <f t="shared" si="2"/>
        <v>63Ever Morales</v>
      </c>
      <c r="D145">
        <v>63</v>
      </c>
      <c r="E145" s="1" t="s">
        <v>409</v>
      </c>
      <c r="F145" s="1" t="s">
        <v>47</v>
      </c>
      <c r="G145" s="1" t="s">
        <v>380</v>
      </c>
      <c r="H145" s="6" t="s">
        <v>360</v>
      </c>
      <c r="I145" s="20">
        <v>46171.649155092593</v>
      </c>
      <c r="J145" t="str">
        <f>VLOOKUP(C145,'base de datos'!L145:M1356,2,FALSE)</f>
        <v>Smag</v>
      </c>
      <c r="K145">
        <v>144</v>
      </c>
    </row>
    <row r="146" spans="1:11" x14ac:dyDescent="0.25">
      <c r="A146">
        <v>145</v>
      </c>
      <c r="B146">
        <v>145</v>
      </c>
      <c r="C146" t="str">
        <f t="shared" si="2"/>
        <v>64Ever Morales</v>
      </c>
      <c r="D146">
        <v>64</v>
      </c>
      <c r="E146" s="1" t="s">
        <v>409</v>
      </c>
      <c r="F146" s="1" t="s">
        <v>47</v>
      </c>
      <c r="G146" s="1" t="s">
        <v>380</v>
      </c>
      <c r="H146" s="6" t="s">
        <v>360</v>
      </c>
      <c r="I146" s="20">
        <v>46172.649155092593</v>
      </c>
      <c r="J146" t="str">
        <f>VLOOKUP(C146,'base de datos'!L146:M1357,2,FALSE)</f>
        <v>Smag</v>
      </c>
      <c r="K146">
        <v>145</v>
      </c>
    </row>
    <row r="147" spans="1:11" x14ac:dyDescent="0.25">
      <c r="A147">
        <v>146</v>
      </c>
      <c r="B147">
        <v>146</v>
      </c>
      <c r="C147" t="str">
        <f t="shared" si="2"/>
        <v>66Ever Morales</v>
      </c>
      <c r="D147">
        <v>66</v>
      </c>
      <c r="E147" s="1" t="s">
        <v>409</v>
      </c>
      <c r="F147" s="1" t="s">
        <v>47</v>
      </c>
      <c r="G147" s="1" t="s">
        <v>380</v>
      </c>
      <c r="H147" s="6" t="s">
        <v>360</v>
      </c>
      <c r="I147" s="20">
        <v>46173.649155092593</v>
      </c>
      <c r="J147" t="str">
        <f>VLOOKUP(C147,'base de datos'!L147:M1358,2,FALSE)</f>
        <v>Smart 110</v>
      </c>
      <c r="K147">
        <v>146</v>
      </c>
    </row>
    <row r="148" spans="1:11" x14ac:dyDescent="0.25">
      <c r="A148">
        <v>147</v>
      </c>
      <c r="B148">
        <v>147</v>
      </c>
      <c r="C148" t="str">
        <f t="shared" si="2"/>
        <v>96Ever Morales</v>
      </c>
      <c r="D148">
        <v>96</v>
      </c>
      <c r="E148" s="1" t="s">
        <v>409</v>
      </c>
      <c r="F148" s="1" t="s">
        <v>47</v>
      </c>
      <c r="G148" s="1" t="s">
        <v>380</v>
      </c>
      <c r="H148" s="6" t="s">
        <v>360</v>
      </c>
      <c r="I148" s="20">
        <v>46174.649155092593</v>
      </c>
      <c r="J148" t="str">
        <f>VLOOKUP(C148,'base de datos'!L148:M1359,2,FALSE)</f>
        <v>CNC 2</v>
      </c>
      <c r="K148">
        <v>147</v>
      </c>
    </row>
    <row r="149" spans="1:11" x14ac:dyDescent="0.25">
      <c r="A149">
        <v>148</v>
      </c>
      <c r="B149">
        <v>148</v>
      </c>
      <c r="C149" t="str">
        <f t="shared" si="2"/>
        <v>104Ever Morales</v>
      </c>
      <c r="D149">
        <v>104</v>
      </c>
      <c r="E149" s="1" t="s">
        <v>409</v>
      </c>
      <c r="F149" s="1" t="s">
        <v>47</v>
      </c>
      <c r="G149" s="1" t="s">
        <v>380</v>
      </c>
      <c r="H149" s="6" t="s">
        <v>360</v>
      </c>
      <c r="I149" s="20">
        <v>46175.649155092593</v>
      </c>
      <c r="J149" t="str">
        <f>VLOOKUP(C149,'base de datos'!L149:M1360,2,FALSE)</f>
        <v>Smag</v>
      </c>
      <c r="K149">
        <v>148</v>
      </c>
    </row>
    <row r="150" spans="1:11" x14ac:dyDescent="0.25">
      <c r="A150">
        <v>149</v>
      </c>
      <c r="B150">
        <v>149</v>
      </c>
      <c r="C150" t="str">
        <f t="shared" si="2"/>
        <v>105Ever Morales</v>
      </c>
      <c r="D150">
        <v>105</v>
      </c>
      <c r="E150" s="1" t="s">
        <v>409</v>
      </c>
      <c r="F150" s="1" t="s">
        <v>47</v>
      </c>
      <c r="G150" s="1" t="s">
        <v>380</v>
      </c>
      <c r="H150" s="6" t="s">
        <v>360</v>
      </c>
      <c r="I150" s="20">
        <v>46176.649155092593</v>
      </c>
      <c r="J150" t="str">
        <f>VLOOKUP(C150,'base de datos'!L150:M1361,2,FALSE)</f>
        <v>Smart 110</v>
      </c>
      <c r="K150">
        <v>149</v>
      </c>
    </row>
    <row r="151" spans="1:11" x14ac:dyDescent="0.25">
      <c r="A151">
        <v>150</v>
      </c>
      <c r="B151">
        <v>150</v>
      </c>
      <c r="C151" t="str">
        <f t="shared" si="2"/>
        <v>109Ever Morales</v>
      </c>
      <c r="D151">
        <v>109</v>
      </c>
      <c r="E151" s="1" t="s">
        <v>409</v>
      </c>
      <c r="F151" s="1" t="s">
        <v>47</v>
      </c>
      <c r="G151" s="1" t="s">
        <v>380</v>
      </c>
      <c r="H151" s="6" t="s">
        <v>360</v>
      </c>
      <c r="I151" s="20">
        <v>46177.649155092593</v>
      </c>
      <c r="J151" t="str">
        <f>VLOOKUP(C151,'base de datos'!L151:M1362,2,FALSE)</f>
        <v>Smag</v>
      </c>
      <c r="K151">
        <v>150</v>
      </c>
    </row>
    <row r="152" spans="1:11" x14ac:dyDescent="0.25">
      <c r="A152">
        <v>151</v>
      </c>
      <c r="B152">
        <v>151</v>
      </c>
      <c r="C152" t="str">
        <f t="shared" si="2"/>
        <v>112Ever Morales</v>
      </c>
      <c r="D152">
        <v>112</v>
      </c>
      <c r="E152" s="1" t="s">
        <v>409</v>
      </c>
      <c r="F152" s="1" t="s">
        <v>47</v>
      </c>
      <c r="G152" s="1" t="s">
        <v>380</v>
      </c>
      <c r="H152" s="6" t="s">
        <v>360</v>
      </c>
      <c r="I152" s="20">
        <v>46178.649155092593</v>
      </c>
      <c r="J152" t="str">
        <f>VLOOKUP(C152,'base de datos'!L152:M1363,2,FALSE)</f>
        <v>Tijeras</v>
      </c>
      <c r="K152">
        <v>151</v>
      </c>
    </row>
    <row r="153" spans="1:11" x14ac:dyDescent="0.25">
      <c r="A153">
        <v>152</v>
      </c>
      <c r="B153">
        <v>152</v>
      </c>
      <c r="C153" t="str">
        <f t="shared" si="2"/>
        <v>113Ever Morales</v>
      </c>
      <c r="D153">
        <v>113</v>
      </c>
      <c r="E153" s="1" t="s">
        <v>409</v>
      </c>
      <c r="F153" s="1" t="s">
        <v>47</v>
      </c>
      <c r="G153" s="1" t="s">
        <v>380</v>
      </c>
      <c r="H153" s="6" t="s">
        <v>360</v>
      </c>
      <c r="I153" s="20">
        <v>46179.649155092593</v>
      </c>
      <c r="J153" t="str">
        <f>VLOOKUP(C153,'base de datos'!L153:M1364,2,FALSE)</f>
        <v>Tijeras</v>
      </c>
      <c r="K153">
        <v>152</v>
      </c>
    </row>
    <row r="154" spans="1:11" x14ac:dyDescent="0.25">
      <c r="A154">
        <v>153</v>
      </c>
      <c r="B154">
        <v>153</v>
      </c>
      <c r="C154" t="str">
        <f t="shared" si="2"/>
        <v>115Ever Morales</v>
      </c>
      <c r="D154">
        <v>115</v>
      </c>
      <c r="E154" s="1" t="s">
        <v>409</v>
      </c>
      <c r="F154" s="1" t="s">
        <v>47</v>
      </c>
      <c r="G154" s="1" t="s">
        <v>380</v>
      </c>
      <c r="H154" s="6" t="s">
        <v>360</v>
      </c>
      <c r="I154" s="20">
        <v>46180.649155092593</v>
      </c>
      <c r="J154" t="str">
        <f>VLOOKUP(C154,'base de datos'!L154:M1365,2,FALSE)</f>
        <v>Tijeras</v>
      </c>
      <c r="K154">
        <v>153</v>
      </c>
    </row>
    <row r="155" spans="1:11" x14ac:dyDescent="0.25">
      <c r="A155">
        <v>154</v>
      </c>
      <c r="B155">
        <v>154</v>
      </c>
      <c r="C155" t="str">
        <f t="shared" si="2"/>
        <v>117Ever Morales</v>
      </c>
      <c r="D155">
        <v>117</v>
      </c>
      <c r="E155" s="1" t="s">
        <v>409</v>
      </c>
      <c r="F155" s="1" t="s">
        <v>47</v>
      </c>
      <c r="G155" s="1" t="s">
        <v>380</v>
      </c>
      <c r="H155" s="6" t="s">
        <v>360</v>
      </c>
      <c r="I155" s="20">
        <v>46181.649155092593</v>
      </c>
      <c r="J155" t="str">
        <f>VLOOKUP(C155,'base de datos'!L155:M1366,2,FALSE)</f>
        <v>Tijeras</v>
      </c>
      <c r="K155">
        <v>154</v>
      </c>
    </row>
    <row r="156" spans="1:11" x14ac:dyDescent="0.25">
      <c r="A156">
        <v>155</v>
      </c>
      <c r="B156">
        <v>155</v>
      </c>
      <c r="C156" t="str">
        <f t="shared" si="2"/>
        <v>119Ever Morales</v>
      </c>
      <c r="D156">
        <v>119</v>
      </c>
      <c r="E156" s="1" t="s">
        <v>409</v>
      </c>
      <c r="F156" s="1" t="s">
        <v>47</v>
      </c>
      <c r="G156" s="1" t="s">
        <v>380</v>
      </c>
      <c r="H156" s="6" t="s">
        <v>360</v>
      </c>
      <c r="I156" s="20">
        <v>46182.649155092593</v>
      </c>
      <c r="J156" t="str">
        <f>VLOOKUP(C156,'base de datos'!L156:M1367,2,FALSE)</f>
        <v>Tijeras</v>
      </c>
      <c r="K156">
        <v>155</v>
      </c>
    </row>
    <row r="157" spans="1:11" x14ac:dyDescent="0.25">
      <c r="A157">
        <v>156</v>
      </c>
      <c r="B157">
        <v>156</v>
      </c>
      <c r="C157" t="str">
        <f t="shared" si="2"/>
        <v>121Ever Morales</v>
      </c>
      <c r="D157">
        <v>121</v>
      </c>
      <c r="E157" s="1" t="s">
        <v>409</v>
      </c>
      <c r="F157" s="1" t="s">
        <v>47</v>
      </c>
      <c r="G157" s="1" t="s">
        <v>380</v>
      </c>
      <c r="H157" s="6" t="s">
        <v>360</v>
      </c>
      <c r="I157" s="20">
        <v>46183.649155092593</v>
      </c>
      <c r="J157" t="str">
        <f>VLOOKUP(C157,'base de datos'!L157:M1368,2,FALSE)</f>
        <v>Tijeras</v>
      </c>
      <c r="K157">
        <v>156</v>
      </c>
    </row>
    <row r="158" spans="1:11" x14ac:dyDescent="0.25">
      <c r="A158">
        <v>157</v>
      </c>
      <c r="B158">
        <v>157</v>
      </c>
      <c r="C158" t="str">
        <f t="shared" si="2"/>
        <v>124Ever Morales</v>
      </c>
      <c r="D158">
        <v>124</v>
      </c>
      <c r="E158" s="1" t="s">
        <v>409</v>
      </c>
      <c r="F158" s="1" t="s">
        <v>47</v>
      </c>
      <c r="G158" s="1" t="s">
        <v>380</v>
      </c>
      <c r="H158" s="6" t="s">
        <v>360</v>
      </c>
      <c r="I158" s="20">
        <v>46184.649155092593</v>
      </c>
      <c r="J158" t="str">
        <f>VLOOKUP(C158,'base de datos'!L158:M1369,2,FALSE)</f>
        <v>Tijeras</v>
      </c>
      <c r="K158">
        <v>157</v>
      </c>
    </row>
    <row r="159" spans="1:11" x14ac:dyDescent="0.25">
      <c r="A159">
        <v>158</v>
      </c>
      <c r="B159">
        <v>158</v>
      </c>
      <c r="C159" t="str">
        <f t="shared" si="2"/>
        <v>133Ever Morales</v>
      </c>
      <c r="D159">
        <v>133</v>
      </c>
      <c r="E159" s="1" t="s">
        <v>409</v>
      </c>
      <c r="F159" s="1" t="s">
        <v>47</v>
      </c>
      <c r="G159" s="1" t="s">
        <v>380</v>
      </c>
      <c r="H159" s="6" t="s">
        <v>360</v>
      </c>
      <c r="I159" s="20">
        <v>46185.649155092593</v>
      </c>
      <c r="J159" t="str">
        <f>VLOOKUP(C159,'base de datos'!L159:M1370,2,FALSE)</f>
        <v>Smag</v>
      </c>
      <c r="K159">
        <v>158</v>
      </c>
    </row>
    <row r="160" spans="1:11" x14ac:dyDescent="0.25">
      <c r="A160">
        <v>159</v>
      </c>
      <c r="B160">
        <v>159</v>
      </c>
      <c r="C160" t="str">
        <f t="shared" si="2"/>
        <v>134Ever Morales</v>
      </c>
      <c r="D160">
        <v>134</v>
      </c>
      <c r="E160" s="1" t="s">
        <v>409</v>
      </c>
      <c r="F160" s="1" t="s">
        <v>47</v>
      </c>
      <c r="G160" s="1" t="s">
        <v>380</v>
      </c>
      <c r="H160" s="6" t="s">
        <v>360</v>
      </c>
      <c r="I160" s="20">
        <v>46186.649155092593</v>
      </c>
      <c r="J160" t="str">
        <f>VLOOKUP(C160,'base de datos'!L160:M1371,2,FALSE)</f>
        <v>Smart 110</v>
      </c>
      <c r="K160">
        <v>159</v>
      </c>
    </row>
    <row r="161" spans="1:15" x14ac:dyDescent="0.25">
      <c r="A161">
        <v>160</v>
      </c>
      <c r="B161">
        <v>160</v>
      </c>
      <c r="C161" t="str">
        <f t="shared" si="2"/>
        <v>142Ever Morales</v>
      </c>
      <c r="D161">
        <v>142</v>
      </c>
      <c r="E161" s="1" t="s">
        <v>409</v>
      </c>
      <c r="F161" s="1" t="s">
        <v>47</v>
      </c>
      <c r="G161" s="1" t="s">
        <v>380</v>
      </c>
      <c r="H161" s="6" t="s">
        <v>360</v>
      </c>
      <c r="I161" s="20">
        <v>46187.649155092593</v>
      </c>
      <c r="J161" t="str">
        <f>VLOOKUP(C161,'base de datos'!L161:M1372,2,FALSE)</f>
        <v>CNC 2</v>
      </c>
      <c r="K161">
        <v>160</v>
      </c>
    </row>
    <row r="162" spans="1:15" x14ac:dyDescent="0.25">
      <c r="A162">
        <v>161</v>
      </c>
      <c r="B162">
        <v>161</v>
      </c>
      <c r="C162" t="str">
        <f t="shared" si="2"/>
        <v>179Ever Morales</v>
      </c>
      <c r="D162">
        <v>179</v>
      </c>
      <c r="E162" s="1" t="s">
        <v>409</v>
      </c>
      <c r="F162" s="1" t="s">
        <v>47</v>
      </c>
      <c r="G162" s="1" t="s">
        <v>380</v>
      </c>
      <c r="H162" s="6" t="s">
        <v>360</v>
      </c>
      <c r="I162" s="20">
        <v>46188.649155092593</v>
      </c>
      <c r="J162" t="str">
        <f>VLOOKUP(C162,'base de datos'!L162:M1373,2,FALSE)</f>
        <v>Smag</v>
      </c>
      <c r="K162">
        <v>161</v>
      </c>
    </row>
    <row r="163" spans="1:15" x14ac:dyDescent="0.25">
      <c r="A163">
        <v>162</v>
      </c>
      <c r="B163">
        <v>162</v>
      </c>
      <c r="C163" t="str">
        <f t="shared" si="2"/>
        <v>181Ever Morales</v>
      </c>
      <c r="D163">
        <v>181</v>
      </c>
      <c r="E163" s="1" t="s">
        <v>409</v>
      </c>
      <c r="F163" s="1" t="s">
        <v>47</v>
      </c>
      <c r="G163" s="1" t="s">
        <v>380</v>
      </c>
      <c r="H163" s="6" t="s">
        <v>360</v>
      </c>
      <c r="I163" s="20">
        <v>46189.649155092593</v>
      </c>
      <c r="J163" t="str">
        <f>VLOOKUP(C163,'base de datos'!L163:M1374,2,FALSE)</f>
        <v>Smart 110</v>
      </c>
      <c r="K163">
        <v>162</v>
      </c>
    </row>
    <row r="164" spans="1:15" x14ac:dyDescent="0.25">
      <c r="A164">
        <v>163</v>
      </c>
      <c r="B164">
        <v>163</v>
      </c>
      <c r="C164" t="str">
        <f t="shared" si="2"/>
        <v>12Henry Amado</v>
      </c>
      <c r="D164" s="2">
        <v>12</v>
      </c>
      <c r="E164" s="1" t="s">
        <v>409</v>
      </c>
      <c r="F164" s="3" t="s">
        <v>47</v>
      </c>
      <c r="G164" s="3" t="s">
        <v>383</v>
      </c>
      <c r="H164" s="7" t="s">
        <v>361</v>
      </c>
      <c r="I164" s="20">
        <v>46190.649155092593</v>
      </c>
      <c r="J164" t="str">
        <f>VLOOKUP(C164,'base de datos'!L164:M1375,2,FALSE)</f>
        <v>Soudronic</v>
      </c>
      <c r="K164">
        <v>163</v>
      </c>
      <c r="O164" s="2"/>
    </row>
    <row r="165" spans="1:15" x14ac:dyDescent="0.25">
      <c r="A165">
        <v>164</v>
      </c>
      <c r="B165">
        <v>164</v>
      </c>
      <c r="C165" t="str">
        <f t="shared" si="2"/>
        <v>61Henry Amado</v>
      </c>
      <c r="D165" s="5">
        <v>61</v>
      </c>
      <c r="E165" s="1" t="s">
        <v>409</v>
      </c>
      <c r="F165" s="1" t="s">
        <v>47</v>
      </c>
      <c r="G165" s="1" t="s">
        <v>383</v>
      </c>
      <c r="H165" s="6" t="s">
        <v>361</v>
      </c>
      <c r="I165" s="20">
        <v>46191.649155092593</v>
      </c>
      <c r="J165" t="str">
        <f>VLOOKUP(C165,'base de datos'!L165:M1376,2,FALSE)</f>
        <v>Soudronic</v>
      </c>
      <c r="K165">
        <v>164</v>
      </c>
      <c r="O165" s="5"/>
    </row>
    <row r="166" spans="1:15" x14ac:dyDescent="0.25">
      <c r="A166">
        <v>165</v>
      </c>
      <c r="B166">
        <v>165</v>
      </c>
      <c r="C166" t="str">
        <f t="shared" si="2"/>
        <v>62Henry Amado</v>
      </c>
      <c r="D166" s="2">
        <v>62</v>
      </c>
      <c r="E166" s="1" t="s">
        <v>409</v>
      </c>
      <c r="F166" s="3" t="s">
        <v>47</v>
      </c>
      <c r="G166" s="3" t="s">
        <v>383</v>
      </c>
      <c r="H166" s="7" t="s">
        <v>361</v>
      </c>
      <c r="I166" s="20">
        <v>46192.649155092593</v>
      </c>
      <c r="J166" t="str">
        <f>VLOOKUP(C166,'base de datos'!L166:M1377,2,FALSE)</f>
        <v>Soudronic</v>
      </c>
      <c r="K166">
        <v>165</v>
      </c>
      <c r="O166" s="2"/>
    </row>
    <row r="167" spans="1:15" x14ac:dyDescent="0.25">
      <c r="A167">
        <v>166</v>
      </c>
      <c r="B167">
        <v>166</v>
      </c>
      <c r="C167" t="str">
        <f t="shared" si="2"/>
        <v>5Jaime Cabrera</v>
      </c>
      <c r="D167" s="5">
        <v>5</v>
      </c>
      <c r="E167" s="1" t="s">
        <v>409</v>
      </c>
      <c r="F167" s="1" t="s">
        <v>47</v>
      </c>
      <c r="G167" s="1" t="s">
        <v>388</v>
      </c>
      <c r="H167" s="6" t="s">
        <v>361</v>
      </c>
      <c r="I167" s="20">
        <v>46193.649155092593</v>
      </c>
      <c r="J167" t="str">
        <f>VLOOKUP(C167,'base de datos'!L167:M1378,2,FALSE)</f>
        <v>Golden Smart 220</v>
      </c>
      <c r="K167">
        <v>166</v>
      </c>
      <c r="O167" s="5"/>
    </row>
    <row r="168" spans="1:15" x14ac:dyDescent="0.25">
      <c r="A168">
        <v>167</v>
      </c>
      <c r="B168">
        <v>167</v>
      </c>
      <c r="C168" t="str">
        <f t="shared" si="2"/>
        <v>10Jaime Cabrera</v>
      </c>
      <c r="D168" s="2">
        <v>10</v>
      </c>
      <c r="E168" s="1" t="s">
        <v>409</v>
      </c>
      <c r="F168" s="3" t="s">
        <v>47</v>
      </c>
      <c r="G168" s="3" t="s">
        <v>388</v>
      </c>
      <c r="H168" s="7" t="s">
        <v>367</v>
      </c>
      <c r="I168" s="20">
        <v>46194.649155092593</v>
      </c>
      <c r="J168" t="str">
        <f>VLOOKUP(C168,'base de datos'!L168:M1379,2,FALSE)</f>
        <v>Golden Smart 220</v>
      </c>
      <c r="K168">
        <v>167</v>
      </c>
      <c r="O168" s="2"/>
    </row>
    <row r="169" spans="1:15" x14ac:dyDescent="0.25">
      <c r="A169">
        <v>168</v>
      </c>
      <c r="B169">
        <v>168</v>
      </c>
      <c r="C169" t="str">
        <f t="shared" si="2"/>
        <v>107Jaime Cabrera</v>
      </c>
      <c r="D169" s="5">
        <v>107</v>
      </c>
      <c r="E169" s="1" t="s">
        <v>409</v>
      </c>
      <c r="F169" s="1" t="s">
        <v>47</v>
      </c>
      <c r="G169" s="1" t="s">
        <v>388</v>
      </c>
      <c r="H169" s="6" t="s">
        <v>361</v>
      </c>
      <c r="I169" s="20">
        <v>46195.649155092593</v>
      </c>
      <c r="J169" t="str">
        <f>VLOOKUP(C169,'base de datos'!L169:M1380,2,FALSE)</f>
        <v>Golden Smart 220</v>
      </c>
      <c r="K169">
        <v>168</v>
      </c>
      <c r="O169" s="5"/>
    </row>
    <row r="170" spans="1:15" x14ac:dyDescent="0.25">
      <c r="A170">
        <v>169</v>
      </c>
      <c r="B170">
        <v>169</v>
      </c>
      <c r="C170" t="str">
        <f t="shared" si="2"/>
        <v>25Joel Vasquez</v>
      </c>
      <c r="D170">
        <v>25</v>
      </c>
      <c r="E170" s="1" t="s">
        <v>409</v>
      </c>
      <c r="F170" s="1" t="s">
        <v>47</v>
      </c>
      <c r="G170" s="1" t="s">
        <v>402</v>
      </c>
      <c r="H170" s="6" t="s">
        <v>361</v>
      </c>
      <c r="I170" s="20">
        <v>46196.649155092593</v>
      </c>
      <c r="J170" t="str">
        <f>VLOOKUP(C170,'base de datos'!L170:M1381,2,FALSE)</f>
        <v>CNC 3</v>
      </c>
      <c r="K170">
        <v>169</v>
      </c>
    </row>
    <row r="171" spans="1:15" x14ac:dyDescent="0.25">
      <c r="A171">
        <v>170</v>
      </c>
      <c r="B171">
        <v>170</v>
      </c>
      <c r="C171" t="str">
        <f t="shared" si="2"/>
        <v>36Joel Vasquez</v>
      </c>
      <c r="D171">
        <v>36</v>
      </c>
      <c r="E171" s="1" t="s">
        <v>409</v>
      </c>
      <c r="F171" s="1" t="s">
        <v>47</v>
      </c>
      <c r="G171" s="1" t="s">
        <v>402</v>
      </c>
      <c r="H171" s="6" t="s">
        <v>361</v>
      </c>
      <c r="I171" s="20">
        <v>46197.649155092593</v>
      </c>
      <c r="J171" t="str">
        <f>VLOOKUP(C171,'base de datos'!L171:M1382,2,FALSE)</f>
        <v>CNC 3</v>
      </c>
      <c r="K171">
        <v>170</v>
      </c>
    </row>
    <row r="172" spans="1:15" x14ac:dyDescent="0.25">
      <c r="A172">
        <v>171</v>
      </c>
      <c r="B172">
        <v>171</v>
      </c>
      <c r="C172" t="str">
        <f t="shared" si="2"/>
        <v>55Joel Vasquez</v>
      </c>
      <c r="D172">
        <v>55</v>
      </c>
      <c r="E172" s="1" t="s">
        <v>409</v>
      </c>
      <c r="F172" s="1" t="s">
        <v>47</v>
      </c>
      <c r="G172" s="1" t="s">
        <v>402</v>
      </c>
      <c r="H172" s="6" t="s">
        <v>361</v>
      </c>
      <c r="I172" s="20">
        <v>46198.649155092593</v>
      </c>
      <c r="J172" t="str">
        <f>VLOOKUP(C172,'base de datos'!L172:M1383,2,FALSE)</f>
        <v>CNC 3</v>
      </c>
      <c r="K172">
        <v>171</v>
      </c>
    </row>
    <row r="173" spans="1:15" x14ac:dyDescent="0.25">
      <c r="A173">
        <v>172</v>
      </c>
      <c r="B173">
        <v>172</v>
      </c>
      <c r="C173" t="str">
        <f t="shared" si="2"/>
        <v>98Joel Vasquez</v>
      </c>
      <c r="D173">
        <v>98</v>
      </c>
      <c r="E173" s="1" t="s">
        <v>409</v>
      </c>
      <c r="F173" s="1" t="s">
        <v>47</v>
      </c>
      <c r="G173" s="1" t="s">
        <v>402</v>
      </c>
      <c r="H173" s="6" t="s">
        <v>361</v>
      </c>
      <c r="I173" s="20">
        <v>46199.649155092593</v>
      </c>
      <c r="J173" t="str">
        <f>VLOOKUP(C173,'base de datos'!L173:M1384,2,FALSE)</f>
        <v>CNC 3</v>
      </c>
      <c r="K173">
        <v>172</v>
      </c>
    </row>
    <row r="174" spans="1:15" x14ac:dyDescent="0.25">
      <c r="A174">
        <v>173</v>
      </c>
      <c r="B174">
        <v>173</v>
      </c>
      <c r="C174" t="str">
        <f t="shared" si="2"/>
        <v>145Joel Vasquez</v>
      </c>
      <c r="D174">
        <v>145</v>
      </c>
      <c r="E174" s="1" t="s">
        <v>409</v>
      </c>
      <c r="F174" s="1" t="s">
        <v>47</v>
      </c>
      <c r="G174" s="1" t="s">
        <v>402</v>
      </c>
      <c r="H174" s="6" t="s">
        <v>361</v>
      </c>
      <c r="I174" s="20">
        <v>46200.649155092593</v>
      </c>
      <c r="J174" t="str">
        <f>VLOOKUP(C174,'base de datos'!L174:M1385,2,FALSE)</f>
        <v>CNC 3</v>
      </c>
      <c r="K174">
        <v>173</v>
      </c>
    </row>
    <row r="175" spans="1:15" x14ac:dyDescent="0.25">
      <c r="A175">
        <v>174</v>
      </c>
      <c r="B175">
        <v>174</v>
      </c>
      <c r="C175" t="str">
        <f t="shared" si="2"/>
        <v>5Julio Galvez</v>
      </c>
      <c r="D175">
        <v>5</v>
      </c>
      <c r="E175" s="1" t="s">
        <v>409</v>
      </c>
      <c r="F175" s="1" t="s">
        <v>47</v>
      </c>
      <c r="G175" s="1" t="s">
        <v>389</v>
      </c>
      <c r="H175" s="6" t="s">
        <v>363</v>
      </c>
      <c r="I175" s="20">
        <v>46201.649155092593</v>
      </c>
      <c r="J175" t="str">
        <f>VLOOKUP(C175,'base de datos'!L175:M1386,2,FALSE)</f>
        <v>Golden Smart 220</v>
      </c>
      <c r="K175">
        <v>174</v>
      </c>
    </row>
    <row r="176" spans="1:15" x14ac:dyDescent="0.25">
      <c r="A176">
        <v>175</v>
      </c>
      <c r="B176">
        <v>175</v>
      </c>
      <c r="C176" t="str">
        <f t="shared" si="2"/>
        <v>10Julio Galvez</v>
      </c>
      <c r="D176">
        <v>10</v>
      </c>
      <c r="E176" s="1" t="s">
        <v>409</v>
      </c>
      <c r="F176" s="1" t="s">
        <v>47</v>
      </c>
      <c r="G176" s="1" t="s">
        <v>389</v>
      </c>
      <c r="H176" s="6" t="s">
        <v>363</v>
      </c>
      <c r="I176" s="20">
        <v>46202.649155092593</v>
      </c>
      <c r="J176" t="str">
        <f>VLOOKUP(C176,'base de datos'!L176:M1387,2,FALSE)</f>
        <v>Golden Smart 220</v>
      </c>
      <c r="K176">
        <v>175</v>
      </c>
    </row>
    <row r="177" spans="1:11" x14ac:dyDescent="0.25">
      <c r="A177">
        <v>176</v>
      </c>
      <c r="B177">
        <v>176</v>
      </c>
      <c r="C177" t="str">
        <f t="shared" si="2"/>
        <v>46Julio Galvez</v>
      </c>
      <c r="D177">
        <v>46</v>
      </c>
      <c r="E177" s="1" t="s">
        <v>409</v>
      </c>
      <c r="F177" s="1" t="s">
        <v>47</v>
      </c>
      <c r="G177" s="1" t="s">
        <v>389</v>
      </c>
      <c r="H177" s="6" t="s">
        <v>363</v>
      </c>
      <c r="I177" s="20">
        <v>46203.649155092593</v>
      </c>
      <c r="J177" t="str">
        <f>VLOOKUP(C177,'base de datos'!L177:M1388,2,FALSE)</f>
        <v>Golden Smart 220</v>
      </c>
      <c r="K177">
        <v>176</v>
      </c>
    </row>
    <row r="178" spans="1:11" x14ac:dyDescent="0.25">
      <c r="A178">
        <v>177</v>
      </c>
      <c r="B178">
        <v>177</v>
      </c>
      <c r="C178" t="str">
        <f t="shared" si="2"/>
        <v>53Julio Galvez</v>
      </c>
      <c r="D178">
        <v>53</v>
      </c>
      <c r="E178" s="1" t="s">
        <v>409</v>
      </c>
      <c r="F178" s="1" t="s">
        <v>47</v>
      </c>
      <c r="G178" s="1" t="s">
        <v>389</v>
      </c>
      <c r="H178" s="6" t="s">
        <v>363</v>
      </c>
      <c r="I178" s="20">
        <v>46204.649155092593</v>
      </c>
      <c r="J178" t="str">
        <f>VLOOKUP(C178,'base de datos'!L178:M1389,2,FALSE)</f>
        <v>Golden Smart 220</v>
      </c>
      <c r="K178">
        <v>177</v>
      </c>
    </row>
    <row r="179" spans="1:11" x14ac:dyDescent="0.25">
      <c r="A179">
        <v>178</v>
      </c>
      <c r="B179">
        <v>178</v>
      </c>
      <c r="C179" t="str">
        <f t="shared" si="2"/>
        <v>65Julio Galvez</v>
      </c>
      <c r="D179">
        <v>65</v>
      </c>
      <c r="E179" s="1" t="s">
        <v>409</v>
      </c>
      <c r="F179" s="1" t="s">
        <v>47</v>
      </c>
      <c r="G179" s="1" t="s">
        <v>389</v>
      </c>
      <c r="H179" s="6" t="s">
        <v>363</v>
      </c>
      <c r="I179" s="20">
        <v>46205.649155092593</v>
      </c>
      <c r="J179" t="str">
        <f>VLOOKUP(C179,'base de datos'!L179:M1390,2,FALSE)</f>
        <v>Golden Smart 220</v>
      </c>
      <c r="K179">
        <v>178</v>
      </c>
    </row>
    <row r="180" spans="1:11" x14ac:dyDescent="0.25">
      <c r="A180">
        <v>179</v>
      </c>
      <c r="B180">
        <v>179</v>
      </c>
      <c r="C180" t="str">
        <f t="shared" si="2"/>
        <v>107Julio Galvez</v>
      </c>
      <c r="D180">
        <v>107</v>
      </c>
      <c r="E180" s="1" t="s">
        <v>409</v>
      </c>
      <c r="F180" s="1" t="s">
        <v>47</v>
      </c>
      <c r="G180" s="1" t="s">
        <v>389</v>
      </c>
      <c r="H180" s="6" t="s">
        <v>363</v>
      </c>
      <c r="I180" s="20">
        <v>46206.649155092593</v>
      </c>
      <c r="J180" t="str">
        <f>VLOOKUP(C180,'base de datos'!L180:M1391,2,FALSE)</f>
        <v>Golden Smart 220</v>
      </c>
      <c r="K180">
        <v>179</v>
      </c>
    </row>
    <row r="181" spans="1:11" x14ac:dyDescent="0.25">
      <c r="A181">
        <v>180</v>
      </c>
      <c r="B181">
        <v>180</v>
      </c>
      <c r="C181" t="str">
        <f t="shared" si="2"/>
        <v>124Julio Galvez</v>
      </c>
      <c r="D181">
        <v>124</v>
      </c>
      <c r="E181" s="1" t="s">
        <v>409</v>
      </c>
      <c r="F181" s="1" t="s">
        <v>47</v>
      </c>
      <c r="G181" s="1" t="s">
        <v>389</v>
      </c>
      <c r="H181" s="6" t="s">
        <v>363</v>
      </c>
      <c r="I181" s="20">
        <v>46207.649155092593</v>
      </c>
      <c r="J181" t="str">
        <f>VLOOKUP(C181,'base de datos'!L181:M1392,2,FALSE)</f>
        <v>Tijeras</v>
      </c>
      <c r="K181">
        <v>180</v>
      </c>
    </row>
    <row r="182" spans="1:11" x14ac:dyDescent="0.25">
      <c r="A182">
        <v>181</v>
      </c>
      <c r="B182">
        <v>181</v>
      </c>
      <c r="C182" t="str">
        <f t="shared" si="2"/>
        <v>135Julio Galvez</v>
      </c>
      <c r="D182">
        <v>135</v>
      </c>
      <c r="E182" s="1" t="s">
        <v>409</v>
      </c>
      <c r="F182" s="1" t="s">
        <v>47</v>
      </c>
      <c r="G182" s="1" t="s">
        <v>389</v>
      </c>
      <c r="H182" s="6" t="s">
        <v>363</v>
      </c>
      <c r="I182" s="20">
        <v>46208.649155092593</v>
      </c>
      <c r="J182" t="str">
        <f>VLOOKUP(C182,'base de datos'!L182:M1393,2,FALSE)</f>
        <v>Golden Smart 220</v>
      </c>
      <c r="K182">
        <v>181</v>
      </c>
    </row>
    <row r="183" spans="1:11" x14ac:dyDescent="0.25">
      <c r="A183">
        <v>182</v>
      </c>
      <c r="B183">
        <v>182</v>
      </c>
      <c r="C183" t="str">
        <f t="shared" si="2"/>
        <v>180Julio Galvez</v>
      </c>
      <c r="D183">
        <v>180</v>
      </c>
      <c r="E183" s="1" t="s">
        <v>409</v>
      </c>
      <c r="F183" s="1" t="s">
        <v>47</v>
      </c>
      <c r="G183" s="1" t="s">
        <v>389</v>
      </c>
      <c r="H183" s="6" t="s">
        <v>363</v>
      </c>
      <c r="I183" s="20">
        <v>46209.649155092593</v>
      </c>
      <c r="J183" t="str">
        <f>VLOOKUP(C183,'base de datos'!L183:M1394,2,FALSE)</f>
        <v>Golden Smart 220</v>
      </c>
      <c r="K183">
        <v>182</v>
      </c>
    </row>
    <row r="184" spans="1:11" x14ac:dyDescent="0.25">
      <c r="A184">
        <v>183</v>
      </c>
      <c r="B184">
        <v>183</v>
      </c>
      <c r="C184" t="str">
        <f t="shared" si="2"/>
        <v>112Mynor Mijangos</v>
      </c>
      <c r="D184">
        <v>112</v>
      </c>
      <c r="E184" s="1" t="s">
        <v>409</v>
      </c>
      <c r="F184" s="3" t="s">
        <v>47</v>
      </c>
      <c r="G184" s="3" t="s">
        <v>393</v>
      </c>
      <c r="H184" s="7" t="s">
        <v>363</v>
      </c>
      <c r="I184" s="20">
        <v>46210.649155092593</v>
      </c>
      <c r="J184" t="str">
        <f>VLOOKUP(C184,'base de datos'!L184:M1395,2,FALSE)</f>
        <v>Tijeras</v>
      </c>
      <c r="K184">
        <v>183</v>
      </c>
    </row>
    <row r="185" spans="1:11" x14ac:dyDescent="0.25">
      <c r="A185">
        <v>184</v>
      </c>
      <c r="B185">
        <v>184</v>
      </c>
      <c r="C185" t="str">
        <f t="shared" si="2"/>
        <v>113Mynor Mijangos</v>
      </c>
      <c r="D185">
        <v>113</v>
      </c>
      <c r="E185" s="1" t="s">
        <v>409</v>
      </c>
      <c r="F185" s="3" t="s">
        <v>47</v>
      </c>
      <c r="G185" s="3" t="s">
        <v>393</v>
      </c>
      <c r="H185" s="7" t="s">
        <v>363</v>
      </c>
      <c r="I185" s="20">
        <v>46211.649155092593</v>
      </c>
      <c r="J185" t="str">
        <f>VLOOKUP(C185,'base de datos'!L185:M1396,2,FALSE)</f>
        <v>Tijeras</v>
      </c>
      <c r="K185">
        <v>184</v>
      </c>
    </row>
    <row r="186" spans="1:11" x14ac:dyDescent="0.25">
      <c r="A186">
        <v>185</v>
      </c>
      <c r="B186">
        <v>185</v>
      </c>
      <c r="C186" t="str">
        <f t="shared" si="2"/>
        <v>114Mynor Mijangos</v>
      </c>
      <c r="D186">
        <v>114</v>
      </c>
      <c r="E186" s="1" t="s">
        <v>409</v>
      </c>
      <c r="F186" s="3" t="s">
        <v>47</v>
      </c>
      <c r="G186" s="3" t="s">
        <v>393</v>
      </c>
      <c r="H186" s="7" t="s">
        <v>363</v>
      </c>
      <c r="I186" s="20">
        <v>46212.649155092593</v>
      </c>
      <c r="J186" t="str">
        <f>VLOOKUP(C186,'base de datos'!L186:M1397,2,FALSE)</f>
        <v>Tijeras</v>
      </c>
      <c r="K186">
        <v>185</v>
      </c>
    </row>
    <row r="187" spans="1:11" x14ac:dyDescent="0.25">
      <c r="A187">
        <v>186</v>
      </c>
      <c r="B187">
        <v>186</v>
      </c>
      <c r="C187" t="str">
        <f t="shared" si="2"/>
        <v>115Mynor Mijangos</v>
      </c>
      <c r="D187">
        <v>115</v>
      </c>
      <c r="E187" s="1" t="s">
        <v>409</v>
      </c>
      <c r="F187" s="3" t="s">
        <v>47</v>
      </c>
      <c r="G187" s="3" t="s">
        <v>393</v>
      </c>
      <c r="H187" s="7" t="s">
        <v>363</v>
      </c>
      <c r="I187" s="20">
        <v>46213.649155092593</v>
      </c>
      <c r="J187" t="str">
        <f>VLOOKUP(C187,'base de datos'!L187:M1398,2,FALSE)</f>
        <v>Tijeras</v>
      </c>
      <c r="K187">
        <v>186</v>
      </c>
    </row>
    <row r="188" spans="1:11" x14ac:dyDescent="0.25">
      <c r="A188">
        <v>187</v>
      </c>
      <c r="B188">
        <v>187</v>
      </c>
      <c r="C188" t="str">
        <f t="shared" si="2"/>
        <v>116Mynor Mijangos</v>
      </c>
      <c r="D188">
        <v>116</v>
      </c>
      <c r="E188" s="1" t="s">
        <v>409</v>
      </c>
      <c r="F188" s="3" t="s">
        <v>47</v>
      </c>
      <c r="G188" s="3" t="s">
        <v>393</v>
      </c>
      <c r="H188" s="7" t="s">
        <v>363</v>
      </c>
      <c r="I188" s="20">
        <v>46214.649155092593</v>
      </c>
      <c r="J188" t="str">
        <f>VLOOKUP(C188,'base de datos'!L188:M1399,2,FALSE)</f>
        <v>Tijeras</v>
      </c>
      <c r="K188">
        <v>187</v>
      </c>
    </row>
    <row r="189" spans="1:11" x14ac:dyDescent="0.25">
      <c r="A189">
        <v>188</v>
      </c>
      <c r="B189">
        <v>188</v>
      </c>
      <c r="C189" t="str">
        <f t="shared" si="2"/>
        <v>117Mynor Mijangos</v>
      </c>
      <c r="D189">
        <v>117</v>
      </c>
      <c r="E189" s="1" t="s">
        <v>409</v>
      </c>
      <c r="F189" s="3" t="s">
        <v>47</v>
      </c>
      <c r="G189" s="3" t="s">
        <v>393</v>
      </c>
      <c r="H189" s="7" t="s">
        <v>363</v>
      </c>
      <c r="I189" s="20">
        <v>46215.649155092593</v>
      </c>
      <c r="J189" t="str">
        <f>VLOOKUP(C189,'base de datos'!L189:M1400,2,FALSE)</f>
        <v>Tijeras</v>
      </c>
      <c r="K189">
        <v>188</v>
      </c>
    </row>
    <row r="190" spans="1:11" x14ac:dyDescent="0.25">
      <c r="A190">
        <v>189</v>
      </c>
      <c r="B190">
        <v>189</v>
      </c>
      <c r="C190" t="str">
        <f t="shared" si="2"/>
        <v>118Mynor Mijangos</v>
      </c>
      <c r="D190">
        <v>118</v>
      </c>
      <c r="E190" s="1" t="s">
        <v>409</v>
      </c>
      <c r="F190" s="3" t="s">
        <v>47</v>
      </c>
      <c r="G190" s="3" t="s">
        <v>393</v>
      </c>
      <c r="H190" s="7" t="s">
        <v>363</v>
      </c>
      <c r="I190" s="20">
        <v>46216.649155092593</v>
      </c>
      <c r="J190" t="str">
        <f>VLOOKUP(C190,'base de datos'!L190:M1401,2,FALSE)</f>
        <v>Tijeras</v>
      </c>
      <c r="K190">
        <v>189</v>
      </c>
    </row>
    <row r="191" spans="1:11" x14ac:dyDescent="0.25">
      <c r="A191">
        <v>190</v>
      </c>
      <c r="B191">
        <v>190</v>
      </c>
      <c r="C191" t="str">
        <f t="shared" si="2"/>
        <v>119Mynor Mijangos</v>
      </c>
      <c r="D191">
        <v>119</v>
      </c>
      <c r="E191" s="1" t="s">
        <v>409</v>
      </c>
      <c r="F191" s="3" t="s">
        <v>47</v>
      </c>
      <c r="G191" s="3" t="s">
        <v>393</v>
      </c>
      <c r="H191" s="7" t="s">
        <v>363</v>
      </c>
      <c r="I191" s="20">
        <v>46217.649155092593</v>
      </c>
      <c r="J191" t="str">
        <f>VLOOKUP(C191,'base de datos'!L191:M1402,2,FALSE)</f>
        <v>Tijeras</v>
      </c>
      <c r="K191">
        <v>190</v>
      </c>
    </row>
    <row r="192" spans="1:11" x14ac:dyDescent="0.25">
      <c r="A192">
        <v>191</v>
      </c>
      <c r="B192">
        <v>191</v>
      </c>
      <c r="C192" t="str">
        <f t="shared" si="2"/>
        <v>120Mynor Mijangos</v>
      </c>
      <c r="D192">
        <v>120</v>
      </c>
      <c r="E192" s="1" t="s">
        <v>409</v>
      </c>
      <c r="F192" s="3" t="s">
        <v>47</v>
      </c>
      <c r="G192" s="3" t="s">
        <v>393</v>
      </c>
      <c r="H192" s="7" t="s">
        <v>363</v>
      </c>
      <c r="I192" s="20">
        <v>46218.649155092593</v>
      </c>
      <c r="J192" t="str">
        <f>VLOOKUP(C192,'base de datos'!L192:M1403,2,FALSE)</f>
        <v>Tijeras</v>
      </c>
      <c r="K192">
        <v>191</v>
      </c>
    </row>
    <row r="193" spans="1:15" x14ac:dyDescent="0.25">
      <c r="A193">
        <v>192</v>
      </c>
      <c r="B193">
        <v>192</v>
      </c>
      <c r="C193" t="str">
        <f t="shared" si="2"/>
        <v>121Mynor Mijangos</v>
      </c>
      <c r="D193">
        <v>121</v>
      </c>
      <c r="E193" s="1" t="s">
        <v>409</v>
      </c>
      <c r="F193" s="3" t="s">
        <v>47</v>
      </c>
      <c r="G193" s="3" t="s">
        <v>393</v>
      </c>
      <c r="H193" s="7" t="s">
        <v>363</v>
      </c>
      <c r="I193" s="20">
        <v>46219.649155092593</v>
      </c>
      <c r="J193" t="str">
        <f>VLOOKUP(C193,'base de datos'!L193:M1404,2,FALSE)</f>
        <v>Tijeras</v>
      </c>
      <c r="K193">
        <v>192</v>
      </c>
    </row>
    <row r="194" spans="1:15" x14ac:dyDescent="0.25">
      <c r="A194">
        <v>193</v>
      </c>
      <c r="B194">
        <v>193</v>
      </c>
      <c r="C194" t="str">
        <f t="shared" ref="C194:C222" si="3">D194&amp;G194</f>
        <v>122Mynor Mijangos</v>
      </c>
      <c r="D194">
        <v>122</v>
      </c>
      <c r="E194" s="1" t="s">
        <v>409</v>
      </c>
      <c r="F194" s="3" t="s">
        <v>47</v>
      </c>
      <c r="G194" s="3" t="s">
        <v>393</v>
      </c>
      <c r="H194" s="7" t="s">
        <v>363</v>
      </c>
      <c r="I194" s="20">
        <v>46220.649155092593</v>
      </c>
      <c r="J194" t="str">
        <f>VLOOKUP(C194,'base de datos'!L194:M1405,2,FALSE)</f>
        <v>Tijeras</v>
      </c>
      <c r="K194">
        <v>193</v>
      </c>
    </row>
    <row r="195" spans="1:15" x14ac:dyDescent="0.25">
      <c r="A195">
        <v>194</v>
      </c>
      <c r="B195">
        <v>194</v>
      </c>
      <c r="C195" t="str">
        <f t="shared" si="3"/>
        <v>2Otto Lopez</v>
      </c>
      <c r="D195" s="5">
        <v>2</v>
      </c>
      <c r="E195" s="1" t="s">
        <v>409</v>
      </c>
      <c r="F195" s="1" t="s">
        <v>47</v>
      </c>
      <c r="G195" s="1" t="s">
        <v>385</v>
      </c>
      <c r="H195" s="6" t="s">
        <v>361</v>
      </c>
      <c r="I195" s="20">
        <v>46221.649155092593</v>
      </c>
      <c r="J195" t="str">
        <f>VLOOKUP(C195,'base de datos'!L195:M1406,2,FALSE)</f>
        <v>Smag</v>
      </c>
      <c r="K195">
        <v>194</v>
      </c>
      <c r="O195" s="5"/>
    </row>
    <row r="196" spans="1:15" x14ac:dyDescent="0.25">
      <c r="A196">
        <v>195</v>
      </c>
      <c r="B196">
        <v>195</v>
      </c>
      <c r="C196" t="str">
        <f t="shared" si="3"/>
        <v>7Otto Lopez</v>
      </c>
      <c r="D196" s="2">
        <v>7</v>
      </c>
      <c r="E196" s="1" t="s">
        <v>409</v>
      </c>
      <c r="F196" s="3" t="s">
        <v>47</v>
      </c>
      <c r="G196" s="3" t="s">
        <v>385</v>
      </c>
      <c r="H196" s="7" t="s">
        <v>367</v>
      </c>
      <c r="I196" s="20">
        <v>46222.649155092593</v>
      </c>
      <c r="J196" t="str">
        <f>VLOOKUP(C196,'base de datos'!L196:M1407,2,FALSE)</f>
        <v>Smag</v>
      </c>
      <c r="K196">
        <v>195</v>
      </c>
      <c r="O196" s="2"/>
    </row>
    <row r="197" spans="1:15" x14ac:dyDescent="0.25">
      <c r="A197">
        <v>196</v>
      </c>
      <c r="B197">
        <v>196</v>
      </c>
      <c r="C197" t="str">
        <f t="shared" si="3"/>
        <v>104Otto Lopez</v>
      </c>
      <c r="D197" s="5">
        <v>104</v>
      </c>
      <c r="E197" s="1" t="s">
        <v>409</v>
      </c>
      <c r="F197" s="1" t="s">
        <v>47</v>
      </c>
      <c r="G197" s="1" t="s">
        <v>385</v>
      </c>
      <c r="H197" s="6" t="s">
        <v>361</v>
      </c>
      <c r="I197" s="20">
        <v>46223.649155092593</v>
      </c>
      <c r="J197" t="str">
        <f>VLOOKUP(C197,'base de datos'!L197:M1408,2,FALSE)</f>
        <v>Smag</v>
      </c>
      <c r="K197">
        <v>196</v>
      </c>
      <c r="O197" s="5"/>
    </row>
    <row r="198" spans="1:15" x14ac:dyDescent="0.25">
      <c r="A198">
        <v>197</v>
      </c>
      <c r="B198">
        <v>197</v>
      </c>
      <c r="C198" t="str">
        <f t="shared" si="3"/>
        <v>109Otto Lopez</v>
      </c>
      <c r="D198" s="2">
        <v>109</v>
      </c>
      <c r="E198" s="1" t="s">
        <v>409</v>
      </c>
      <c r="F198" s="3" t="s">
        <v>47</v>
      </c>
      <c r="G198" s="3" t="s">
        <v>385</v>
      </c>
      <c r="H198" s="7" t="s">
        <v>361</v>
      </c>
      <c r="I198" s="20">
        <v>46224.649155092593</v>
      </c>
      <c r="J198" t="str">
        <f>VLOOKUP(C198,'base de datos'!L198:M1409,2,FALSE)</f>
        <v>Smag</v>
      </c>
      <c r="K198">
        <v>197</v>
      </c>
      <c r="O198" s="2"/>
    </row>
    <row r="199" spans="1:15" x14ac:dyDescent="0.25">
      <c r="A199">
        <v>198</v>
      </c>
      <c r="B199">
        <v>198</v>
      </c>
      <c r="C199" t="str">
        <f t="shared" si="3"/>
        <v>3Pablo Tuche</v>
      </c>
      <c r="D199">
        <v>3</v>
      </c>
      <c r="E199" s="1" t="s">
        <v>409</v>
      </c>
      <c r="F199" s="3" t="s">
        <v>47</v>
      </c>
      <c r="G199" s="3" t="s">
        <v>398</v>
      </c>
      <c r="H199" s="7" t="s">
        <v>361</v>
      </c>
      <c r="I199" s="20">
        <v>46225.649155092593</v>
      </c>
      <c r="J199" t="str">
        <f>VLOOKUP(C199,'base de datos'!L199:M1410,2,FALSE)</f>
        <v>Smart 110</v>
      </c>
      <c r="K199">
        <v>198</v>
      </c>
    </row>
    <row r="200" spans="1:15" x14ac:dyDescent="0.25">
      <c r="A200">
        <v>199</v>
      </c>
      <c r="B200">
        <v>199</v>
      </c>
      <c r="C200" t="str">
        <f t="shared" si="3"/>
        <v>4Pablo Tuche</v>
      </c>
      <c r="D200">
        <v>4</v>
      </c>
      <c r="E200" s="1" t="s">
        <v>409</v>
      </c>
      <c r="F200" s="3" t="s">
        <v>47</v>
      </c>
      <c r="G200" s="3" t="s">
        <v>398</v>
      </c>
      <c r="H200" s="7" t="s">
        <v>361</v>
      </c>
      <c r="I200" s="20">
        <v>46226.649155092593</v>
      </c>
      <c r="J200" t="str">
        <f>VLOOKUP(C200,'base de datos'!L200:M1411,2,FALSE)</f>
        <v>Ishin</v>
      </c>
      <c r="K200">
        <v>199</v>
      </c>
    </row>
    <row r="201" spans="1:15" x14ac:dyDescent="0.25">
      <c r="A201">
        <v>200</v>
      </c>
      <c r="B201">
        <v>200</v>
      </c>
      <c r="C201" t="str">
        <f t="shared" si="3"/>
        <v>8Pablo Tuche</v>
      </c>
      <c r="D201">
        <v>8</v>
      </c>
      <c r="E201" s="1" t="s">
        <v>409</v>
      </c>
      <c r="F201" s="3" t="s">
        <v>47</v>
      </c>
      <c r="G201" s="3" t="s">
        <v>398</v>
      </c>
      <c r="H201" s="7" t="s">
        <v>361</v>
      </c>
      <c r="I201" s="20">
        <v>46227.649155092593</v>
      </c>
      <c r="J201" t="str">
        <f>VLOOKUP(C201,'base de datos'!L201:M1412,2,FALSE)</f>
        <v>Smart 110</v>
      </c>
      <c r="K201">
        <v>200</v>
      </c>
    </row>
    <row r="202" spans="1:15" x14ac:dyDescent="0.25">
      <c r="A202">
        <v>201</v>
      </c>
      <c r="B202">
        <v>201</v>
      </c>
      <c r="C202" t="str">
        <f t="shared" si="3"/>
        <v>16Pablo Tuche</v>
      </c>
      <c r="D202">
        <v>16</v>
      </c>
      <c r="E202" s="1" t="s">
        <v>409</v>
      </c>
      <c r="F202" s="3" t="s">
        <v>47</v>
      </c>
      <c r="G202" s="3" t="s">
        <v>398</v>
      </c>
      <c r="H202" s="7" t="s">
        <v>361</v>
      </c>
      <c r="I202" s="20">
        <v>46228.649155092593</v>
      </c>
      <c r="J202" t="str">
        <f>VLOOKUP(C202,'base de datos'!L202:M1413,2,FALSE)</f>
        <v>Smart 110</v>
      </c>
      <c r="K202">
        <v>201</v>
      </c>
    </row>
    <row r="203" spans="1:15" x14ac:dyDescent="0.25">
      <c r="A203">
        <v>202</v>
      </c>
      <c r="B203">
        <v>202</v>
      </c>
      <c r="C203" t="str">
        <f t="shared" si="3"/>
        <v>19Pablo Tuche</v>
      </c>
      <c r="D203">
        <v>19</v>
      </c>
      <c r="E203" s="1" t="s">
        <v>409</v>
      </c>
      <c r="F203" s="3" t="s">
        <v>47</v>
      </c>
      <c r="G203" s="3" t="s">
        <v>398</v>
      </c>
      <c r="H203" s="7" t="s">
        <v>361</v>
      </c>
      <c r="I203" s="20">
        <v>46229.649155092593</v>
      </c>
      <c r="J203" t="str">
        <f>VLOOKUP(C203,'base de datos'!L203:M1414,2,FALSE)</f>
        <v>Ishin</v>
      </c>
      <c r="K203">
        <v>202</v>
      </c>
    </row>
    <row r="204" spans="1:15" x14ac:dyDescent="0.25">
      <c r="A204">
        <v>203</v>
      </c>
      <c r="B204">
        <v>203</v>
      </c>
      <c r="C204" t="str">
        <f t="shared" si="3"/>
        <v>47Pablo Tuche</v>
      </c>
      <c r="D204">
        <v>47</v>
      </c>
      <c r="E204" s="1" t="s">
        <v>409</v>
      </c>
      <c r="F204" s="3" t="s">
        <v>47</v>
      </c>
      <c r="G204" s="3" t="s">
        <v>398</v>
      </c>
      <c r="H204" s="7" t="s">
        <v>361</v>
      </c>
      <c r="I204" s="20">
        <v>46230.649155092593</v>
      </c>
      <c r="J204" t="str">
        <f>VLOOKUP(C204,'base de datos'!L204:M1415,2,FALSE)</f>
        <v>Ishin</v>
      </c>
      <c r="K204">
        <v>203</v>
      </c>
    </row>
    <row r="205" spans="1:15" x14ac:dyDescent="0.25">
      <c r="A205">
        <v>204</v>
      </c>
      <c r="B205">
        <v>204</v>
      </c>
      <c r="C205" t="str">
        <f t="shared" si="3"/>
        <v>66Pablo Tuche</v>
      </c>
      <c r="D205">
        <v>66</v>
      </c>
      <c r="E205" s="1" t="s">
        <v>409</v>
      </c>
      <c r="F205" s="3" t="s">
        <v>47</v>
      </c>
      <c r="G205" s="3" t="s">
        <v>398</v>
      </c>
      <c r="H205" s="7" t="s">
        <v>361</v>
      </c>
      <c r="I205" s="20">
        <v>46231.649155092593</v>
      </c>
      <c r="J205" t="str">
        <f>VLOOKUP(C205,'base de datos'!L205:M1416,2,FALSE)</f>
        <v>Smart 110</v>
      </c>
      <c r="K205">
        <v>204</v>
      </c>
    </row>
    <row r="206" spans="1:15" x14ac:dyDescent="0.25">
      <c r="A206">
        <v>205</v>
      </c>
      <c r="B206">
        <v>205</v>
      </c>
      <c r="C206" t="str">
        <f t="shared" si="3"/>
        <v>79Pablo Tuche</v>
      </c>
      <c r="D206">
        <v>79</v>
      </c>
      <c r="E206" s="1" t="s">
        <v>409</v>
      </c>
      <c r="F206" s="3" t="s">
        <v>47</v>
      </c>
      <c r="G206" s="3" t="s">
        <v>398</v>
      </c>
      <c r="H206" s="7" t="s">
        <v>361</v>
      </c>
      <c r="I206" s="20">
        <v>46232.649155092593</v>
      </c>
      <c r="J206" t="str">
        <f>VLOOKUP(C206,'base de datos'!L206:M1417,2,FALSE)</f>
        <v>Ishin</v>
      </c>
      <c r="K206">
        <v>205</v>
      </c>
    </row>
    <row r="207" spans="1:15" x14ac:dyDescent="0.25">
      <c r="A207">
        <v>206</v>
      </c>
      <c r="B207">
        <v>206</v>
      </c>
      <c r="C207" t="str">
        <f t="shared" si="3"/>
        <v>105Pablo Tuche</v>
      </c>
      <c r="D207">
        <v>105</v>
      </c>
      <c r="E207" s="1" t="s">
        <v>409</v>
      </c>
      <c r="F207" s="3" t="s">
        <v>47</v>
      </c>
      <c r="G207" s="3" t="s">
        <v>398</v>
      </c>
      <c r="H207" s="7" t="s">
        <v>361</v>
      </c>
      <c r="I207" s="20">
        <v>46233.649155092593</v>
      </c>
      <c r="J207" t="str">
        <f>VLOOKUP(C207,'base de datos'!L207:M1418,2,FALSE)</f>
        <v>Smart 110</v>
      </c>
      <c r="K207">
        <v>206</v>
      </c>
    </row>
    <row r="208" spans="1:15" x14ac:dyDescent="0.25">
      <c r="A208">
        <v>207</v>
      </c>
      <c r="B208">
        <v>207</v>
      </c>
      <c r="C208" t="str">
        <f t="shared" si="3"/>
        <v>106Pablo Tuche</v>
      </c>
      <c r="D208">
        <v>106</v>
      </c>
      <c r="E208" s="1" t="s">
        <v>409</v>
      </c>
      <c r="F208" s="3" t="s">
        <v>47</v>
      </c>
      <c r="G208" s="3" t="s">
        <v>398</v>
      </c>
      <c r="H208" s="7" t="s">
        <v>361</v>
      </c>
      <c r="I208" s="20">
        <v>46234.649155092593</v>
      </c>
      <c r="J208" t="str">
        <f>VLOOKUP(C208,'base de datos'!L208:M1419,2,FALSE)</f>
        <v>Ishin</v>
      </c>
      <c r="K208">
        <v>207</v>
      </c>
    </row>
    <row r="209" spans="1:15" x14ac:dyDescent="0.25">
      <c r="A209">
        <v>208</v>
      </c>
      <c r="B209">
        <v>208</v>
      </c>
      <c r="C209" t="str">
        <f t="shared" si="3"/>
        <v>110Pablo Tuche</v>
      </c>
      <c r="D209">
        <v>110</v>
      </c>
      <c r="E209" s="1" t="s">
        <v>409</v>
      </c>
      <c r="F209" s="3" t="s">
        <v>47</v>
      </c>
      <c r="G209" s="3" t="s">
        <v>398</v>
      </c>
      <c r="H209" s="7" t="s">
        <v>361</v>
      </c>
      <c r="I209" s="20">
        <v>46235.649155092593</v>
      </c>
      <c r="J209" t="str">
        <f>VLOOKUP(C209,'base de datos'!L209:M1420,2,FALSE)</f>
        <v>Ishin</v>
      </c>
      <c r="K209">
        <v>208</v>
      </c>
    </row>
    <row r="210" spans="1:15" x14ac:dyDescent="0.25">
      <c r="A210">
        <v>209</v>
      </c>
      <c r="B210">
        <v>209</v>
      </c>
      <c r="C210" t="str">
        <f t="shared" si="3"/>
        <v>155Pablo Tuche</v>
      </c>
      <c r="D210">
        <v>155</v>
      </c>
      <c r="E210" s="1" t="s">
        <v>409</v>
      </c>
      <c r="F210" s="3" t="s">
        <v>47</v>
      </c>
      <c r="G210" s="3" t="s">
        <v>398</v>
      </c>
      <c r="H210" s="7" t="s">
        <v>361</v>
      </c>
      <c r="I210" s="20">
        <v>46236.649155092593</v>
      </c>
      <c r="J210" t="str">
        <f>VLOOKUP(C210,'base de datos'!L210:M1421,2,FALSE)</f>
        <v>Ishin</v>
      </c>
      <c r="K210">
        <v>209</v>
      </c>
    </row>
    <row r="211" spans="1:15" x14ac:dyDescent="0.25">
      <c r="A211">
        <v>210</v>
      </c>
      <c r="B211">
        <v>210</v>
      </c>
      <c r="C211" t="str">
        <f t="shared" si="3"/>
        <v>25Raul Castillo</v>
      </c>
      <c r="D211">
        <v>25</v>
      </c>
      <c r="E211" s="1" t="s">
        <v>409</v>
      </c>
      <c r="F211" s="1" t="s">
        <v>47</v>
      </c>
      <c r="G211" s="1" t="s">
        <v>395</v>
      </c>
      <c r="H211" s="6" t="s">
        <v>363</v>
      </c>
      <c r="I211" s="20">
        <v>46237.649155092593</v>
      </c>
      <c r="J211" t="str">
        <f>VLOOKUP(C211,'base de datos'!L211:M1422,2,FALSE)</f>
        <v>CNC 3</v>
      </c>
      <c r="K211">
        <v>210</v>
      </c>
    </row>
    <row r="212" spans="1:15" x14ac:dyDescent="0.25">
      <c r="A212">
        <v>211</v>
      </c>
      <c r="B212">
        <v>211</v>
      </c>
      <c r="C212" t="str">
        <f t="shared" si="3"/>
        <v>36Raul Castillo</v>
      </c>
      <c r="D212">
        <v>36</v>
      </c>
      <c r="E212" s="1" t="s">
        <v>409</v>
      </c>
      <c r="F212" s="1" t="s">
        <v>47</v>
      </c>
      <c r="G212" s="1" t="s">
        <v>395</v>
      </c>
      <c r="H212" s="6" t="s">
        <v>363</v>
      </c>
      <c r="I212" s="20">
        <v>46238.649155092593</v>
      </c>
      <c r="J212" t="str">
        <f>VLOOKUP(C212,'base de datos'!L212:M1423,2,FALSE)</f>
        <v>CNC 3</v>
      </c>
      <c r="K212">
        <v>211</v>
      </c>
    </row>
    <row r="213" spans="1:15" x14ac:dyDescent="0.25">
      <c r="A213">
        <v>212</v>
      </c>
      <c r="B213">
        <v>212</v>
      </c>
      <c r="C213" t="str">
        <f t="shared" si="3"/>
        <v>55Raul Castillo</v>
      </c>
      <c r="D213">
        <v>55</v>
      </c>
      <c r="E213" s="1" t="s">
        <v>409</v>
      </c>
      <c r="F213" s="1" t="s">
        <v>47</v>
      </c>
      <c r="G213" s="1" t="s">
        <v>395</v>
      </c>
      <c r="H213" s="6" t="s">
        <v>363</v>
      </c>
      <c r="I213" s="20">
        <v>46239.649155092593</v>
      </c>
      <c r="J213" t="str">
        <f>VLOOKUP(C213,'base de datos'!L213:M1424,2,FALSE)</f>
        <v>CNC 3</v>
      </c>
      <c r="K213">
        <v>212</v>
      </c>
    </row>
    <row r="214" spans="1:15" x14ac:dyDescent="0.25">
      <c r="A214">
        <v>213</v>
      </c>
      <c r="B214">
        <v>213</v>
      </c>
      <c r="C214" t="str">
        <f t="shared" si="3"/>
        <v>98Raul Castillo</v>
      </c>
      <c r="D214">
        <v>98</v>
      </c>
      <c r="E214" s="1" t="s">
        <v>409</v>
      </c>
      <c r="F214" s="1" t="s">
        <v>47</v>
      </c>
      <c r="G214" s="1" t="s">
        <v>395</v>
      </c>
      <c r="H214" s="6" t="s">
        <v>363</v>
      </c>
      <c r="I214" s="20">
        <v>46240.649155092593</v>
      </c>
      <c r="J214" t="str">
        <f>VLOOKUP(C214,'base de datos'!L214:M1425,2,FALSE)</f>
        <v>CNC 3</v>
      </c>
      <c r="K214">
        <v>213</v>
      </c>
    </row>
    <row r="215" spans="1:15" x14ac:dyDescent="0.25">
      <c r="A215">
        <v>214</v>
      </c>
      <c r="B215">
        <v>214</v>
      </c>
      <c r="C215" t="str">
        <f t="shared" si="3"/>
        <v>145Raul Castillo</v>
      </c>
      <c r="D215">
        <v>145</v>
      </c>
      <c r="E215" s="1" t="s">
        <v>409</v>
      </c>
      <c r="F215" s="1" t="s">
        <v>47</v>
      </c>
      <c r="G215" s="1" t="s">
        <v>395</v>
      </c>
      <c r="H215" s="6" t="s">
        <v>363</v>
      </c>
      <c r="I215" s="20">
        <v>46241.649155092593</v>
      </c>
      <c r="J215" t="str">
        <f>VLOOKUP(C215,'base de datos'!L215:M1426,2,FALSE)</f>
        <v>CNC 3</v>
      </c>
      <c r="K215">
        <v>214</v>
      </c>
    </row>
    <row r="216" spans="1:15" x14ac:dyDescent="0.25">
      <c r="A216">
        <v>215</v>
      </c>
      <c r="B216">
        <v>215</v>
      </c>
      <c r="C216" t="str">
        <f t="shared" si="3"/>
        <v>124Sergio Linares</v>
      </c>
      <c r="D216" s="5">
        <v>124</v>
      </c>
      <c r="E216" s="1" t="s">
        <v>409</v>
      </c>
      <c r="F216" s="1" t="s">
        <v>47</v>
      </c>
      <c r="G216" s="1" t="s">
        <v>399</v>
      </c>
      <c r="H216" s="6" t="s">
        <v>361</v>
      </c>
      <c r="I216" s="20">
        <v>46242.649155092593</v>
      </c>
      <c r="J216" t="str">
        <f>VLOOKUP(C216,'base de datos'!L216:M1427,2,FALSE)</f>
        <v>Tijeras</v>
      </c>
      <c r="K216">
        <v>215</v>
      </c>
      <c r="O216" s="5"/>
    </row>
    <row r="217" spans="1:15" x14ac:dyDescent="0.25">
      <c r="A217">
        <v>216</v>
      </c>
      <c r="B217">
        <v>216</v>
      </c>
      <c r="C217" t="str">
        <f t="shared" si="3"/>
        <v>23Willy Chic</v>
      </c>
      <c r="D217">
        <v>23</v>
      </c>
      <c r="E217" s="1" t="s">
        <v>409</v>
      </c>
      <c r="F217" s="1" t="s">
        <v>47</v>
      </c>
      <c r="G217" s="1" t="s">
        <v>394</v>
      </c>
      <c r="H217" s="6" t="s">
        <v>363</v>
      </c>
      <c r="I217" s="20">
        <v>46243.649155092593</v>
      </c>
      <c r="J217" t="str">
        <f>VLOOKUP(C217,'base de datos'!L217:M1428,2,FALSE)</f>
        <v>Bibra</v>
      </c>
      <c r="K217">
        <v>216</v>
      </c>
    </row>
    <row r="218" spans="1:15" x14ac:dyDescent="0.25">
      <c r="A218">
        <v>217</v>
      </c>
      <c r="B218">
        <v>217</v>
      </c>
      <c r="C218" t="str">
        <f t="shared" si="3"/>
        <v>34Willy Chic</v>
      </c>
      <c r="D218">
        <v>34</v>
      </c>
      <c r="E218" s="1" t="s">
        <v>409</v>
      </c>
      <c r="F218" s="1" t="s">
        <v>47</v>
      </c>
      <c r="G218" s="1" t="s">
        <v>394</v>
      </c>
      <c r="H218" s="6" t="s">
        <v>363</v>
      </c>
      <c r="I218" s="20">
        <v>46244.649155092593</v>
      </c>
      <c r="J218" t="str">
        <f>VLOOKUP(C218,'base de datos'!L218:M1429,2,FALSE)</f>
        <v>Bibra</v>
      </c>
      <c r="K218">
        <v>217</v>
      </c>
    </row>
    <row r="219" spans="1:15" x14ac:dyDescent="0.25">
      <c r="A219">
        <v>218</v>
      </c>
      <c r="B219">
        <v>218</v>
      </c>
      <c r="C219" t="str">
        <f t="shared" si="3"/>
        <v>89Willy Chic</v>
      </c>
      <c r="D219">
        <v>89</v>
      </c>
      <c r="E219" s="1" t="s">
        <v>409</v>
      </c>
      <c r="F219" s="1" t="s">
        <v>47</v>
      </c>
      <c r="G219" s="1" t="s">
        <v>394</v>
      </c>
      <c r="H219" s="6" t="s">
        <v>363</v>
      </c>
      <c r="I219" s="20">
        <v>46245.649155092593</v>
      </c>
      <c r="J219" t="str">
        <f>VLOOKUP(C219,'base de datos'!L219:M1430,2,FALSE)</f>
        <v>Bibra</v>
      </c>
      <c r="K219">
        <v>218</v>
      </c>
    </row>
    <row r="220" spans="1:15" x14ac:dyDescent="0.25">
      <c r="A220">
        <v>219</v>
      </c>
      <c r="B220">
        <v>219</v>
      </c>
      <c r="C220" t="str">
        <f t="shared" si="3"/>
        <v>95Willy Chic</v>
      </c>
      <c r="D220">
        <v>95</v>
      </c>
      <c r="E220" s="1" t="s">
        <v>409</v>
      </c>
      <c r="F220" s="1" t="s">
        <v>47</v>
      </c>
      <c r="G220" s="1" t="s">
        <v>394</v>
      </c>
      <c r="H220" s="6" t="s">
        <v>363</v>
      </c>
      <c r="I220" s="20">
        <v>46246.649155092593</v>
      </c>
      <c r="J220" t="str">
        <f>VLOOKUP(C220,'base de datos'!L220:M1431,2,FALSE)</f>
        <v>Bibra</v>
      </c>
      <c r="K220">
        <v>219</v>
      </c>
    </row>
    <row r="221" spans="1:15" x14ac:dyDescent="0.25">
      <c r="A221">
        <v>220</v>
      </c>
      <c r="B221">
        <v>220</v>
      </c>
      <c r="C221" t="str">
        <f t="shared" si="3"/>
        <v>139Willy Chic</v>
      </c>
      <c r="D221">
        <v>139</v>
      </c>
      <c r="E221" s="1" t="s">
        <v>409</v>
      </c>
      <c r="F221" s="1" t="s">
        <v>47</v>
      </c>
      <c r="G221" s="1" t="s">
        <v>394</v>
      </c>
      <c r="H221" s="6" t="s">
        <v>363</v>
      </c>
      <c r="I221" s="20">
        <v>46247.649155092593</v>
      </c>
      <c r="J221" t="str">
        <f>VLOOKUP(C221,'base de datos'!L221:M1432,2,FALSE)</f>
        <v>Bibra</v>
      </c>
      <c r="K221">
        <v>220</v>
      </c>
    </row>
    <row r="222" spans="1:15" x14ac:dyDescent="0.25">
      <c r="A222">
        <v>221</v>
      </c>
      <c r="B222">
        <v>221</v>
      </c>
      <c r="C222" t="str">
        <f t="shared" si="3"/>
        <v>156Willy Chic</v>
      </c>
      <c r="D222">
        <v>156</v>
      </c>
      <c r="E222" s="1" t="s">
        <v>409</v>
      </c>
      <c r="F222" s="1" t="s">
        <v>47</v>
      </c>
      <c r="G222" s="1" t="s">
        <v>394</v>
      </c>
      <c r="H222" s="6" t="s">
        <v>363</v>
      </c>
      <c r="I222" s="20">
        <v>46248.649155092593</v>
      </c>
      <c r="J222" t="str">
        <f>VLOOKUP(C222,'base de datos'!L222:M1433,2,FALSE)</f>
        <v>Bibra</v>
      </c>
      <c r="K222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8"/>
  <sheetViews>
    <sheetView workbookViewId="0">
      <selection activeCell="F3" sqref="F3"/>
    </sheetView>
  </sheetViews>
  <sheetFormatPr baseColWidth="10" defaultRowHeight="15" x14ac:dyDescent="0.25"/>
  <cols>
    <col min="2" max="2" width="31" bestFit="1" customWidth="1"/>
    <col min="3" max="3" width="12.42578125" customWidth="1"/>
    <col min="4" max="4" width="57.85546875" bestFit="1" customWidth="1"/>
    <col min="7" max="7" width="19.140625" bestFit="1" customWidth="1"/>
    <col min="8" max="8" width="18.140625" bestFit="1" customWidth="1"/>
    <col min="9" max="9" width="16.1406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244</v>
      </c>
      <c r="H2" t="s">
        <v>247</v>
      </c>
      <c r="I2" t="s">
        <v>248</v>
      </c>
      <c r="J2" t="s">
        <v>249</v>
      </c>
      <c r="K2" t="s">
        <v>250</v>
      </c>
      <c r="L2" t="s">
        <v>251</v>
      </c>
    </row>
    <row r="3" spans="2:12" x14ac:dyDescent="0.25">
      <c r="B3" t="s">
        <v>245</v>
      </c>
      <c r="C3" t="s">
        <v>5</v>
      </c>
      <c r="D3" t="s">
        <v>46</v>
      </c>
      <c r="E3" t="s">
        <v>47</v>
      </c>
      <c r="F3" t="s">
        <v>48</v>
      </c>
      <c r="G3" t="s">
        <v>239</v>
      </c>
      <c r="H3" t="s">
        <v>240</v>
      </c>
      <c r="I3" t="s">
        <v>241</v>
      </c>
      <c r="J3" t="s">
        <v>242</v>
      </c>
      <c r="K3" t="s">
        <v>243</v>
      </c>
      <c r="L3" t="s">
        <v>252</v>
      </c>
    </row>
    <row r="4" spans="2:12" x14ac:dyDescent="0.25">
      <c r="B4" t="s">
        <v>245</v>
      </c>
      <c r="C4" t="s">
        <v>6</v>
      </c>
      <c r="D4" t="s">
        <v>49</v>
      </c>
      <c r="E4" t="s">
        <v>47</v>
      </c>
      <c r="F4" t="s">
        <v>50</v>
      </c>
      <c r="G4" t="s">
        <v>239</v>
      </c>
      <c r="H4" t="s">
        <v>240</v>
      </c>
      <c r="I4" t="s">
        <v>241</v>
      </c>
      <c r="J4" t="s">
        <v>242</v>
      </c>
      <c r="K4" t="s">
        <v>243</v>
      </c>
      <c r="L4" t="s">
        <v>252</v>
      </c>
    </row>
    <row r="5" spans="2:12" x14ac:dyDescent="0.25">
      <c r="B5" t="s">
        <v>245</v>
      </c>
      <c r="C5" t="s">
        <v>7</v>
      </c>
      <c r="D5" t="s">
        <v>51</v>
      </c>
      <c r="E5" t="s">
        <v>47</v>
      </c>
      <c r="F5" t="s">
        <v>50</v>
      </c>
      <c r="G5" t="s">
        <v>239</v>
      </c>
      <c r="H5" t="s">
        <v>240</v>
      </c>
      <c r="I5" t="s">
        <v>241</v>
      </c>
      <c r="J5" t="s">
        <v>242</v>
      </c>
      <c r="K5" t="s">
        <v>243</v>
      </c>
      <c r="L5" t="s">
        <v>252</v>
      </c>
    </row>
    <row r="6" spans="2:12" x14ac:dyDescent="0.25">
      <c r="B6" t="s">
        <v>245</v>
      </c>
      <c r="C6" t="s">
        <v>5</v>
      </c>
      <c r="D6" t="s">
        <v>52</v>
      </c>
      <c r="E6" t="s">
        <v>47</v>
      </c>
      <c r="F6" t="s">
        <v>48</v>
      </c>
      <c r="G6" t="s">
        <v>239</v>
      </c>
      <c r="H6" t="s">
        <v>240</v>
      </c>
      <c r="I6" t="s">
        <v>241</v>
      </c>
      <c r="J6" t="s">
        <v>242</v>
      </c>
      <c r="K6" t="s">
        <v>243</v>
      </c>
      <c r="L6" t="s">
        <v>252</v>
      </c>
    </row>
    <row r="7" spans="2:12" x14ac:dyDescent="0.25">
      <c r="B7" t="s">
        <v>245</v>
      </c>
      <c r="C7" t="s">
        <v>5</v>
      </c>
      <c r="D7" t="s">
        <v>53</v>
      </c>
      <c r="E7" t="s">
        <v>54</v>
      </c>
      <c r="F7" t="s">
        <v>48</v>
      </c>
      <c r="G7" t="s">
        <v>239</v>
      </c>
      <c r="H7" t="s">
        <v>240</v>
      </c>
      <c r="I7" t="s">
        <v>241</v>
      </c>
      <c r="J7" t="s">
        <v>242</v>
      </c>
      <c r="K7" t="s">
        <v>243</v>
      </c>
      <c r="L7" t="s">
        <v>252</v>
      </c>
    </row>
    <row r="8" spans="2:12" x14ac:dyDescent="0.25">
      <c r="B8" t="s">
        <v>245</v>
      </c>
      <c r="C8" t="s">
        <v>8</v>
      </c>
      <c r="D8" t="s">
        <v>55</v>
      </c>
      <c r="E8" t="s">
        <v>47</v>
      </c>
      <c r="F8" t="s">
        <v>50</v>
      </c>
      <c r="G8" t="s">
        <v>239</v>
      </c>
      <c r="H8" t="s">
        <v>240</v>
      </c>
      <c r="I8" t="s">
        <v>241</v>
      </c>
      <c r="J8" t="s">
        <v>242</v>
      </c>
      <c r="K8" t="s">
        <v>243</v>
      </c>
      <c r="L8" t="s">
        <v>252</v>
      </c>
    </row>
    <row r="9" spans="2:12" x14ac:dyDescent="0.25">
      <c r="B9" t="s">
        <v>245</v>
      </c>
      <c r="C9" t="s">
        <v>5</v>
      </c>
      <c r="D9" t="s">
        <v>56</v>
      </c>
      <c r="E9" t="s">
        <v>47</v>
      </c>
      <c r="F9" t="s">
        <v>48</v>
      </c>
      <c r="G9" t="s">
        <v>239</v>
      </c>
      <c r="H9" t="s">
        <v>240</v>
      </c>
      <c r="I9" t="s">
        <v>241</v>
      </c>
      <c r="J9" t="s">
        <v>242</v>
      </c>
      <c r="K9" t="s">
        <v>243</v>
      </c>
      <c r="L9" t="s">
        <v>252</v>
      </c>
    </row>
    <row r="10" spans="2:12" x14ac:dyDescent="0.25">
      <c r="B10" t="s">
        <v>245</v>
      </c>
      <c r="C10" t="s">
        <v>8</v>
      </c>
      <c r="D10" t="s">
        <v>57</v>
      </c>
      <c r="E10" t="s">
        <v>54</v>
      </c>
      <c r="F10" t="s">
        <v>50</v>
      </c>
      <c r="G10" t="s">
        <v>239</v>
      </c>
      <c r="H10" t="s">
        <v>240</v>
      </c>
      <c r="I10" t="s">
        <v>241</v>
      </c>
      <c r="J10" t="s">
        <v>242</v>
      </c>
      <c r="K10" t="s">
        <v>243</v>
      </c>
      <c r="L10" t="s">
        <v>252</v>
      </c>
    </row>
    <row r="11" spans="2:12" x14ac:dyDescent="0.25">
      <c r="B11" t="s">
        <v>246</v>
      </c>
      <c r="C11" t="s">
        <v>5</v>
      </c>
      <c r="D11" t="s">
        <v>46</v>
      </c>
      <c r="E11" t="s">
        <v>47</v>
      </c>
      <c r="F11" t="s">
        <v>58</v>
      </c>
      <c r="G11" t="s">
        <v>239</v>
      </c>
      <c r="H11" t="s">
        <v>240</v>
      </c>
      <c r="I11" t="s">
        <v>241</v>
      </c>
      <c r="J11" t="s">
        <v>242</v>
      </c>
      <c r="K11" t="s">
        <v>243</v>
      </c>
      <c r="L11" t="s">
        <v>295</v>
      </c>
    </row>
    <row r="12" spans="2:12" x14ac:dyDescent="0.25">
      <c r="B12" t="s">
        <v>246</v>
      </c>
      <c r="C12" t="s">
        <v>6</v>
      </c>
      <c r="D12" t="s">
        <v>59</v>
      </c>
      <c r="E12" t="s">
        <v>47</v>
      </c>
      <c r="F12" t="s">
        <v>60</v>
      </c>
      <c r="G12" t="s">
        <v>239</v>
      </c>
      <c r="H12" t="s">
        <v>240</v>
      </c>
      <c r="I12" t="s">
        <v>241</v>
      </c>
      <c r="J12" t="s">
        <v>242</v>
      </c>
      <c r="K12" t="s">
        <v>243</v>
      </c>
      <c r="L12" t="s">
        <v>295</v>
      </c>
    </row>
    <row r="13" spans="2:12" x14ac:dyDescent="0.25">
      <c r="B13" t="s">
        <v>246</v>
      </c>
      <c r="C13" t="s">
        <v>9</v>
      </c>
      <c r="D13" t="s">
        <v>61</v>
      </c>
      <c r="E13" t="s">
        <v>47</v>
      </c>
      <c r="F13" t="s">
        <v>58</v>
      </c>
      <c r="G13" t="s">
        <v>239</v>
      </c>
      <c r="H13" t="s">
        <v>240</v>
      </c>
      <c r="I13" t="s">
        <v>241</v>
      </c>
      <c r="J13" t="s">
        <v>242</v>
      </c>
      <c r="K13" t="s">
        <v>243</v>
      </c>
      <c r="L13" t="s">
        <v>295</v>
      </c>
    </row>
    <row r="14" spans="2:12" x14ac:dyDescent="0.25">
      <c r="B14" t="s">
        <v>246</v>
      </c>
      <c r="C14" t="s">
        <v>5</v>
      </c>
      <c r="D14" t="s">
        <v>52</v>
      </c>
      <c r="E14" t="s">
        <v>47</v>
      </c>
      <c r="F14" t="s">
        <v>58</v>
      </c>
      <c r="G14" t="s">
        <v>239</v>
      </c>
      <c r="H14" t="s">
        <v>240</v>
      </c>
      <c r="I14" t="s">
        <v>241</v>
      </c>
      <c r="J14" t="s">
        <v>242</v>
      </c>
      <c r="K14" t="s">
        <v>243</v>
      </c>
      <c r="L14" t="s">
        <v>295</v>
      </c>
    </row>
    <row r="15" spans="2:12" x14ac:dyDescent="0.25">
      <c r="B15" t="s">
        <v>246</v>
      </c>
      <c r="C15" t="s">
        <v>7</v>
      </c>
      <c r="D15" t="s">
        <v>62</v>
      </c>
      <c r="E15" t="s">
        <v>47</v>
      </c>
      <c r="F15" t="s">
        <v>48</v>
      </c>
      <c r="G15" t="s">
        <v>239</v>
      </c>
      <c r="H15" t="s">
        <v>240</v>
      </c>
      <c r="I15" t="s">
        <v>241</v>
      </c>
      <c r="J15" t="s">
        <v>242</v>
      </c>
      <c r="K15" t="s">
        <v>243</v>
      </c>
      <c r="L15" t="s">
        <v>295</v>
      </c>
    </row>
    <row r="16" spans="2:12" x14ac:dyDescent="0.25">
      <c r="B16" t="s">
        <v>246</v>
      </c>
      <c r="C16" t="s">
        <v>5</v>
      </c>
      <c r="D16" t="s">
        <v>53</v>
      </c>
      <c r="E16" t="s">
        <v>54</v>
      </c>
      <c r="F16" t="s">
        <v>58</v>
      </c>
      <c r="G16" t="s">
        <v>239</v>
      </c>
      <c r="H16" t="s">
        <v>240</v>
      </c>
      <c r="I16" t="s">
        <v>241</v>
      </c>
      <c r="J16" t="s">
        <v>242</v>
      </c>
      <c r="K16" t="s">
        <v>243</v>
      </c>
      <c r="L16" t="s">
        <v>295</v>
      </c>
    </row>
    <row r="17" spans="2:12" x14ac:dyDescent="0.25">
      <c r="B17" t="s">
        <v>246</v>
      </c>
      <c r="C17" t="s">
        <v>9</v>
      </c>
      <c r="D17" t="s">
        <v>63</v>
      </c>
      <c r="E17" t="s">
        <v>47</v>
      </c>
      <c r="F17" t="s">
        <v>58</v>
      </c>
      <c r="G17" t="s">
        <v>239</v>
      </c>
      <c r="H17" t="s">
        <v>240</v>
      </c>
      <c r="I17" t="s">
        <v>241</v>
      </c>
      <c r="J17" t="s">
        <v>242</v>
      </c>
      <c r="K17" t="s">
        <v>243</v>
      </c>
      <c r="L17" t="s">
        <v>295</v>
      </c>
    </row>
    <row r="18" spans="2:12" x14ac:dyDescent="0.25">
      <c r="B18" t="s">
        <v>246</v>
      </c>
      <c r="C18" t="s">
        <v>5</v>
      </c>
      <c r="D18" t="s">
        <v>64</v>
      </c>
      <c r="E18" t="s">
        <v>47</v>
      </c>
      <c r="F18" t="s">
        <v>65</v>
      </c>
      <c r="G18" t="s">
        <v>239</v>
      </c>
      <c r="H18" t="s">
        <v>240</v>
      </c>
      <c r="I18" t="s">
        <v>241</v>
      </c>
      <c r="J18" t="s">
        <v>242</v>
      </c>
      <c r="K18" t="s">
        <v>243</v>
      </c>
      <c r="L18" t="s">
        <v>295</v>
      </c>
    </row>
    <row r="19" spans="2:12" x14ac:dyDescent="0.25">
      <c r="B19" t="s">
        <v>246</v>
      </c>
      <c r="C19" t="s">
        <v>8</v>
      </c>
      <c r="D19" t="s">
        <v>57</v>
      </c>
      <c r="E19" t="s">
        <v>54</v>
      </c>
      <c r="F19" t="s">
        <v>48</v>
      </c>
      <c r="G19" t="s">
        <v>239</v>
      </c>
      <c r="H19" t="s">
        <v>240</v>
      </c>
      <c r="I19" t="s">
        <v>241</v>
      </c>
      <c r="J19" t="s">
        <v>242</v>
      </c>
      <c r="K19" t="s">
        <v>243</v>
      </c>
      <c r="L19" t="s">
        <v>295</v>
      </c>
    </row>
    <row r="20" spans="2:12" x14ac:dyDescent="0.25">
      <c r="B20" t="s">
        <v>10</v>
      </c>
      <c r="C20" t="s">
        <v>5</v>
      </c>
      <c r="D20" t="s">
        <v>46</v>
      </c>
      <c r="E20" t="s">
        <v>47</v>
      </c>
      <c r="F20" t="s">
        <v>48</v>
      </c>
      <c r="G20" t="s">
        <v>239</v>
      </c>
      <c r="H20" t="s">
        <v>240</v>
      </c>
      <c r="I20" t="s">
        <v>241</v>
      </c>
      <c r="J20" t="s">
        <v>242</v>
      </c>
      <c r="K20" t="s">
        <v>243</v>
      </c>
      <c r="L20" t="s">
        <v>295</v>
      </c>
    </row>
    <row r="21" spans="2:12" x14ac:dyDescent="0.25">
      <c r="B21" t="s">
        <v>10</v>
      </c>
      <c r="C21" t="s">
        <v>7</v>
      </c>
      <c r="D21" t="s">
        <v>66</v>
      </c>
      <c r="E21" t="s">
        <v>47</v>
      </c>
      <c r="F21" t="s">
        <v>58</v>
      </c>
      <c r="G21" t="s">
        <v>239</v>
      </c>
      <c r="H21" t="s">
        <v>240</v>
      </c>
      <c r="I21" t="s">
        <v>241</v>
      </c>
      <c r="J21" t="s">
        <v>242</v>
      </c>
      <c r="K21" t="s">
        <v>243</v>
      </c>
      <c r="L21" t="s">
        <v>295</v>
      </c>
    </row>
    <row r="22" spans="2:12" x14ac:dyDescent="0.25">
      <c r="B22" t="s">
        <v>10</v>
      </c>
      <c r="C22" t="s">
        <v>6</v>
      </c>
      <c r="D22" t="s">
        <v>67</v>
      </c>
      <c r="E22" t="s">
        <v>47</v>
      </c>
      <c r="F22" t="s">
        <v>50</v>
      </c>
      <c r="G22" t="s">
        <v>239</v>
      </c>
      <c r="H22" t="s">
        <v>240</v>
      </c>
      <c r="I22" t="s">
        <v>241</v>
      </c>
      <c r="J22" t="s">
        <v>242</v>
      </c>
      <c r="K22" t="s">
        <v>243</v>
      </c>
      <c r="L22" t="s">
        <v>295</v>
      </c>
    </row>
    <row r="23" spans="2:12" x14ac:dyDescent="0.25">
      <c r="B23" t="s">
        <v>10</v>
      </c>
      <c r="C23" t="s">
        <v>5</v>
      </c>
      <c r="D23" t="s">
        <v>52</v>
      </c>
      <c r="E23" t="s">
        <v>47</v>
      </c>
      <c r="F23" t="s">
        <v>48</v>
      </c>
      <c r="G23" t="s">
        <v>239</v>
      </c>
      <c r="H23" t="s">
        <v>240</v>
      </c>
      <c r="I23" t="s">
        <v>241</v>
      </c>
      <c r="J23" t="s">
        <v>242</v>
      </c>
      <c r="K23" t="s">
        <v>243</v>
      </c>
      <c r="L23" t="s">
        <v>295</v>
      </c>
    </row>
    <row r="24" spans="2:12" x14ac:dyDescent="0.25">
      <c r="B24" t="s">
        <v>10</v>
      </c>
      <c r="C24" t="s">
        <v>6</v>
      </c>
      <c r="D24" t="s">
        <v>68</v>
      </c>
      <c r="E24" t="s">
        <v>47</v>
      </c>
      <c r="F24" t="s">
        <v>50</v>
      </c>
      <c r="G24" t="s">
        <v>239</v>
      </c>
      <c r="H24" t="s">
        <v>240</v>
      </c>
      <c r="I24" t="s">
        <v>241</v>
      </c>
      <c r="J24" t="s">
        <v>242</v>
      </c>
      <c r="K24" t="s">
        <v>243</v>
      </c>
      <c r="L24" t="s">
        <v>295</v>
      </c>
    </row>
    <row r="25" spans="2:12" x14ac:dyDescent="0.25">
      <c r="B25" t="s">
        <v>10</v>
      </c>
      <c r="C25" t="s">
        <v>5</v>
      </c>
      <c r="D25" t="s">
        <v>53</v>
      </c>
      <c r="E25" t="s">
        <v>54</v>
      </c>
      <c r="F25" t="s">
        <v>48</v>
      </c>
      <c r="G25" t="s">
        <v>239</v>
      </c>
      <c r="H25" t="s">
        <v>240</v>
      </c>
      <c r="I25" t="s">
        <v>241</v>
      </c>
      <c r="J25" t="s">
        <v>242</v>
      </c>
      <c r="K25" t="s">
        <v>243</v>
      </c>
      <c r="L25" t="s">
        <v>295</v>
      </c>
    </row>
    <row r="26" spans="2:12" x14ac:dyDescent="0.25">
      <c r="B26" t="s">
        <v>10</v>
      </c>
      <c r="C26" t="s">
        <v>7</v>
      </c>
      <c r="D26" t="s">
        <v>69</v>
      </c>
      <c r="E26" t="s">
        <v>47</v>
      </c>
      <c r="F26" t="s">
        <v>58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295</v>
      </c>
    </row>
    <row r="27" spans="2:12" x14ac:dyDescent="0.25">
      <c r="B27" t="s">
        <v>10</v>
      </c>
      <c r="C27" t="s">
        <v>8</v>
      </c>
      <c r="D27" t="s">
        <v>70</v>
      </c>
      <c r="E27" t="s">
        <v>47</v>
      </c>
      <c r="F27" t="s">
        <v>48</v>
      </c>
      <c r="G27" t="s">
        <v>239</v>
      </c>
      <c r="H27" t="s">
        <v>240</v>
      </c>
      <c r="I27" t="s">
        <v>241</v>
      </c>
      <c r="J27" t="s">
        <v>242</v>
      </c>
      <c r="K27" t="s">
        <v>243</v>
      </c>
      <c r="L27" t="s">
        <v>295</v>
      </c>
    </row>
    <row r="28" spans="2:12" x14ac:dyDescent="0.25">
      <c r="B28" t="s">
        <v>10</v>
      </c>
      <c r="C28" t="s">
        <v>5</v>
      </c>
      <c r="D28" t="s">
        <v>64</v>
      </c>
      <c r="E28" t="s">
        <v>47</v>
      </c>
      <c r="F28" t="s">
        <v>48</v>
      </c>
      <c r="G28" t="s">
        <v>239</v>
      </c>
      <c r="H28" t="s">
        <v>240</v>
      </c>
      <c r="I28" t="s">
        <v>241</v>
      </c>
      <c r="J28" t="s">
        <v>242</v>
      </c>
      <c r="K28" t="s">
        <v>243</v>
      </c>
      <c r="L28" t="s">
        <v>295</v>
      </c>
    </row>
    <row r="29" spans="2:12" x14ac:dyDescent="0.25">
      <c r="B29" t="s">
        <v>10</v>
      </c>
      <c r="C29" t="s">
        <v>8</v>
      </c>
      <c r="D29" t="s">
        <v>57</v>
      </c>
      <c r="E29" t="s">
        <v>47</v>
      </c>
      <c r="F29" t="s">
        <v>71</v>
      </c>
      <c r="G29" t="s">
        <v>239</v>
      </c>
      <c r="H29" t="s">
        <v>240</v>
      </c>
      <c r="I29" t="s">
        <v>241</v>
      </c>
      <c r="J29" t="s">
        <v>242</v>
      </c>
      <c r="K29" t="s">
        <v>243</v>
      </c>
      <c r="L29" t="s">
        <v>295</v>
      </c>
    </row>
    <row r="30" spans="2:12" x14ac:dyDescent="0.25">
      <c r="B30" t="s">
        <v>11</v>
      </c>
      <c r="C30" t="s">
        <v>5</v>
      </c>
      <c r="D30" t="s">
        <v>46</v>
      </c>
      <c r="E30" t="s">
        <v>47</v>
      </c>
      <c r="F30" t="s">
        <v>48</v>
      </c>
      <c r="G30" t="s">
        <v>239</v>
      </c>
      <c r="H30" t="s">
        <v>296</v>
      </c>
      <c r="I30" t="s">
        <v>294</v>
      </c>
      <c r="J30" t="s">
        <v>294</v>
      </c>
      <c r="K30" t="s">
        <v>294</v>
      </c>
      <c r="L30" t="s">
        <v>294</v>
      </c>
    </row>
    <row r="31" spans="2:12" x14ac:dyDescent="0.25">
      <c r="B31" t="s">
        <v>11</v>
      </c>
      <c r="C31" t="s">
        <v>7</v>
      </c>
      <c r="D31" t="s">
        <v>66</v>
      </c>
      <c r="E31" t="s">
        <v>47</v>
      </c>
      <c r="F31" t="s">
        <v>58</v>
      </c>
      <c r="G31" t="s">
        <v>239</v>
      </c>
      <c r="H31" t="s">
        <v>296</v>
      </c>
      <c r="I31" t="s">
        <v>294</v>
      </c>
      <c r="J31" t="s">
        <v>294</v>
      </c>
      <c r="K31" t="s">
        <v>294</v>
      </c>
      <c r="L31" t="s">
        <v>294</v>
      </c>
    </row>
    <row r="32" spans="2:12" x14ac:dyDescent="0.25">
      <c r="B32" t="s">
        <v>11</v>
      </c>
      <c r="C32" t="s">
        <v>6</v>
      </c>
      <c r="D32" t="s">
        <v>67</v>
      </c>
      <c r="E32" t="s">
        <v>47</v>
      </c>
      <c r="F32" t="s">
        <v>50</v>
      </c>
      <c r="G32" t="s">
        <v>239</v>
      </c>
      <c r="H32" t="s">
        <v>296</v>
      </c>
      <c r="I32" t="s">
        <v>294</v>
      </c>
      <c r="J32" t="s">
        <v>294</v>
      </c>
      <c r="K32" t="s">
        <v>294</v>
      </c>
      <c r="L32" t="s">
        <v>294</v>
      </c>
    </row>
    <row r="33" spans="2:12" x14ac:dyDescent="0.25">
      <c r="B33" t="s">
        <v>11</v>
      </c>
      <c r="C33" t="s">
        <v>5</v>
      </c>
      <c r="D33" t="s">
        <v>52</v>
      </c>
      <c r="E33" t="s">
        <v>47</v>
      </c>
      <c r="F33" t="s">
        <v>48</v>
      </c>
      <c r="G33" t="s">
        <v>239</v>
      </c>
      <c r="H33" t="s">
        <v>296</v>
      </c>
      <c r="I33" t="s">
        <v>294</v>
      </c>
      <c r="J33" t="s">
        <v>294</v>
      </c>
      <c r="K33" t="s">
        <v>294</v>
      </c>
      <c r="L33" t="s">
        <v>294</v>
      </c>
    </row>
    <row r="34" spans="2:12" x14ac:dyDescent="0.25">
      <c r="B34" t="s">
        <v>11</v>
      </c>
      <c r="C34" t="s">
        <v>6</v>
      </c>
      <c r="D34" t="s">
        <v>68</v>
      </c>
      <c r="E34" t="s">
        <v>47</v>
      </c>
      <c r="F34" t="s">
        <v>50</v>
      </c>
      <c r="G34" t="s">
        <v>239</v>
      </c>
      <c r="H34" t="s">
        <v>296</v>
      </c>
      <c r="I34" t="s">
        <v>294</v>
      </c>
      <c r="J34" t="s">
        <v>294</v>
      </c>
      <c r="K34" t="s">
        <v>294</v>
      </c>
      <c r="L34" t="s">
        <v>294</v>
      </c>
    </row>
    <row r="35" spans="2:12" x14ac:dyDescent="0.25">
      <c r="B35" t="s">
        <v>11</v>
      </c>
      <c r="C35" t="s">
        <v>5</v>
      </c>
      <c r="D35" t="s">
        <v>53</v>
      </c>
      <c r="E35" t="s">
        <v>54</v>
      </c>
      <c r="F35" t="s">
        <v>48</v>
      </c>
      <c r="G35" t="s">
        <v>239</v>
      </c>
      <c r="H35" t="s">
        <v>296</v>
      </c>
      <c r="I35" t="s">
        <v>294</v>
      </c>
      <c r="J35" t="s">
        <v>294</v>
      </c>
      <c r="K35" t="s">
        <v>294</v>
      </c>
      <c r="L35" t="s">
        <v>294</v>
      </c>
    </row>
    <row r="36" spans="2:12" x14ac:dyDescent="0.25">
      <c r="B36" t="s">
        <v>11</v>
      </c>
      <c r="C36" t="s">
        <v>7</v>
      </c>
      <c r="D36" t="s">
        <v>69</v>
      </c>
      <c r="E36" t="s">
        <v>47</v>
      </c>
      <c r="F36" t="s">
        <v>58</v>
      </c>
      <c r="G36" t="s">
        <v>239</v>
      </c>
      <c r="H36" t="s">
        <v>296</v>
      </c>
      <c r="I36" t="s">
        <v>294</v>
      </c>
      <c r="J36" t="s">
        <v>294</v>
      </c>
      <c r="K36" t="s">
        <v>294</v>
      </c>
      <c r="L36" t="s">
        <v>294</v>
      </c>
    </row>
    <row r="37" spans="2:12" x14ac:dyDescent="0.25">
      <c r="B37" t="s">
        <v>11</v>
      </c>
      <c r="C37" t="s">
        <v>8</v>
      </c>
      <c r="D37" t="s">
        <v>70</v>
      </c>
      <c r="E37" t="s">
        <v>47</v>
      </c>
      <c r="F37" t="s">
        <v>48</v>
      </c>
      <c r="G37" t="s">
        <v>239</v>
      </c>
      <c r="H37" t="s">
        <v>296</v>
      </c>
      <c r="I37" t="s">
        <v>294</v>
      </c>
      <c r="J37" t="s">
        <v>294</v>
      </c>
      <c r="K37" t="s">
        <v>294</v>
      </c>
      <c r="L37" t="s">
        <v>294</v>
      </c>
    </row>
    <row r="38" spans="2:12" x14ac:dyDescent="0.25">
      <c r="B38" t="s">
        <v>11</v>
      </c>
      <c r="C38" t="s">
        <v>6</v>
      </c>
      <c r="D38" t="s">
        <v>72</v>
      </c>
      <c r="E38" t="s">
        <v>54</v>
      </c>
      <c r="F38" t="s">
        <v>50</v>
      </c>
      <c r="G38" t="s">
        <v>239</v>
      </c>
      <c r="H38" t="s">
        <v>296</v>
      </c>
      <c r="I38" t="s">
        <v>294</v>
      </c>
      <c r="J38" t="s">
        <v>294</v>
      </c>
      <c r="K38" t="s">
        <v>294</v>
      </c>
      <c r="L38" t="s">
        <v>294</v>
      </c>
    </row>
    <row r="39" spans="2:12" x14ac:dyDescent="0.25">
      <c r="B39" t="s">
        <v>11</v>
      </c>
      <c r="C39" t="s">
        <v>5</v>
      </c>
      <c r="D39" t="s">
        <v>64</v>
      </c>
      <c r="E39" t="s">
        <v>47</v>
      </c>
      <c r="F39" t="s">
        <v>48</v>
      </c>
      <c r="G39" t="s">
        <v>239</v>
      </c>
      <c r="H39" t="s">
        <v>296</v>
      </c>
      <c r="I39" t="s">
        <v>294</v>
      </c>
      <c r="J39" t="s">
        <v>294</v>
      </c>
      <c r="K39" t="s">
        <v>294</v>
      </c>
      <c r="L39" t="s">
        <v>294</v>
      </c>
    </row>
    <row r="40" spans="2:12" x14ac:dyDescent="0.25">
      <c r="B40" t="s">
        <v>11</v>
      </c>
      <c r="C40" t="s">
        <v>8</v>
      </c>
      <c r="D40" t="s">
        <v>57</v>
      </c>
      <c r="E40" t="s">
        <v>47</v>
      </c>
      <c r="F40" t="s">
        <v>71</v>
      </c>
      <c r="G40" t="s">
        <v>239</v>
      </c>
      <c r="H40" t="s">
        <v>297</v>
      </c>
      <c r="I40" t="s">
        <v>294</v>
      </c>
      <c r="J40" t="s">
        <v>294</v>
      </c>
      <c r="K40" t="s">
        <v>294</v>
      </c>
      <c r="L40" t="s">
        <v>295</v>
      </c>
    </row>
    <row r="41" spans="2:12" x14ac:dyDescent="0.25">
      <c r="B41" t="s">
        <v>12</v>
      </c>
      <c r="C41" t="s">
        <v>5</v>
      </c>
      <c r="D41" t="s">
        <v>46</v>
      </c>
      <c r="E41" t="s">
        <v>47</v>
      </c>
      <c r="F41" t="s">
        <v>48</v>
      </c>
      <c r="G41" t="s">
        <v>239</v>
      </c>
      <c r="H41" t="s">
        <v>297</v>
      </c>
      <c r="I41" t="s">
        <v>294</v>
      </c>
      <c r="J41" t="s">
        <v>294</v>
      </c>
      <c r="K41" t="s">
        <v>294</v>
      </c>
      <c r="L41" t="s">
        <v>295</v>
      </c>
    </row>
    <row r="42" spans="2:12" x14ac:dyDescent="0.25">
      <c r="B42" t="s">
        <v>12</v>
      </c>
      <c r="C42" t="s">
        <v>7</v>
      </c>
      <c r="D42" t="s">
        <v>66</v>
      </c>
      <c r="E42" t="s">
        <v>47</v>
      </c>
      <c r="F42" t="s">
        <v>58</v>
      </c>
      <c r="G42" t="s">
        <v>239</v>
      </c>
      <c r="H42" t="s">
        <v>297</v>
      </c>
      <c r="I42" t="s">
        <v>294</v>
      </c>
      <c r="J42" t="s">
        <v>294</v>
      </c>
      <c r="K42" t="s">
        <v>294</v>
      </c>
      <c r="L42" t="s">
        <v>295</v>
      </c>
    </row>
    <row r="43" spans="2:12" x14ac:dyDescent="0.25">
      <c r="B43" t="s">
        <v>12</v>
      </c>
      <c r="C43" t="s">
        <v>6</v>
      </c>
      <c r="D43" t="s">
        <v>67</v>
      </c>
      <c r="E43" t="s">
        <v>47</v>
      </c>
      <c r="F43" t="s">
        <v>50</v>
      </c>
      <c r="G43" t="s">
        <v>239</v>
      </c>
      <c r="H43" t="s">
        <v>297</v>
      </c>
      <c r="I43" t="s">
        <v>294</v>
      </c>
      <c r="J43" t="s">
        <v>294</v>
      </c>
      <c r="K43" t="s">
        <v>294</v>
      </c>
      <c r="L43" t="s">
        <v>295</v>
      </c>
    </row>
    <row r="44" spans="2:12" x14ac:dyDescent="0.25">
      <c r="B44" t="s">
        <v>12</v>
      </c>
      <c r="C44" t="s">
        <v>7</v>
      </c>
      <c r="D44" t="s">
        <v>52</v>
      </c>
      <c r="E44" t="s">
        <v>47</v>
      </c>
      <c r="F44" t="s">
        <v>48</v>
      </c>
      <c r="G44" t="s">
        <v>239</v>
      </c>
      <c r="H44" t="s">
        <v>297</v>
      </c>
      <c r="I44" t="s">
        <v>294</v>
      </c>
      <c r="J44" t="s">
        <v>294</v>
      </c>
      <c r="K44" t="s">
        <v>294</v>
      </c>
      <c r="L44" t="s">
        <v>295</v>
      </c>
    </row>
    <row r="45" spans="2:12" x14ac:dyDescent="0.25">
      <c r="B45" t="s">
        <v>12</v>
      </c>
      <c r="C45" t="s">
        <v>6</v>
      </c>
      <c r="D45" t="s">
        <v>68</v>
      </c>
      <c r="E45" t="s">
        <v>47</v>
      </c>
      <c r="F45" t="s">
        <v>50</v>
      </c>
      <c r="G45" t="s">
        <v>239</v>
      </c>
      <c r="H45" t="s">
        <v>297</v>
      </c>
      <c r="I45" t="s">
        <v>294</v>
      </c>
      <c r="J45" t="s">
        <v>294</v>
      </c>
      <c r="K45" t="s">
        <v>294</v>
      </c>
      <c r="L45" t="s">
        <v>295</v>
      </c>
    </row>
    <row r="46" spans="2:12" x14ac:dyDescent="0.25">
      <c r="B46" t="s">
        <v>12</v>
      </c>
      <c r="C46" t="s">
        <v>7</v>
      </c>
      <c r="D46" t="s">
        <v>53</v>
      </c>
      <c r="E46" t="s">
        <v>54</v>
      </c>
      <c r="F46" t="s">
        <v>48</v>
      </c>
      <c r="G46" t="s">
        <v>239</v>
      </c>
      <c r="H46" t="s">
        <v>297</v>
      </c>
      <c r="I46" t="s">
        <v>294</v>
      </c>
      <c r="J46" t="s">
        <v>294</v>
      </c>
      <c r="K46" t="s">
        <v>294</v>
      </c>
      <c r="L46" t="s">
        <v>295</v>
      </c>
    </row>
    <row r="47" spans="2:12" x14ac:dyDescent="0.25">
      <c r="B47" t="s">
        <v>12</v>
      </c>
      <c r="C47" t="s">
        <v>7</v>
      </c>
      <c r="D47" t="s">
        <v>69</v>
      </c>
      <c r="E47" t="s">
        <v>47</v>
      </c>
      <c r="F47" t="s">
        <v>58</v>
      </c>
      <c r="G47" t="s">
        <v>239</v>
      </c>
      <c r="H47" t="s">
        <v>297</v>
      </c>
      <c r="I47" t="s">
        <v>294</v>
      </c>
      <c r="J47" t="s">
        <v>294</v>
      </c>
      <c r="K47" t="s">
        <v>294</v>
      </c>
      <c r="L47" t="s">
        <v>295</v>
      </c>
    </row>
    <row r="48" spans="2:12" x14ac:dyDescent="0.25">
      <c r="B48" t="s">
        <v>12</v>
      </c>
      <c r="C48" t="s">
        <v>8</v>
      </c>
      <c r="D48" t="s">
        <v>70</v>
      </c>
      <c r="E48" t="s">
        <v>47</v>
      </c>
      <c r="F48" t="s">
        <v>48</v>
      </c>
      <c r="G48" t="s">
        <v>239</v>
      </c>
      <c r="H48" t="s">
        <v>297</v>
      </c>
      <c r="I48" t="s">
        <v>294</v>
      </c>
      <c r="J48" t="s">
        <v>294</v>
      </c>
      <c r="K48" t="s">
        <v>294</v>
      </c>
      <c r="L48" t="s">
        <v>295</v>
      </c>
    </row>
    <row r="49" spans="2:12" x14ac:dyDescent="0.25">
      <c r="B49" t="s">
        <v>12</v>
      </c>
      <c r="C49" t="s">
        <v>13</v>
      </c>
      <c r="D49" t="s">
        <v>72</v>
      </c>
      <c r="E49" t="s">
        <v>54</v>
      </c>
      <c r="F49" t="s">
        <v>50</v>
      </c>
      <c r="G49" t="s">
        <v>239</v>
      </c>
      <c r="H49" t="s">
        <v>297</v>
      </c>
      <c r="I49" t="s">
        <v>294</v>
      </c>
      <c r="J49" t="s">
        <v>294</v>
      </c>
      <c r="K49" t="s">
        <v>294</v>
      </c>
      <c r="L49" t="s">
        <v>295</v>
      </c>
    </row>
    <row r="50" spans="2:12" x14ac:dyDescent="0.25">
      <c r="B50" t="s">
        <v>12</v>
      </c>
      <c r="C50" t="s">
        <v>9</v>
      </c>
      <c r="D50" t="s">
        <v>64</v>
      </c>
      <c r="E50" t="s">
        <v>47</v>
      </c>
      <c r="F50" t="s">
        <v>48</v>
      </c>
      <c r="G50" t="s">
        <v>239</v>
      </c>
      <c r="H50" t="s">
        <v>297</v>
      </c>
      <c r="I50" t="s">
        <v>294</v>
      </c>
      <c r="J50" t="s">
        <v>294</v>
      </c>
      <c r="K50" t="s">
        <v>294</v>
      </c>
      <c r="L50" t="s">
        <v>295</v>
      </c>
    </row>
    <row r="51" spans="2:12" x14ac:dyDescent="0.25">
      <c r="B51" t="s">
        <v>12</v>
      </c>
      <c r="C51" t="s">
        <v>8</v>
      </c>
      <c r="D51" t="s">
        <v>57</v>
      </c>
      <c r="E51" t="s">
        <v>47</v>
      </c>
      <c r="F51" t="s">
        <v>71</v>
      </c>
      <c r="G51" t="s">
        <v>239</v>
      </c>
      <c r="H51" t="s">
        <v>297</v>
      </c>
      <c r="I51" t="s">
        <v>294</v>
      </c>
      <c r="J51" t="s">
        <v>294</v>
      </c>
      <c r="K51" t="s">
        <v>294</v>
      </c>
      <c r="L51" t="s">
        <v>295</v>
      </c>
    </row>
    <row r="52" spans="2:12" x14ac:dyDescent="0.25">
      <c r="B52" t="s">
        <v>14</v>
      </c>
      <c r="C52" t="s">
        <v>5</v>
      </c>
      <c r="D52" t="s">
        <v>46</v>
      </c>
      <c r="E52" t="s">
        <v>47</v>
      </c>
      <c r="F52" t="s">
        <v>48</v>
      </c>
      <c r="G52" t="s">
        <v>239</v>
      </c>
      <c r="H52" t="s">
        <v>240</v>
      </c>
      <c r="I52" t="s">
        <v>241</v>
      </c>
      <c r="J52" t="s">
        <v>242</v>
      </c>
      <c r="K52" t="s">
        <v>243</v>
      </c>
      <c r="L52" t="s">
        <v>295</v>
      </c>
    </row>
    <row r="53" spans="2:12" x14ac:dyDescent="0.25">
      <c r="B53" t="s">
        <v>14</v>
      </c>
      <c r="C53" t="s">
        <v>7</v>
      </c>
      <c r="D53" t="s">
        <v>73</v>
      </c>
      <c r="E53" t="s">
        <v>47</v>
      </c>
      <c r="F53" t="s">
        <v>48</v>
      </c>
      <c r="G53" t="s">
        <v>239</v>
      </c>
      <c r="H53" t="s">
        <v>240</v>
      </c>
      <c r="I53" t="s">
        <v>241</v>
      </c>
      <c r="J53" t="s">
        <v>242</v>
      </c>
      <c r="K53" t="s">
        <v>243</v>
      </c>
      <c r="L53" t="s">
        <v>295</v>
      </c>
    </row>
    <row r="54" spans="2:12" x14ac:dyDescent="0.25">
      <c r="B54" t="s">
        <v>14</v>
      </c>
      <c r="C54" t="s">
        <v>7</v>
      </c>
      <c r="D54" t="s">
        <v>74</v>
      </c>
      <c r="E54" t="s">
        <v>47</v>
      </c>
      <c r="F54" t="s">
        <v>48</v>
      </c>
      <c r="G54" t="s">
        <v>239</v>
      </c>
      <c r="H54" t="s">
        <v>240</v>
      </c>
      <c r="I54" t="s">
        <v>241</v>
      </c>
      <c r="J54" t="s">
        <v>242</v>
      </c>
      <c r="K54" t="s">
        <v>243</v>
      </c>
      <c r="L54" t="s">
        <v>295</v>
      </c>
    </row>
    <row r="55" spans="2:12" x14ac:dyDescent="0.25">
      <c r="B55" t="s">
        <v>14</v>
      </c>
      <c r="C55" t="s">
        <v>7</v>
      </c>
      <c r="D55" t="s">
        <v>75</v>
      </c>
      <c r="E55" t="s">
        <v>47</v>
      </c>
      <c r="F55" t="s">
        <v>48</v>
      </c>
      <c r="G55" t="s">
        <v>239</v>
      </c>
      <c r="H55" t="s">
        <v>240</v>
      </c>
      <c r="I55" t="s">
        <v>241</v>
      </c>
      <c r="J55" t="s">
        <v>242</v>
      </c>
      <c r="K55" t="s">
        <v>243</v>
      </c>
      <c r="L55" t="s">
        <v>295</v>
      </c>
    </row>
    <row r="56" spans="2:12" x14ac:dyDescent="0.25">
      <c r="B56" t="s">
        <v>14</v>
      </c>
      <c r="C56" t="s">
        <v>5</v>
      </c>
      <c r="D56" t="s">
        <v>52</v>
      </c>
      <c r="E56" t="s">
        <v>47</v>
      </c>
      <c r="F56" t="s">
        <v>48</v>
      </c>
      <c r="G56" t="s">
        <v>239</v>
      </c>
      <c r="H56" t="s">
        <v>240</v>
      </c>
      <c r="I56" t="s">
        <v>241</v>
      </c>
      <c r="J56" t="s">
        <v>242</v>
      </c>
      <c r="K56" t="s">
        <v>243</v>
      </c>
      <c r="L56" t="s">
        <v>295</v>
      </c>
    </row>
    <row r="57" spans="2:12" x14ac:dyDescent="0.25">
      <c r="B57" t="s">
        <v>14</v>
      </c>
      <c r="C57" t="s">
        <v>5</v>
      </c>
      <c r="D57" t="s">
        <v>53</v>
      </c>
      <c r="E57" t="s">
        <v>54</v>
      </c>
      <c r="F57" t="s">
        <v>48</v>
      </c>
      <c r="G57" t="s">
        <v>239</v>
      </c>
      <c r="H57" t="s">
        <v>240</v>
      </c>
      <c r="I57" t="s">
        <v>241</v>
      </c>
      <c r="J57" t="s">
        <v>242</v>
      </c>
      <c r="K57" t="s">
        <v>243</v>
      </c>
      <c r="L57" t="s">
        <v>295</v>
      </c>
    </row>
    <row r="58" spans="2:12" x14ac:dyDescent="0.25">
      <c r="B58" t="s">
        <v>14</v>
      </c>
      <c r="C58" t="s">
        <v>5</v>
      </c>
      <c r="D58" t="s">
        <v>64</v>
      </c>
      <c r="E58" t="s">
        <v>47</v>
      </c>
      <c r="F58" t="s">
        <v>48</v>
      </c>
      <c r="G58" t="s">
        <v>239</v>
      </c>
      <c r="H58" t="s">
        <v>240</v>
      </c>
      <c r="I58" t="s">
        <v>241</v>
      </c>
      <c r="J58" t="s">
        <v>242</v>
      </c>
      <c r="K58" t="s">
        <v>243</v>
      </c>
      <c r="L58" t="s">
        <v>295</v>
      </c>
    </row>
    <row r="59" spans="2:12" x14ac:dyDescent="0.25">
      <c r="B59" t="s">
        <v>14</v>
      </c>
      <c r="C59" t="s">
        <v>7</v>
      </c>
      <c r="D59" t="s">
        <v>76</v>
      </c>
      <c r="E59" t="s">
        <v>47</v>
      </c>
      <c r="F59" t="s">
        <v>77</v>
      </c>
      <c r="G59" t="s">
        <v>239</v>
      </c>
      <c r="H59" t="s">
        <v>240</v>
      </c>
      <c r="I59" t="s">
        <v>241</v>
      </c>
      <c r="J59" t="s">
        <v>242</v>
      </c>
      <c r="K59" t="s">
        <v>243</v>
      </c>
      <c r="L59" t="s">
        <v>295</v>
      </c>
    </row>
    <row r="60" spans="2:12" x14ac:dyDescent="0.25">
      <c r="B60" t="s">
        <v>15</v>
      </c>
      <c r="C60" t="s">
        <v>5</v>
      </c>
      <c r="D60" t="s">
        <v>46</v>
      </c>
      <c r="E60" t="s">
        <v>47</v>
      </c>
      <c r="F60" t="s">
        <v>48</v>
      </c>
      <c r="G60" t="s">
        <v>239</v>
      </c>
      <c r="H60" t="s">
        <v>240</v>
      </c>
      <c r="I60" t="s">
        <v>294</v>
      </c>
      <c r="J60" t="s">
        <v>242</v>
      </c>
      <c r="K60" t="s">
        <v>294</v>
      </c>
      <c r="L60" t="s">
        <v>295</v>
      </c>
    </row>
    <row r="61" spans="2:12" x14ac:dyDescent="0.25">
      <c r="B61" t="s">
        <v>15</v>
      </c>
      <c r="C61" t="s">
        <v>7</v>
      </c>
      <c r="D61" t="s">
        <v>66</v>
      </c>
      <c r="E61" t="s">
        <v>47</v>
      </c>
      <c r="F61" t="s">
        <v>77</v>
      </c>
      <c r="G61" t="s">
        <v>239</v>
      </c>
      <c r="H61" t="s">
        <v>240</v>
      </c>
      <c r="I61" t="s">
        <v>294</v>
      </c>
      <c r="J61" t="s">
        <v>242</v>
      </c>
      <c r="K61" t="s">
        <v>294</v>
      </c>
      <c r="L61" t="s">
        <v>295</v>
      </c>
    </row>
    <row r="62" spans="2:12" x14ac:dyDescent="0.25">
      <c r="B62" t="s">
        <v>15</v>
      </c>
      <c r="C62" t="s">
        <v>6</v>
      </c>
      <c r="D62" t="s">
        <v>78</v>
      </c>
      <c r="E62" t="s">
        <v>47</v>
      </c>
      <c r="F62" t="s">
        <v>50</v>
      </c>
      <c r="G62" t="s">
        <v>239</v>
      </c>
      <c r="H62" t="s">
        <v>240</v>
      </c>
      <c r="I62" t="s">
        <v>294</v>
      </c>
      <c r="J62" t="s">
        <v>242</v>
      </c>
      <c r="K62" t="s">
        <v>294</v>
      </c>
      <c r="L62" t="s">
        <v>295</v>
      </c>
    </row>
    <row r="63" spans="2:12" x14ac:dyDescent="0.25">
      <c r="B63" t="s">
        <v>15</v>
      </c>
      <c r="C63" t="s">
        <v>5</v>
      </c>
      <c r="D63" t="s">
        <v>52</v>
      </c>
      <c r="E63" t="s">
        <v>47</v>
      </c>
      <c r="F63" t="s">
        <v>48</v>
      </c>
      <c r="G63" t="s">
        <v>239</v>
      </c>
      <c r="H63" t="s">
        <v>240</v>
      </c>
      <c r="I63" t="s">
        <v>294</v>
      </c>
      <c r="J63" t="s">
        <v>242</v>
      </c>
      <c r="K63" t="s">
        <v>294</v>
      </c>
      <c r="L63" t="s">
        <v>295</v>
      </c>
    </row>
    <row r="64" spans="2:12" x14ac:dyDescent="0.25">
      <c r="B64" t="s">
        <v>15</v>
      </c>
      <c r="C64" t="s">
        <v>5</v>
      </c>
      <c r="D64" t="s">
        <v>53</v>
      </c>
      <c r="E64" t="s">
        <v>54</v>
      </c>
      <c r="F64" t="s">
        <v>48</v>
      </c>
      <c r="G64" t="s">
        <v>239</v>
      </c>
      <c r="H64" t="s">
        <v>240</v>
      </c>
      <c r="I64" t="s">
        <v>294</v>
      </c>
      <c r="J64" t="s">
        <v>242</v>
      </c>
      <c r="K64" t="s">
        <v>294</v>
      </c>
      <c r="L64" t="s">
        <v>295</v>
      </c>
    </row>
    <row r="65" spans="2:12" x14ac:dyDescent="0.25">
      <c r="B65" t="s">
        <v>15</v>
      </c>
      <c r="C65" t="s">
        <v>7</v>
      </c>
      <c r="D65" t="s">
        <v>79</v>
      </c>
      <c r="E65" t="s">
        <v>47</v>
      </c>
      <c r="F65" t="s">
        <v>48</v>
      </c>
      <c r="G65" t="s">
        <v>239</v>
      </c>
      <c r="H65" t="s">
        <v>240</v>
      </c>
      <c r="I65" t="s">
        <v>294</v>
      </c>
      <c r="J65" t="s">
        <v>242</v>
      </c>
      <c r="K65" t="s">
        <v>294</v>
      </c>
      <c r="L65" t="s">
        <v>295</v>
      </c>
    </row>
    <row r="66" spans="2:12" x14ac:dyDescent="0.25">
      <c r="B66" t="s">
        <v>15</v>
      </c>
      <c r="C66" t="s">
        <v>8</v>
      </c>
      <c r="D66" t="s">
        <v>80</v>
      </c>
      <c r="E66" t="s">
        <v>47</v>
      </c>
      <c r="F66" t="s">
        <v>48</v>
      </c>
      <c r="G66" t="s">
        <v>239</v>
      </c>
      <c r="H66" t="s">
        <v>240</v>
      </c>
      <c r="I66" t="s">
        <v>294</v>
      </c>
      <c r="J66" t="s">
        <v>242</v>
      </c>
      <c r="K66" t="s">
        <v>294</v>
      </c>
      <c r="L66" t="s">
        <v>295</v>
      </c>
    </row>
    <row r="67" spans="2:12" x14ac:dyDescent="0.25">
      <c r="B67" t="s">
        <v>15</v>
      </c>
      <c r="C67" t="s">
        <v>5</v>
      </c>
      <c r="D67" t="s">
        <v>64</v>
      </c>
      <c r="E67" t="s">
        <v>47</v>
      </c>
      <c r="F67" t="s">
        <v>48</v>
      </c>
      <c r="G67" t="s">
        <v>239</v>
      </c>
      <c r="H67" t="s">
        <v>240</v>
      </c>
      <c r="I67" t="s">
        <v>294</v>
      </c>
      <c r="J67" t="s">
        <v>242</v>
      </c>
      <c r="K67" t="s">
        <v>294</v>
      </c>
      <c r="L67" t="s">
        <v>295</v>
      </c>
    </row>
    <row r="68" spans="2:12" x14ac:dyDescent="0.25">
      <c r="B68" t="s">
        <v>15</v>
      </c>
      <c r="C68" t="s">
        <v>8</v>
      </c>
      <c r="D68" t="s">
        <v>81</v>
      </c>
      <c r="E68" t="s">
        <v>47</v>
      </c>
      <c r="F68" t="s">
        <v>77</v>
      </c>
      <c r="G68" t="s">
        <v>239</v>
      </c>
      <c r="H68" t="s">
        <v>240</v>
      </c>
      <c r="I68" t="s">
        <v>294</v>
      </c>
      <c r="J68" t="s">
        <v>242</v>
      </c>
      <c r="K68" t="s">
        <v>294</v>
      </c>
      <c r="L68" t="s">
        <v>295</v>
      </c>
    </row>
    <row r="69" spans="2:12" x14ac:dyDescent="0.25">
      <c r="B69" t="s">
        <v>15</v>
      </c>
      <c r="C69" t="s">
        <v>8</v>
      </c>
      <c r="D69" t="s">
        <v>57</v>
      </c>
      <c r="E69" t="s">
        <v>47</v>
      </c>
      <c r="F69" t="s">
        <v>77</v>
      </c>
      <c r="G69" t="s">
        <v>239</v>
      </c>
      <c r="H69" t="s">
        <v>240</v>
      </c>
      <c r="I69" t="s">
        <v>294</v>
      </c>
      <c r="J69" t="s">
        <v>242</v>
      </c>
      <c r="K69" t="s">
        <v>294</v>
      </c>
      <c r="L69" t="s">
        <v>295</v>
      </c>
    </row>
    <row r="70" spans="2:12" x14ac:dyDescent="0.25">
      <c r="B70" t="s">
        <v>16</v>
      </c>
      <c r="C70" t="s">
        <v>7</v>
      </c>
      <c r="D70" t="s">
        <v>46</v>
      </c>
      <c r="E70" t="s">
        <v>47</v>
      </c>
      <c r="F70" t="s">
        <v>82</v>
      </c>
      <c r="G70" t="s">
        <v>239</v>
      </c>
      <c r="H70" t="s">
        <v>294</v>
      </c>
      <c r="I70" t="s">
        <v>294</v>
      </c>
      <c r="J70" t="s">
        <v>294</v>
      </c>
      <c r="K70" t="s">
        <v>294</v>
      </c>
      <c r="L70" t="s">
        <v>252</v>
      </c>
    </row>
    <row r="71" spans="2:12" x14ac:dyDescent="0.25">
      <c r="B71" t="s">
        <v>16</v>
      </c>
      <c r="C71" t="s">
        <v>13</v>
      </c>
      <c r="D71" t="s">
        <v>83</v>
      </c>
      <c r="E71" t="s">
        <v>47</v>
      </c>
      <c r="F71" t="s">
        <v>50</v>
      </c>
      <c r="G71" t="s">
        <v>239</v>
      </c>
      <c r="H71" t="s">
        <v>294</v>
      </c>
      <c r="I71" t="s">
        <v>294</v>
      </c>
      <c r="J71" t="s">
        <v>294</v>
      </c>
      <c r="K71" t="s">
        <v>294</v>
      </c>
      <c r="L71" t="s">
        <v>252</v>
      </c>
    </row>
    <row r="72" spans="2:12" x14ac:dyDescent="0.25">
      <c r="B72" t="s">
        <v>16</v>
      </c>
      <c r="C72" t="s">
        <v>13</v>
      </c>
      <c r="D72" t="s">
        <v>84</v>
      </c>
      <c r="E72" t="s">
        <v>47</v>
      </c>
      <c r="F72" t="s">
        <v>77</v>
      </c>
      <c r="G72" t="s">
        <v>239</v>
      </c>
      <c r="H72" t="s">
        <v>294</v>
      </c>
      <c r="I72" t="s">
        <v>294</v>
      </c>
      <c r="J72" t="s">
        <v>294</v>
      </c>
      <c r="K72" t="s">
        <v>294</v>
      </c>
      <c r="L72" t="s">
        <v>252</v>
      </c>
    </row>
    <row r="73" spans="2:12" x14ac:dyDescent="0.25">
      <c r="B73" t="s">
        <v>16</v>
      </c>
      <c r="C73" t="s">
        <v>13</v>
      </c>
      <c r="D73" t="s">
        <v>85</v>
      </c>
      <c r="E73" t="s">
        <v>54</v>
      </c>
      <c r="F73" t="s">
        <v>71</v>
      </c>
      <c r="G73" t="s">
        <v>239</v>
      </c>
      <c r="H73" t="s">
        <v>294</v>
      </c>
      <c r="I73" t="s">
        <v>294</v>
      </c>
      <c r="J73" t="s">
        <v>294</v>
      </c>
      <c r="K73" t="s">
        <v>294</v>
      </c>
      <c r="L73" t="s">
        <v>252</v>
      </c>
    </row>
    <row r="74" spans="2:12" x14ac:dyDescent="0.25">
      <c r="B74" t="s">
        <v>16</v>
      </c>
      <c r="C74" t="s">
        <v>13</v>
      </c>
      <c r="D74" t="s">
        <v>86</v>
      </c>
      <c r="E74" t="s">
        <v>54</v>
      </c>
      <c r="F74" t="s">
        <v>71</v>
      </c>
      <c r="G74" t="s">
        <v>239</v>
      </c>
      <c r="H74" t="s">
        <v>294</v>
      </c>
      <c r="I74" t="s">
        <v>294</v>
      </c>
      <c r="J74" t="s">
        <v>294</v>
      </c>
      <c r="K74" t="s">
        <v>294</v>
      </c>
      <c r="L74" t="s">
        <v>252</v>
      </c>
    </row>
    <row r="75" spans="2:12" x14ac:dyDescent="0.25">
      <c r="B75" t="s">
        <v>16</v>
      </c>
      <c r="C75" t="s">
        <v>7</v>
      </c>
      <c r="D75" t="s">
        <v>87</v>
      </c>
      <c r="E75" t="s">
        <v>54</v>
      </c>
      <c r="F75" t="s">
        <v>82</v>
      </c>
      <c r="G75" t="s">
        <v>239</v>
      </c>
      <c r="H75" t="s">
        <v>294</v>
      </c>
      <c r="I75" t="s">
        <v>294</v>
      </c>
      <c r="J75" t="s">
        <v>294</v>
      </c>
      <c r="K75" t="s">
        <v>294</v>
      </c>
      <c r="L75" t="s">
        <v>252</v>
      </c>
    </row>
    <row r="76" spans="2:12" x14ac:dyDescent="0.25">
      <c r="B76" t="s">
        <v>16</v>
      </c>
      <c r="C76" t="s">
        <v>8</v>
      </c>
      <c r="D76" t="s">
        <v>88</v>
      </c>
      <c r="E76" t="s">
        <v>54</v>
      </c>
      <c r="F76" t="s">
        <v>89</v>
      </c>
      <c r="G76" t="s">
        <v>239</v>
      </c>
      <c r="H76" t="s">
        <v>294</v>
      </c>
      <c r="I76" t="s">
        <v>294</v>
      </c>
      <c r="J76" t="s">
        <v>294</v>
      </c>
      <c r="K76" t="s">
        <v>294</v>
      </c>
      <c r="L76" t="s">
        <v>252</v>
      </c>
    </row>
    <row r="77" spans="2:12" x14ac:dyDescent="0.25">
      <c r="B77" t="s">
        <v>16</v>
      </c>
      <c r="C77" t="s">
        <v>7</v>
      </c>
      <c r="D77" t="s">
        <v>90</v>
      </c>
      <c r="E77" t="s">
        <v>54</v>
      </c>
      <c r="F77" t="s">
        <v>89</v>
      </c>
      <c r="G77" t="s">
        <v>239</v>
      </c>
      <c r="H77" t="s">
        <v>294</v>
      </c>
      <c r="I77" t="s">
        <v>294</v>
      </c>
      <c r="J77" t="s">
        <v>294</v>
      </c>
      <c r="K77" t="s">
        <v>294</v>
      </c>
      <c r="L77" t="s">
        <v>252</v>
      </c>
    </row>
    <row r="78" spans="2:12" x14ac:dyDescent="0.25">
      <c r="B78" t="s">
        <v>16</v>
      </c>
      <c r="C78" t="s">
        <v>8</v>
      </c>
      <c r="D78" t="s">
        <v>91</v>
      </c>
      <c r="E78" t="s">
        <v>54</v>
      </c>
      <c r="F78" t="s">
        <v>50</v>
      </c>
      <c r="G78" t="s">
        <v>239</v>
      </c>
      <c r="H78" t="s">
        <v>294</v>
      </c>
      <c r="I78" t="s">
        <v>294</v>
      </c>
      <c r="J78" t="s">
        <v>294</v>
      </c>
      <c r="K78" t="s">
        <v>294</v>
      </c>
      <c r="L78" t="s">
        <v>252</v>
      </c>
    </row>
    <row r="79" spans="2:12" x14ac:dyDescent="0.25">
      <c r="B79" t="s">
        <v>17</v>
      </c>
      <c r="C79" t="s">
        <v>5</v>
      </c>
      <c r="D79" t="s">
        <v>46</v>
      </c>
      <c r="E79" t="s">
        <v>47</v>
      </c>
      <c r="F79" t="s">
        <v>48</v>
      </c>
      <c r="G79" t="s">
        <v>239</v>
      </c>
      <c r="H79" t="s">
        <v>240</v>
      </c>
      <c r="I79" t="s">
        <v>241</v>
      </c>
      <c r="J79" t="s">
        <v>242</v>
      </c>
      <c r="K79" t="s">
        <v>243</v>
      </c>
      <c r="L79" t="s">
        <v>252</v>
      </c>
    </row>
    <row r="80" spans="2:12" x14ac:dyDescent="0.25">
      <c r="B80" t="s">
        <v>17</v>
      </c>
      <c r="C80" t="s">
        <v>7</v>
      </c>
      <c r="D80" t="s">
        <v>92</v>
      </c>
      <c r="E80" t="s">
        <v>47</v>
      </c>
      <c r="F80" t="s">
        <v>48</v>
      </c>
      <c r="G80" t="s">
        <v>239</v>
      </c>
      <c r="H80" t="s">
        <v>240</v>
      </c>
      <c r="I80" t="s">
        <v>241</v>
      </c>
      <c r="J80" t="s">
        <v>242</v>
      </c>
      <c r="K80" t="s">
        <v>243</v>
      </c>
      <c r="L80" t="s">
        <v>252</v>
      </c>
    </row>
    <row r="81" spans="2:12" x14ac:dyDescent="0.25">
      <c r="B81" t="s">
        <v>17</v>
      </c>
      <c r="C81" t="s">
        <v>5</v>
      </c>
      <c r="D81" t="s">
        <v>52</v>
      </c>
      <c r="E81" t="s">
        <v>47</v>
      </c>
      <c r="F81" t="s">
        <v>48</v>
      </c>
      <c r="G81" t="s">
        <v>239</v>
      </c>
      <c r="H81" t="s">
        <v>240</v>
      </c>
      <c r="I81" t="s">
        <v>241</v>
      </c>
      <c r="J81" t="s">
        <v>242</v>
      </c>
      <c r="K81" t="s">
        <v>243</v>
      </c>
      <c r="L81" t="s">
        <v>252</v>
      </c>
    </row>
    <row r="82" spans="2:12" x14ac:dyDescent="0.25">
      <c r="B82" t="s">
        <v>17</v>
      </c>
      <c r="C82" t="s">
        <v>7</v>
      </c>
      <c r="D82" t="s">
        <v>93</v>
      </c>
      <c r="E82" t="s">
        <v>47</v>
      </c>
      <c r="F82" t="s">
        <v>48</v>
      </c>
      <c r="G82" t="s">
        <v>239</v>
      </c>
      <c r="H82" t="s">
        <v>240</v>
      </c>
      <c r="I82" t="s">
        <v>241</v>
      </c>
      <c r="J82" t="s">
        <v>242</v>
      </c>
      <c r="K82" t="s">
        <v>243</v>
      </c>
      <c r="L82" t="s">
        <v>252</v>
      </c>
    </row>
    <row r="83" spans="2:12" x14ac:dyDescent="0.25">
      <c r="B83" t="s">
        <v>17</v>
      </c>
      <c r="C83" t="s">
        <v>5</v>
      </c>
      <c r="D83" t="s">
        <v>53</v>
      </c>
      <c r="E83" t="s">
        <v>54</v>
      </c>
      <c r="F83" t="s">
        <v>48</v>
      </c>
      <c r="G83" t="s">
        <v>239</v>
      </c>
      <c r="H83" t="s">
        <v>240</v>
      </c>
      <c r="I83" t="s">
        <v>241</v>
      </c>
      <c r="J83" t="s">
        <v>242</v>
      </c>
      <c r="K83" t="s">
        <v>243</v>
      </c>
      <c r="L83" t="s">
        <v>252</v>
      </c>
    </row>
    <row r="84" spans="2:12" x14ac:dyDescent="0.25">
      <c r="B84" t="s">
        <v>17</v>
      </c>
      <c r="C84" t="s">
        <v>7</v>
      </c>
      <c r="D84" t="s">
        <v>94</v>
      </c>
      <c r="E84" t="s">
        <v>47</v>
      </c>
      <c r="F84" t="s">
        <v>48</v>
      </c>
      <c r="G84" t="s">
        <v>239</v>
      </c>
      <c r="H84" t="s">
        <v>240</v>
      </c>
      <c r="I84" t="s">
        <v>241</v>
      </c>
      <c r="J84" t="s">
        <v>242</v>
      </c>
      <c r="K84" t="s">
        <v>243</v>
      </c>
      <c r="L84" t="s">
        <v>252</v>
      </c>
    </row>
    <row r="85" spans="2:12" x14ac:dyDescent="0.25">
      <c r="B85" t="s">
        <v>17</v>
      </c>
      <c r="C85" t="s">
        <v>7</v>
      </c>
      <c r="D85" t="s">
        <v>95</v>
      </c>
      <c r="E85" t="s">
        <v>47</v>
      </c>
      <c r="F85" t="s">
        <v>96</v>
      </c>
      <c r="G85" t="s">
        <v>239</v>
      </c>
      <c r="H85" t="s">
        <v>240</v>
      </c>
      <c r="I85" t="s">
        <v>241</v>
      </c>
      <c r="J85" t="s">
        <v>242</v>
      </c>
      <c r="K85" t="s">
        <v>243</v>
      </c>
      <c r="L85" t="s">
        <v>252</v>
      </c>
    </row>
    <row r="86" spans="2:12" x14ac:dyDescent="0.25">
      <c r="B86" t="s">
        <v>17</v>
      </c>
      <c r="C86" t="s">
        <v>5</v>
      </c>
      <c r="D86" t="s">
        <v>64</v>
      </c>
      <c r="E86" t="s">
        <v>47</v>
      </c>
      <c r="F86" t="s">
        <v>48</v>
      </c>
      <c r="G86" t="s">
        <v>239</v>
      </c>
      <c r="H86" t="s">
        <v>240</v>
      </c>
      <c r="I86" t="s">
        <v>241</v>
      </c>
      <c r="J86" t="s">
        <v>242</v>
      </c>
      <c r="K86" t="s">
        <v>243</v>
      </c>
      <c r="L86" t="s">
        <v>252</v>
      </c>
    </row>
    <row r="87" spans="2:12" x14ac:dyDescent="0.25">
      <c r="B87" t="s">
        <v>17</v>
      </c>
      <c r="C87" t="s">
        <v>18</v>
      </c>
      <c r="D87" t="s">
        <v>97</v>
      </c>
      <c r="E87" t="s">
        <v>47</v>
      </c>
      <c r="F87" t="s">
        <v>48</v>
      </c>
      <c r="G87" t="s">
        <v>239</v>
      </c>
      <c r="H87" t="s">
        <v>240</v>
      </c>
      <c r="I87" t="s">
        <v>241</v>
      </c>
      <c r="J87" t="s">
        <v>242</v>
      </c>
      <c r="K87" t="s">
        <v>243</v>
      </c>
      <c r="L87" t="s">
        <v>252</v>
      </c>
    </row>
    <row r="88" spans="2:12" x14ac:dyDescent="0.25">
      <c r="B88" t="s">
        <v>17</v>
      </c>
      <c r="C88" t="s">
        <v>8</v>
      </c>
      <c r="D88" t="s">
        <v>57</v>
      </c>
      <c r="E88" t="s">
        <v>54</v>
      </c>
      <c r="F88" t="s">
        <v>77</v>
      </c>
      <c r="G88" t="s">
        <v>239</v>
      </c>
      <c r="H88" t="s">
        <v>240</v>
      </c>
      <c r="I88" t="s">
        <v>241</v>
      </c>
      <c r="J88" t="s">
        <v>242</v>
      </c>
      <c r="K88" t="s">
        <v>243</v>
      </c>
      <c r="L88" t="s">
        <v>252</v>
      </c>
    </row>
    <row r="89" spans="2:12" x14ac:dyDescent="0.25">
      <c r="B89" t="s">
        <v>19</v>
      </c>
      <c r="C89" t="s">
        <v>5</v>
      </c>
      <c r="D89" t="s">
        <v>46</v>
      </c>
      <c r="E89" t="s">
        <v>47</v>
      </c>
      <c r="F89" t="s">
        <v>48</v>
      </c>
      <c r="G89" t="s">
        <v>239</v>
      </c>
      <c r="H89" t="s">
        <v>240</v>
      </c>
      <c r="I89" t="s">
        <v>241</v>
      </c>
      <c r="J89" t="s">
        <v>242</v>
      </c>
      <c r="K89" t="s">
        <v>243</v>
      </c>
      <c r="L89" t="s">
        <v>252</v>
      </c>
    </row>
    <row r="90" spans="2:12" x14ac:dyDescent="0.25">
      <c r="B90" t="s">
        <v>19</v>
      </c>
      <c r="C90" t="s">
        <v>7</v>
      </c>
      <c r="D90" t="s">
        <v>98</v>
      </c>
      <c r="E90" t="s">
        <v>47</v>
      </c>
      <c r="F90" t="s">
        <v>48</v>
      </c>
      <c r="G90" t="s">
        <v>239</v>
      </c>
      <c r="H90" t="s">
        <v>240</v>
      </c>
      <c r="I90" t="s">
        <v>241</v>
      </c>
      <c r="J90" t="s">
        <v>242</v>
      </c>
      <c r="K90" t="s">
        <v>243</v>
      </c>
      <c r="L90" t="s">
        <v>252</v>
      </c>
    </row>
    <row r="91" spans="2:12" x14ac:dyDescent="0.25">
      <c r="B91" t="s">
        <v>19</v>
      </c>
      <c r="C91" t="s">
        <v>7</v>
      </c>
      <c r="D91" t="s">
        <v>99</v>
      </c>
      <c r="E91" t="s">
        <v>47</v>
      </c>
      <c r="F91" t="s">
        <v>48</v>
      </c>
      <c r="G91" t="s">
        <v>239</v>
      </c>
      <c r="H91" t="s">
        <v>240</v>
      </c>
      <c r="I91" t="s">
        <v>241</v>
      </c>
      <c r="J91" t="s">
        <v>242</v>
      </c>
      <c r="K91" t="s">
        <v>243</v>
      </c>
      <c r="L91" t="s">
        <v>252</v>
      </c>
    </row>
    <row r="92" spans="2:12" x14ac:dyDescent="0.25">
      <c r="B92" t="s">
        <v>19</v>
      </c>
      <c r="C92" t="s">
        <v>8</v>
      </c>
      <c r="D92" t="s">
        <v>100</v>
      </c>
      <c r="E92" t="s">
        <v>47</v>
      </c>
      <c r="F92" t="s">
        <v>82</v>
      </c>
      <c r="G92" t="s">
        <v>239</v>
      </c>
      <c r="H92" t="s">
        <v>240</v>
      </c>
      <c r="I92" t="s">
        <v>241</v>
      </c>
      <c r="J92" t="s">
        <v>242</v>
      </c>
      <c r="K92" t="s">
        <v>243</v>
      </c>
      <c r="L92" t="s">
        <v>252</v>
      </c>
    </row>
    <row r="93" spans="2:12" x14ac:dyDescent="0.25">
      <c r="B93" t="s">
        <v>19</v>
      </c>
      <c r="C93" t="s">
        <v>5</v>
      </c>
      <c r="D93" t="s">
        <v>52</v>
      </c>
      <c r="E93" t="s">
        <v>47</v>
      </c>
      <c r="F93" t="s">
        <v>48</v>
      </c>
      <c r="G93" t="s">
        <v>239</v>
      </c>
      <c r="H93" t="s">
        <v>240</v>
      </c>
      <c r="I93" t="s">
        <v>241</v>
      </c>
      <c r="J93" t="s">
        <v>242</v>
      </c>
      <c r="K93" t="s">
        <v>243</v>
      </c>
      <c r="L93" t="s">
        <v>252</v>
      </c>
    </row>
    <row r="94" spans="2:12" x14ac:dyDescent="0.25">
      <c r="B94" t="s">
        <v>19</v>
      </c>
      <c r="C94" t="s">
        <v>6</v>
      </c>
      <c r="D94" t="s">
        <v>101</v>
      </c>
      <c r="E94" t="s">
        <v>47</v>
      </c>
      <c r="F94" t="s">
        <v>50</v>
      </c>
      <c r="G94" t="s">
        <v>239</v>
      </c>
      <c r="H94" t="s">
        <v>240</v>
      </c>
      <c r="I94" t="s">
        <v>241</v>
      </c>
      <c r="J94" t="s">
        <v>242</v>
      </c>
      <c r="K94" t="s">
        <v>243</v>
      </c>
      <c r="L94" t="s">
        <v>252</v>
      </c>
    </row>
    <row r="95" spans="2:12" x14ac:dyDescent="0.25">
      <c r="B95" t="s">
        <v>19</v>
      </c>
      <c r="C95" t="s">
        <v>5</v>
      </c>
      <c r="D95" t="s">
        <v>102</v>
      </c>
      <c r="E95" t="s">
        <v>47</v>
      </c>
      <c r="F95" t="s">
        <v>65</v>
      </c>
      <c r="G95" t="s">
        <v>239</v>
      </c>
      <c r="H95" t="s">
        <v>240</v>
      </c>
      <c r="I95" t="s">
        <v>241</v>
      </c>
      <c r="J95" t="s">
        <v>242</v>
      </c>
      <c r="K95" t="s">
        <v>243</v>
      </c>
      <c r="L95" t="s">
        <v>252</v>
      </c>
    </row>
    <row r="96" spans="2:12" x14ac:dyDescent="0.25">
      <c r="B96" t="s">
        <v>19</v>
      </c>
      <c r="C96" t="s">
        <v>5</v>
      </c>
      <c r="D96" t="s">
        <v>53</v>
      </c>
      <c r="E96" t="s">
        <v>54</v>
      </c>
      <c r="F96" t="s">
        <v>48</v>
      </c>
      <c r="G96" t="s">
        <v>239</v>
      </c>
      <c r="H96" t="s">
        <v>240</v>
      </c>
      <c r="I96" t="s">
        <v>241</v>
      </c>
      <c r="J96" t="s">
        <v>242</v>
      </c>
      <c r="K96" t="s">
        <v>243</v>
      </c>
      <c r="L96" t="s">
        <v>252</v>
      </c>
    </row>
    <row r="97" spans="2:12" x14ac:dyDescent="0.25">
      <c r="B97" t="s">
        <v>19</v>
      </c>
      <c r="C97" t="s">
        <v>8</v>
      </c>
      <c r="D97" t="s">
        <v>80</v>
      </c>
      <c r="E97" t="s">
        <v>47</v>
      </c>
      <c r="F97" t="s">
        <v>82</v>
      </c>
      <c r="G97" t="s">
        <v>239</v>
      </c>
      <c r="H97" t="s">
        <v>240</v>
      </c>
      <c r="I97" t="s">
        <v>241</v>
      </c>
      <c r="J97" t="s">
        <v>242</v>
      </c>
      <c r="K97" t="s">
        <v>243</v>
      </c>
      <c r="L97" t="s">
        <v>252</v>
      </c>
    </row>
    <row r="98" spans="2:12" x14ac:dyDescent="0.25">
      <c r="B98" t="s">
        <v>19</v>
      </c>
      <c r="C98" t="s">
        <v>20</v>
      </c>
      <c r="D98" t="s">
        <v>103</v>
      </c>
      <c r="E98" t="s">
        <v>47</v>
      </c>
      <c r="F98" t="s">
        <v>48</v>
      </c>
      <c r="G98" t="s">
        <v>239</v>
      </c>
      <c r="H98" t="s">
        <v>240</v>
      </c>
      <c r="I98" t="s">
        <v>241</v>
      </c>
      <c r="J98" t="s">
        <v>242</v>
      </c>
      <c r="K98" t="s">
        <v>243</v>
      </c>
      <c r="L98" t="s">
        <v>252</v>
      </c>
    </row>
    <row r="99" spans="2:12" x14ac:dyDescent="0.25">
      <c r="B99" t="s">
        <v>19</v>
      </c>
      <c r="C99" t="s">
        <v>5</v>
      </c>
      <c r="D99" t="s">
        <v>56</v>
      </c>
      <c r="E99" t="s">
        <v>47</v>
      </c>
      <c r="F99" t="s">
        <v>48</v>
      </c>
      <c r="G99" t="s">
        <v>239</v>
      </c>
      <c r="H99" t="s">
        <v>240</v>
      </c>
      <c r="I99" t="s">
        <v>241</v>
      </c>
      <c r="J99" t="s">
        <v>242</v>
      </c>
      <c r="K99" t="s">
        <v>243</v>
      </c>
      <c r="L99" t="s">
        <v>252</v>
      </c>
    </row>
    <row r="100" spans="2:12" x14ac:dyDescent="0.25">
      <c r="B100" t="s">
        <v>19</v>
      </c>
      <c r="C100" t="s">
        <v>8</v>
      </c>
      <c r="D100" t="s">
        <v>57</v>
      </c>
      <c r="E100" t="s">
        <v>47</v>
      </c>
      <c r="F100" t="s">
        <v>82</v>
      </c>
      <c r="G100" t="s">
        <v>239</v>
      </c>
      <c r="H100" t="s">
        <v>240</v>
      </c>
      <c r="I100" t="s">
        <v>241</v>
      </c>
      <c r="J100" t="s">
        <v>242</v>
      </c>
      <c r="K100" t="s">
        <v>243</v>
      </c>
      <c r="L100" t="s">
        <v>252</v>
      </c>
    </row>
    <row r="101" spans="2:12" x14ac:dyDescent="0.25">
      <c r="B101" t="s">
        <v>19</v>
      </c>
      <c r="C101" t="s">
        <v>7</v>
      </c>
      <c r="D101" t="s">
        <v>104</v>
      </c>
      <c r="E101" t="s">
        <v>47</v>
      </c>
      <c r="F101" t="s">
        <v>48</v>
      </c>
      <c r="G101" t="s">
        <v>239</v>
      </c>
      <c r="H101" t="s">
        <v>240</v>
      </c>
      <c r="I101" t="s">
        <v>241</v>
      </c>
      <c r="J101" t="s">
        <v>242</v>
      </c>
      <c r="K101" t="s">
        <v>243</v>
      </c>
      <c r="L101" t="s">
        <v>252</v>
      </c>
    </row>
    <row r="102" spans="2:12" x14ac:dyDescent="0.25">
      <c r="B102" t="s">
        <v>21</v>
      </c>
      <c r="C102" t="s">
        <v>5</v>
      </c>
      <c r="D102" t="s">
        <v>46</v>
      </c>
      <c r="E102" t="s">
        <v>47</v>
      </c>
      <c r="F102" t="s">
        <v>48</v>
      </c>
      <c r="G102" t="s">
        <v>239</v>
      </c>
      <c r="H102" t="s">
        <v>297</v>
      </c>
      <c r="I102" t="s">
        <v>296</v>
      </c>
      <c r="J102" t="s">
        <v>294</v>
      </c>
      <c r="K102" t="s">
        <v>294</v>
      </c>
      <c r="L102" t="s">
        <v>295</v>
      </c>
    </row>
    <row r="103" spans="2:12" x14ac:dyDescent="0.25">
      <c r="B103" t="s">
        <v>21</v>
      </c>
      <c r="C103" t="s">
        <v>18</v>
      </c>
      <c r="D103" t="s">
        <v>105</v>
      </c>
      <c r="E103" t="s">
        <v>47</v>
      </c>
      <c r="F103" t="s">
        <v>58</v>
      </c>
      <c r="G103" t="s">
        <v>239</v>
      </c>
      <c r="H103" t="s">
        <v>297</v>
      </c>
      <c r="I103" t="s">
        <v>296</v>
      </c>
      <c r="J103" t="s">
        <v>294</v>
      </c>
      <c r="K103" t="s">
        <v>294</v>
      </c>
      <c r="L103" t="s">
        <v>295</v>
      </c>
    </row>
    <row r="104" spans="2:12" x14ac:dyDescent="0.25">
      <c r="B104" t="s">
        <v>21</v>
      </c>
      <c r="C104" t="s">
        <v>5</v>
      </c>
      <c r="D104" t="s">
        <v>52</v>
      </c>
      <c r="E104" t="s">
        <v>47</v>
      </c>
      <c r="F104" t="s">
        <v>48</v>
      </c>
      <c r="G104" t="s">
        <v>239</v>
      </c>
      <c r="H104" t="s">
        <v>297</v>
      </c>
      <c r="I104" t="s">
        <v>296</v>
      </c>
      <c r="J104" t="s">
        <v>294</v>
      </c>
      <c r="K104" t="s">
        <v>294</v>
      </c>
      <c r="L104" t="s">
        <v>295</v>
      </c>
    </row>
    <row r="105" spans="2:12" x14ac:dyDescent="0.25">
      <c r="B105" t="s">
        <v>21</v>
      </c>
      <c r="C105" t="s">
        <v>6</v>
      </c>
      <c r="D105" t="s">
        <v>106</v>
      </c>
      <c r="E105" t="s">
        <v>47</v>
      </c>
      <c r="F105" t="s">
        <v>50</v>
      </c>
      <c r="G105" t="s">
        <v>239</v>
      </c>
      <c r="H105" t="s">
        <v>297</v>
      </c>
      <c r="I105" t="s">
        <v>296</v>
      </c>
      <c r="J105" t="s">
        <v>294</v>
      </c>
      <c r="K105" t="s">
        <v>294</v>
      </c>
      <c r="L105" t="s">
        <v>295</v>
      </c>
    </row>
    <row r="106" spans="2:12" x14ac:dyDescent="0.25">
      <c r="B106" t="s">
        <v>21</v>
      </c>
      <c r="C106" t="s">
        <v>5</v>
      </c>
      <c r="D106" t="s">
        <v>53</v>
      </c>
      <c r="E106" t="s">
        <v>54</v>
      </c>
      <c r="F106" t="s">
        <v>48</v>
      </c>
      <c r="G106" t="s">
        <v>239</v>
      </c>
      <c r="H106" t="s">
        <v>297</v>
      </c>
      <c r="I106" t="s">
        <v>296</v>
      </c>
      <c r="J106" t="s">
        <v>294</v>
      </c>
      <c r="K106" t="s">
        <v>294</v>
      </c>
      <c r="L106" t="s">
        <v>295</v>
      </c>
    </row>
    <row r="107" spans="2:12" x14ac:dyDescent="0.25">
      <c r="B107" t="s">
        <v>21</v>
      </c>
      <c r="C107" t="s">
        <v>5</v>
      </c>
      <c r="D107" t="s">
        <v>107</v>
      </c>
      <c r="E107" t="s">
        <v>47</v>
      </c>
      <c r="F107" t="s">
        <v>58</v>
      </c>
      <c r="G107" t="s">
        <v>239</v>
      </c>
      <c r="H107" t="s">
        <v>297</v>
      </c>
      <c r="I107" t="s">
        <v>296</v>
      </c>
      <c r="J107" t="s">
        <v>294</v>
      </c>
      <c r="K107" t="s">
        <v>294</v>
      </c>
      <c r="L107" t="s">
        <v>295</v>
      </c>
    </row>
    <row r="108" spans="2:12" x14ac:dyDescent="0.25">
      <c r="B108" t="s">
        <v>21</v>
      </c>
      <c r="C108" t="s">
        <v>8</v>
      </c>
      <c r="D108" t="s">
        <v>108</v>
      </c>
      <c r="E108" t="s">
        <v>47</v>
      </c>
      <c r="F108" t="s">
        <v>77</v>
      </c>
      <c r="G108" t="s">
        <v>239</v>
      </c>
      <c r="H108" t="s">
        <v>297</v>
      </c>
      <c r="I108" t="s">
        <v>296</v>
      </c>
      <c r="J108" t="s">
        <v>294</v>
      </c>
      <c r="K108" t="s">
        <v>294</v>
      </c>
      <c r="L108" t="s">
        <v>295</v>
      </c>
    </row>
    <row r="109" spans="2:12" x14ac:dyDescent="0.25">
      <c r="B109" t="s">
        <v>21</v>
      </c>
      <c r="C109" t="s">
        <v>7</v>
      </c>
      <c r="D109" t="s">
        <v>109</v>
      </c>
      <c r="E109" t="s">
        <v>47</v>
      </c>
      <c r="F109" t="s">
        <v>82</v>
      </c>
      <c r="G109" t="s">
        <v>239</v>
      </c>
      <c r="H109" t="s">
        <v>297</v>
      </c>
      <c r="I109" t="s">
        <v>296</v>
      </c>
      <c r="J109" t="s">
        <v>294</v>
      </c>
      <c r="K109" t="s">
        <v>294</v>
      </c>
      <c r="L109" t="s">
        <v>295</v>
      </c>
    </row>
    <row r="110" spans="2:12" x14ac:dyDescent="0.25">
      <c r="B110" t="s">
        <v>21</v>
      </c>
      <c r="C110" t="s">
        <v>5</v>
      </c>
      <c r="D110" t="s">
        <v>64</v>
      </c>
      <c r="E110" t="s">
        <v>47</v>
      </c>
      <c r="F110" t="s">
        <v>48</v>
      </c>
      <c r="G110" t="s">
        <v>239</v>
      </c>
      <c r="H110" t="s">
        <v>297</v>
      </c>
      <c r="I110" t="s">
        <v>296</v>
      </c>
      <c r="J110" t="s">
        <v>294</v>
      </c>
      <c r="K110" t="s">
        <v>294</v>
      </c>
      <c r="L110" t="s">
        <v>295</v>
      </c>
    </row>
    <row r="111" spans="2:12" x14ac:dyDescent="0.25">
      <c r="B111" t="s">
        <v>21</v>
      </c>
      <c r="C111" t="s">
        <v>7</v>
      </c>
      <c r="D111" t="s">
        <v>110</v>
      </c>
      <c r="E111" t="s">
        <v>47</v>
      </c>
      <c r="F111" t="s">
        <v>71</v>
      </c>
      <c r="G111" t="s">
        <v>239</v>
      </c>
      <c r="H111" t="s">
        <v>297</v>
      </c>
      <c r="I111" t="s">
        <v>296</v>
      </c>
      <c r="J111" t="s">
        <v>294</v>
      </c>
      <c r="K111" t="s">
        <v>294</v>
      </c>
      <c r="L111" t="s">
        <v>295</v>
      </c>
    </row>
    <row r="112" spans="2:12" x14ac:dyDescent="0.25">
      <c r="B112" t="s">
        <v>21</v>
      </c>
      <c r="C112" t="s">
        <v>18</v>
      </c>
      <c r="D112" t="s">
        <v>111</v>
      </c>
      <c r="E112" t="s">
        <v>47</v>
      </c>
      <c r="F112" t="s">
        <v>58</v>
      </c>
      <c r="G112" t="s">
        <v>239</v>
      </c>
      <c r="H112" t="s">
        <v>297</v>
      </c>
      <c r="I112" t="s">
        <v>296</v>
      </c>
      <c r="J112" t="s">
        <v>294</v>
      </c>
      <c r="K112" t="s">
        <v>294</v>
      </c>
      <c r="L112" t="s">
        <v>295</v>
      </c>
    </row>
    <row r="113" spans="2:12" x14ac:dyDescent="0.25">
      <c r="B113" t="s">
        <v>22</v>
      </c>
      <c r="C113" t="s">
        <v>5</v>
      </c>
      <c r="D113" t="s">
        <v>46</v>
      </c>
      <c r="E113" t="s">
        <v>47</v>
      </c>
      <c r="F113" t="s">
        <v>48</v>
      </c>
      <c r="G113" t="s">
        <v>239</v>
      </c>
      <c r="H113" t="s">
        <v>296</v>
      </c>
      <c r="I113" t="s">
        <v>294</v>
      </c>
      <c r="J113" t="s">
        <v>294</v>
      </c>
      <c r="K113" t="s">
        <v>294</v>
      </c>
      <c r="L113" t="s">
        <v>295</v>
      </c>
    </row>
    <row r="114" spans="2:12" x14ac:dyDescent="0.25">
      <c r="B114" t="s">
        <v>22</v>
      </c>
      <c r="C114" t="s">
        <v>7</v>
      </c>
      <c r="D114" t="s">
        <v>98</v>
      </c>
      <c r="E114" t="s">
        <v>47</v>
      </c>
      <c r="F114" t="s">
        <v>48</v>
      </c>
      <c r="G114" t="s">
        <v>239</v>
      </c>
      <c r="H114" t="s">
        <v>296</v>
      </c>
      <c r="I114" t="s">
        <v>294</v>
      </c>
      <c r="J114" t="s">
        <v>294</v>
      </c>
      <c r="K114" t="s">
        <v>294</v>
      </c>
      <c r="L114" t="s">
        <v>295</v>
      </c>
    </row>
    <row r="115" spans="2:12" x14ac:dyDescent="0.25">
      <c r="B115" t="s">
        <v>22</v>
      </c>
      <c r="C115" t="s">
        <v>7</v>
      </c>
      <c r="D115" t="s">
        <v>99</v>
      </c>
      <c r="E115" t="s">
        <v>47</v>
      </c>
      <c r="F115" t="s">
        <v>48</v>
      </c>
      <c r="G115" t="s">
        <v>239</v>
      </c>
      <c r="H115" t="s">
        <v>296</v>
      </c>
      <c r="I115" t="s">
        <v>294</v>
      </c>
      <c r="J115" t="s">
        <v>294</v>
      </c>
      <c r="K115" t="s">
        <v>294</v>
      </c>
      <c r="L115" t="s">
        <v>295</v>
      </c>
    </row>
    <row r="116" spans="2:12" x14ac:dyDescent="0.25">
      <c r="B116" t="s">
        <v>22</v>
      </c>
      <c r="C116" t="s">
        <v>8</v>
      </c>
      <c r="D116" t="s">
        <v>100</v>
      </c>
      <c r="E116" t="s">
        <v>47</v>
      </c>
      <c r="F116" t="s">
        <v>82</v>
      </c>
      <c r="G116" t="s">
        <v>239</v>
      </c>
      <c r="H116" t="s">
        <v>296</v>
      </c>
      <c r="I116" t="s">
        <v>294</v>
      </c>
      <c r="J116" t="s">
        <v>294</v>
      </c>
      <c r="K116" t="s">
        <v>294</v>
      </c>
      <c r="L116" t="s">
        <v>295</v>
      </c>
    </row>
    <row r="117" spans="2:12" x14ac:dyDescent="0.25">
      <c r="B117" t="s">
        <v>22</v>
      </c>
      <c r="C117" t="s">
        <v>5</v>
      </c>
      <c r="D117" t="s">
        <v>52</v>
      </c>
      <c r="E117" t="s">
        <v>47</v>
      </c>
      <c r="F117" t="s">
        <v>48</v>
      </c>
      <c r="G117" t="s">
        <v>239</v>
      </c>
      <c r="H117" t="s">
        <v>296</v>
      </c>
      <c r="I117" t="s">
        <v>294</v>
      </c>
      <c r="J117" t="s">
        <v>294</v>
      </c>
      <c r="K117" t="s">
        <v>294</v>
      </c>
      <c r="L117" t="s">
        <v>295</v>
      </c>
    </row>
    <row r="118" spans="2:12" x14ac:dyDescent="0.25">
      <c r="B118" t="s">
        <v>22</v>
      </c>
      <c r="C118" t="s">
        <v>6</v>
      </c>
      <c r="D118" t="s">
        <v>101</v>
      </c>
      <c r="E118" t="s">
        <v>47</v>
      </c>
      <c r="F118" t="s">
        <v>50</v>
      </c>
      <c r="G118" t="s">
        <v>239</v>
      </c>
      <c r="H118" t="s">
        <v>296</v>
      </c>
      <c r="I118" t="s">
        <v>294</v>
      </c>
      <c r="J118" t="s">
        <v>294</v>
      </c>
      <c r="K118" t="s">
        <v>294</v>
      </c>
      <c r="L118" t="s">
        <v>295</v>
      </c>
    </row>
    <row r="119" spans="2:12" x14ac:dyDescent="0.25">
      <c r="B119" t="s">
        <v>22</v>
      </c>
      <c r="C119" t="s">
        <v>5</v>
      </c>
      <c r="D119" t="s">
        <v>102</v>
      </c>
      <c r="E119" t="s">
        <v>47</v>
      </c>
      <c r="F119" t="s">
        <v>65</v>
      </c>
      <c r="G119" t="s">
        <v>239</v>
      </c>
      <c r="H119" t="s">
        <v>296</v>
      </c>
      <c r="I119" t="s">
        <v>294</v>
      </c>
      <c r="J119" t="s">
        <v>294</v>
      </c>
      <c r="K119" t="s">
        <v>294</v>
      </c>
      <c r="L119" t="s">
        <v>295</v>
      </c>
    </row>
    <row r="120" spans="2:12" x14ac:dyDescent="0.25">
      <c r="B120" t="s">
        <v>22</v>
      </c>
      <c r="C120" t="s">
        <v>5</v>
      </c>
      <c r="D120" t="s">
        <v>53</v>
      </c>
      <c r="E120" t="s">
        <v>54</v>
      </c>
      <c r="F120" t="s">
        <v>48</v>
      </c>
      <c r="G120" t="s">
        <v>239</v>
      </c>
      <c r="H120" t="s">
        <v>296</v>
      </c>
      <c r="I120" t="s">
        <v>294</v>
      </c>
      <c r="J120" t="s">
        <v>294</v>
      </c>
      <c r="K120" t="s">
        <v>294</v>
      </c>
      <c r="L120" t="s">
        <v>295</v>
      </c>
    </row>
    <row r="121" spans="2:12" x14ac:dyDescent="0.25">
      <c r="B121" t="s">
        <v>22</v>
      </c>
      <c r="C121" t="s">
        <v>8</v>
      </c>
      <c r="D121" t="s">
        <v>80</v>
      </c>
      <c r="E121" t="s">
        <v>47</v>
      </c>
      <c r="F121" t="s">
        <v>82</v>
      </c>
      <c r="G121" t="s">
        <v>239</v>
      </c>
      <c r="H121" t="s">
        <v>296</v>
      </c>
      <c r="I121" t="s">
        <v>294</v>
      </c>
      <c r="J121" t="s">
        <v>294</v>
      </c>
      <c r="K121" t="s">
        <v>294</v>
      </c>
      <c r="L121" t="s">
        <v>295</v>
      </c>
    </row>
    <row r="122" spans="2:12" x14ac:dyDescent="0.25">
      <c r="B122" t="s">
        <v>22</v>
      </c>
      <c r="C122" t="s">
        <v>20</v>
      </c>
      <c r="D122" t="s">
        <v>103</v>
      </c>
      <c r="E122" t="s">
        <v>47</v>
      </c>
      <c r="F122" t="s">
        <v>48</v>
      </c>
      <c r="G122" t="s">
        <v>239</v>
      </c>
      <c r="H122" t="s">
        <v>296</v>
      </c>
      <c r="I122" t="s">
        <v>294</v>
      </c>
      <c r="J122" t="s">
        <v>294</v>
      </c>
      <c r="K122" t="s">
        <v>294</v>
      </c>
      <c r="L122" t="s">
        <v>295</v>
      </c>
    </row>
    <row r="123" spans="2:12" x14ac:dyDescent="0.25">
      <c r="B123" t="s">
        <v>22</v>
      </c>
      <c r="C123" t="s">
        <v>5</v>
      </c>
      <c r="D123" t="s">
        <v>56</v>
      </c>
      <c r="E123" t="s">
        <v>47</v>
      </c>
      <c r="F123" t="s">
        <v>48</v>
      </c>
      <c r="G123" t="s">
        <v>239</v>
      </c>
      <c r="H123" t="s">
        <v>296</v>
      </c>
      <c r="I123" t="s">
        <v>294</v>
      </c>
      <c r="J123" t="s">
        <v>294</v>
      </c>
      <c r="K123" t="s">
        <v>294</v>
      </c>
      <c r="L123" t="s">
        <v>295</v>
      </c>
    </row>
    <row r="124" spans="2:12" x14ac:dyDescent="0.25">
      <c r="B124" t="s">
        <v>22</v>
      </c>
      <c r="C124" t="s">
        <v>8</v>
      </c>
      <c r="D124" t="s">
        <v>57</v>
      </c>
      <c r="E124" t="s">
        <v>47</v>
      </c>
      <c r="F124" t="s">
        <v>82</v>
      </c>
      <c r="G124" t="s">
        <v>239</v>
      </c>
      <c r="H124" t="s">
        <v>296</v>
      </c>
      <c r="I124" t="s">
        <v>294</v>
      </c>
      <c r="J124" t="s">
        <v>294</v>
      </c>
      <c r="K124" t="s">
        <v>294</v>
      </c>
      <c r="L124" t="s">
        <v>295</v>
      </c>
    </row>
    <row r="125" spans="2:12" x14ac:dyDescent="0.25">
      <c r="B125" t="s">
        <v>22</v>
      </c>
      <c r="C125" t="s">
        <v>7</v>
      </c>
      <c r="D125" t="s">
        <v>104</v>
      </c>
      <c r="E125" t="s">
        <v>47</v>
      </c>
      <c r="F125" t="s">
        <v>48</v>
      </c>
      <c r="G125" t="s">
        <v>239</v>
      </c>
      <c r="H125" t="s">
        <v>296</v>
      </c>
      <c r="I125" t="s">
        <v>294</v>
      </c>
      <c r="J125" t="s">
        <v>294</v>
      </c>
      <c r="K125" t="s">
        <v>294</v>
      </c>
      <c r="L125" t="s">
        <v>295</v>
      </c>
    </row>
    <row r="126" spans="2:12" x14ac:dyDescent="0.25">
      <c r="B126" t="s">
        <v>23</v>
      </c>
      <c r="C126" t="s">
        <v>7</v>
      </c>
      <c r="D126" t="s">
        <v>46</v>
      </c>
      <c r="E126" t="s">
        <v>47</v>
      </c>
      <c r="F126" t="s">
        <v>48</v>
      </c>
      <c r="G126" t="s">
        <v>239</v>
      </c>
      <c r="H126" t="s">
        <v>297</v>
      </c>
      <c r="I126" t="s">
        <v>294</v>
      </c>
      <c r="J126" t="s">
        <v>294</v>
      </c>
      <c r="K126" t="s">
        <v>294</v>
      </c>
      <c r="L126" t="s">
        <v>295</v>
      </c>
    </row>
    <row r="127" spans="2:12" x14ac:dyDescent="0.25">
      <c r="B127" t="s">
        <v>23</v>
      </c>
      <c r="C127" t="s">
        <v>13</v>
      </c>
      <c r="D127" t="s">
        <v>112</v>
      </c>
      <c r="E127" t="s">
        <v>54</v>
      </c>
      <c r="F127" t="s">
        <v>89</v>
      </c>
      <c r="G127" t="s">
        <v>239</v>
      </c>
      <c r="H127" t="s">
        <v>297</v>
      </c>
      <c r="I127" t="s">
        <v>294</v>
      </c>
      <c r="J127" t="s">
        <v>294</v>
      </c>
      <c r="K127" t="s">
        <v>294</v>
      </c>
      <c r="L127" t="s">
        <v>295</v>
      </c>
    </row>
    <row r="128" spans="2:12" x14ac:dyDescent="0.25">
      <c r="B128" t="s">
        <v>23</v>
      </c>
      <c r="C128" t="s">
        <v>7</v>
      </c>
      <c r="D128" t="s">
        <v>105</v>
      </c>
      <c r="E128" t="s">
        <v>47</v>
      </c>
      <c r="F128" t="s">
        <v>58</v>
      </c>
      <c r="G128" t="s">
        <v>239</v>
      </c>
      <c r="H128" t="s">
        <v>297</v>
      </c>
      <c r="I128" t="s">
        <v>294</v>
      </c>
      <c r="J128" t="s">
        <v>294</v>
      </c>
      <c r="K128" t="s">
        <v>294</v>
      </c>
      <c r="L128" t="s">
        <v>295</v>
      </c>
    </row>
    <row r="129" spans="2:12" x14ac:dyDescent="0.25">
      <c r="B129" t="s">
        <v>23</v>
      </c>
      <c r="C129" t="s">
        <v>7</v>
      </c>
      <c r="D129" t="s">
        <v>52</v>
      </c>
      <c r="E129" t="s">
        <v>47</v>
      </c>
      <c r="F129" t="s">
        <v>48</v>
      </c>
      <c r="G129" t="s">
        <v>239</v>
      </c>
      <c r="H129" t="s">
        <v>297</v>
      </c>
      <c r="I129" t="s">
        <v>294</v>
      </c>
      <c r="J129" t="s">
        <v>294</v>
      </c>
      <c r="K129" t="s">
        <v>294</v>
      </c>
      <c r="L129" t="s">
        <v>295</v>
      </c>
    </row>
    <row r="130" spans="2:12" x14ac:dyDescent="0.25">
      <c r="B130" t="s">
        <v>23</v>
      </c>
      <c r="C130" t="s">
        <v>13</v>
      </c>
      <c r="D130" t="s">
        <v>106</v>
      </c>
      <c r="E130" t="s">
        <v>47</v>
      </c>
      <c r="F130" t="s">
        <v>50</v>
      </c>
      <c r="G130" t="s">
        <v>239</v>
      </c>
      <c r="H130" t="s">
        <v>297</v>
      </c>
      <c r="I130" t="s">
        <v>294</v>
      </c>
      <c r="J130" t="s">
        <v>294</v>
      </c>
      <c r="K130" t="s">
        <v>294</v>
      </c>
      <c r="L130" t="s">
        <v>295</v>
      </c>
    </row>
    <row r="131" spans="2:12" x14ac:dyDescent="0.25">
      <c r="B131" t="s">
        <v>23</v>
      </c>
      <c r="C131" t="s">
        <v>7</v>
      </c>
      <c r="D131" t="s">
        <v>53</v>
      </c>
      <c r="E131" t="s">
        <v>54</v>
      </c>
      <c r="F131" t="s">
        <v>48</v>
      </c>
      <c r="G131" t="s">
        <v>239</v>
      </c>
      <c r="H131" t="s">
        <v>297</v>
      </c>
      <c r="I131" t="s">
        <v>294</v>
      </c>
      <c r="J131" t="s">
        <v>294</v>
      </c>
      <c r="K131" t="s">
        <v>294</v>
      </c>
      <c r="L131" t="s">
        <v>295</v>
      </c>
    </row>
    <row r="132" spans="2:12" x14ac:dyDescent="0.25">
      <c r="B132" t="s">
        <v>23</v>
      </c>
      <c r="C132" t="s">
        <v>13</v>
      </c>
      <c r="D132" t="s">
        <v>113</v>
      </c>
      <c r="E132" t="s">
        <v>47</v>
      </c>
      <c r="F132" t="s">
        <v>89</v>
      </c>
      <c r="G132" t="s">
        <v>239</v>
      </c>
      <c r="H132" t="s">
        <v>297</v>
      </c>
      <c r="I132" t="s">
        <v>294</v>
      </c>
      <c r="J132" t="s">
        <v>294</v>
      </c>
      <c r="K132" t="s">
        <v>294</v>
      </c>
      <c r="L132" t="s">
        <v>295</v>
      </c>
    </row>
    <row r="133" spans="2:12" x14ac:dyDescent="0.25">
      <c r="B133" t="s">
        <v>23</v>
      </c>
      <c r="C133" t="s">
        <v>9</v>
      </c>
      <c r="D133" t="s">
        <v>64</v>
      </c>
      <c r="E133" t="s">
        <v>47</v>
      </c>
      <c r="F133" t="s">
        <v>48</v>
      </c>
      <c r="G133" t="s">
        <v>239</v>
      </c>
      <c r="H133" t="s">
        <v>297</v>
      </c>
      <c r="I133" t="s">
        <v>294</v>
      </c>
      <c r="J133" t="s">
        <v>294</v>
      </c>
      <c r="K133" t="s">
        <v>294</v>
      </c>
      <c r="L133" t="s">
        <v>295</v>
      </c>
    </row>
    <row r="134" spans="2:12" x14ac:dyDescent="0.25">
      <c r="B134" t="s">
        <v>23</v>
      </c>
      <c r="C134" t="s">
        <v>8</v>
      </c>
      <c r="D134" t="s">
        <v>114</v>
      </c>
      <c r="E134" t="s">
        <v>47</v>
      </c>
      <c r="F134" t="s">
        <v>58</v>
      </c>
      <c r="G134" t="s">
        <v>239</v>
      </c>
      <c r="H134" t="s">
        <v>297</v>
      </c>
      <c r="I134" t="s">
        <v>294</v>
      </c>
      <c r="J134" t="s">
        <v>294</v>
      </c>
      <c r="K134" t="s">
        <v>294</v>
      </c>
      <c r="L134" t="s">
        <v>295</v>
      </c>
    </row>
    <row r="135" spans="2:12" x14ac:dyDescent="0.25">
      <c r="B135" t="s">
        <v>24</v>
      </c>
      <c r="C135" t="s">
        <v>5</v>
      </c>
      <c r="D135" t="s">
        <v>115</v>
      </c>
      <c r="E135" t="s">
        <v>47</v>
      </c>
      <c r="F135" t="s">
        <v>58</v>
      </c>
      <c r="G135" t="s">
        <v>239</v>
      </c>
      <c r="H135" t="s">
        <v>240</v>
      </c>
      <c r="I135" t="s">
        <v>241</v>
      </c>
      <c r="J135" t="s">
        <v>242</v>
      </c>
      <c r="K135" t="s">
        <v>243</v>
      </c>
      <c r="L135" t="s">
        <v>252</v>
      </c>
    </row>
    <row r="136" spans="2:12" x14ac:dyDescent="0.25">
      <c r="B136" t="s">
        <v>24</v>
      </c>
      <c r="C136" t="s">
        <v>5</v>
      </c>
      <c r="D136" t="s">
        <v>116</v>
      </c>
      <c r="E136" t="s">
        <v>47</v>
      </c>
      <c r="F136" t="s">
        <v>58</v>
      </c>
      <c r="G136" t="s">
        <v>239</v>
      </c>
      <c r="H136" t="s">
        <v>240</v>
      </c>
      <c r="I136" t="s">
        <v>241</v>
      </c>
      <c r="J136" t="s">
        <v>242</v>
      </c>
      <c r="K136" t="s">
        <v>243</v>
      </c>
      <c r="L136" t="s">
        <v>252</v>
      </c>
    </row>
    <row r="137" spans="2:12" x14ac:dyDescent="0.25">
      <c r="B137" t="s">
        <v>24</v>
      </c>
      <c r="C137" t="s">
        <v>5</v>
      </c>
      <c r="D137" t="s">
        <v>117</v>
      </c>
      <c r="E137" t="s">
        <v>47</v>
      </c>
      <c r="F137" t="s">
        <v>96</v>
      </c>
      <c r="G137" t="s">
        <v>239</v>
      </c>
      <c r="H137" t="s">
        <v>240</v>
      </c>
      <c r="I137" t="s">
        <v>241</v>
      </c>
      <c r="J137" t="s">
        <v>242</v>
      </c>
      <c r="K137" t="s">
        <v>243</v>
      </c>
      <c r="L137" t="s">
        <v>252</v>
      </c>
    </row>
    <row r="138" spans="2:12" x14ac:dyDescent="0.25">
      <c r="B138" t="s">
        <v>24</v>
      </c>
      <c r="C138" t="s">
        <v>5</v>
      </c>
      <c r="D138" t="s">
        <v>46</v>
      </c>
      <c r="E138" t="s">
        <v>47</v>
      </c>
      <c r="F138" t="s">
        <v>96</v>
      </c>
      <c r="G138" t="s">
        <v>239</v>
      </c>
      <c r="H138" t="s">
        <v>240</v>
      </c>
      <c r="I138" t="s">
        <v>241</v>
      </c>
      <c r="J138" t="s">
        <v>242</v>
      </c>
      <c r="K138" t="s">
        <v>243</v>
      </c>
      <c r="L138" t="s">
        <v>252</v>
      </c>
    </row>
    <row r="139" spans="2:12" x14ac:dyDescent="0.25">
      <c r="B139" t="s">
        <v>24</v>
      </c>
      <c r="C139" t="s">
        <v>7</v>
      </c>
      <c r="D139" t="s">
        <v>118</v>
      </c>
      <c r="E139" t="s">
        <v>47</v>
      </c>
      <c r="F139" t="s">
        <v>71</v>
      </c>
      <c r="G139" t="s">
        <v>239</v>
      </c>
      <c r="H139" t="s">
        <v>240</v>
      </c>
      <c r="I139" t="s">
        <v>241</v>
      </c>
      <c r="J139" t="s">
        <v>242</v>
      </c>
      <c r="K139" t="s">
        <v>243</v>
      </c>
      <c r="L139" t="s">
        <v>252</v>
      </c>
    </row>
    <row r="140" spans="2:12" x14ac:dyDescent="0.25">
      <c r="B140" t="s">
        <v>24</v>
      </c>
      <c r="C140" t="s">
        <v>7</v>
      </c>
      <c r="D140" t="s">
        <v>119</v>
      </c>
      <c r="E140" t="s">
        <v>47</v>
      </c>
      <c r="F140" t="s">
        <v>71</v>
      </c>
      <c r="G140" t="s">
        <v>239</v>
      </c>
      <c r="H140" t="s">
        <v>240</v>
      </c>
      <c r="I140" t="s">
        <v>241</v>
      </c>
      <c r="J140" t="s">
        <v>242</v>
      </c>
      <c r="K140" t="s">
        <v>243</v>
      </c>
      <c r="L140" t="s">
        <v>252</v>
      </c>
    </row>
    <row r="141" spans="2:12" x14ac:dyDescent="0.25">
      <c r="B141" t="s">
        <v>24</v>
      </c>
      <c r="C141" t="s">
        <v>7</v>
      </c>
      <c r="D141" t="s">
        <v>120</v>
      </c>
      <c r="E141" t="s">
        <v>47</v>
      </c>
      <c r="F141" t="s">
        <v>96</v>
      </c>
      <c r="G141" t="s">
        <v>239</v>
      </c>
      <c r="H141" t="s">
        <v>240</v>
      </c>
      <c r="I141" t="s">
        <v>241</v>
      </c>
      <c r="J141" t="s">
        <v>242</v>
      </c>
      <c r="K141" t="s">
        <v>243</v>
      </c>
      <c r="L141" t="s">
        <v>252</v>
      </c>
    </row>
    <row r="142" spans="2:12" x14ac:dyDescent="0.25">
      <c r="B142" t="s">
        <v>24</v>
      </c>
      <c r="C142" t="s">
        <v>8</v>
      </c>
      <c r="D142" t="s">
        <v>121</v>
      </c>
      <c r="E142" t="s">
        <v>47</v>
      </c>
      <c r="F142" t="s">
        <v>50</v>
      </c>
      <c r="G142" t="s">
        <v>239</v>
      </c>
      <c r="H142" t="s">
        <v>240</v>
      </c>
      <c r="I142" t="s">
        <v>241</v>
      </c>
      <c r="J142" t="s">
        <v>242</v>
      </c>
      <c r="K142" t="s">
        <v>243</v>
      </c>
      <c r="L142" t="s">
        <v>252</v>
      </c>
    </row>
    <row r="143" spans="2:12" x14ac:dyDescent="0.25">
      <c r="B143" t="s">
        <v>24</v>
      </c>
      <c r="C143" t="s">
        <v>18</v>
      </c>
      <c r="D143" t="s">
        <v>122</v>
      </c>
      <c r="E143" t="s">
        <v>47</v>
      </c>
      <c r="F143" t="s">
        <v>48</v>
      </c>
      <c r="G143" t="s">
        <v>239</v>
      </c>
      <c r="H143" t="s">
        <v>240</v>
      </c>
      <c r="I143" t="s">
        <v>241</v>
      </c>
      <c r="J143" t="s">
        <v>242</v>
      </c>
      <c r="K143" t="s">
        <v>243</v>
      </c>
      <c r="L143" t="s">
        <v>252</v>
      </c>
    </row>
    <row r="144" spans="2:12" x14ac:dyDescent="0.25">
      <c r="B144" t="s">
        <v>24</v>
      </c>
      <c r="C144" t="s">
        <v>8</v>
      </c>
      <c r="D144" t="s">
        <v>123</v>
      </c>
      <c r="E144" t="s">
        <v>47</v>
      </c>
      <c r="F144" t="s">
        <v>50</v>
      </c>
      <c r="G144" t="s">
        <v>239</v>
      </c>
      <c r="H144" t="s">
        <v>240</v>
      </c>
      <c r="I144" t="s">
        <v>241</v>
      </c>
      <c r="J144" t="s">
        <v>242</v>
      </c>
      <c r="K144" t="s">
        <v>243</v>
      </c>
      <c r="L144" t="s">
        <v>252</v>
      </c>
    </row>
    <row r="145" spans="2:12" x14ac:dyDescent="0.25">
      <c r="B145" t="s">
        <v>24</v>
      </c>
      <c r="C145" t="s">
        <v>8</v>
      </c>
      <c r="D145" t="s">
        <v>124</v>
      </c>
      <c r="E145" t="s">
        <v>47</v>
      </c>
      <c r="F145" t="s">
        <v>50</v>
      </c>
      <c r="G145" t="s">
        <v>239</v>
      </c>
      <c r="H145" t="s">
        <v>240</v>
      </c>
      <c r="I145" t="s">
        <v>241</v>
      </c>
      <c r="J145" t="s">
        <v>242</v>
      </c>
      <c r="K145" t="s">
        <v>243</v>
      </c>
      <c r="L145" t="s">
        <v>252</v>
      </c>
    </row>
    <row r="146" spans="2:12" x14ac:dyDescent="0.25">
      <c r="B146" t="s">
        <v>24</v>
      </c>
      <c r="C146" t="s">
        <v>8</v>
      </c>
      <c r="D146" t="s">
        <v>125</v>
      </c>
      <c r="E146" t="s">
        <v>47</v>
      </c>
      <c r="F146" t="s">
        <v>50</v>
      </c>
      <c r="G146" t="s">
        <v>239</v>
      </c>
      <c r="H146" t="s">
        <v>240</v>
      </c>
      <c r="I146" t="s">
        <v>241</v>
      </c>
      <c r="J146" t="s">
        <v>242</v>
      </c>
      <c r="K146" t="s">
        <v>243</v>
      </c>
      <c r="L146" t="s">
        <v>252</v>
      </c>
    </row>
    <row r="147" spans="2:12" x14ac:dyDescent="0.25">
      <c r="B147" t="s">
        <v>24</v>
      </c>
      <c r="C147" t="s">
        <v>8</v>
      </c>
      <c r="D147" t="s">
        <v>126</v>
      </c>
      <c r="E147" t="s">
        <v>47</v>
      </c>
      <c r="F147" t="s">
        <v>50</v>
      </c>
      <c r="G147" t="s">
        <v>239</v>
      </c>
      <c r="H147" t="s">
        <v>240</v>
      </c>
      <c r="I147" t="s">
        <v>241</v>
      </c>
      <c r="J147" t="s">
        <v>242</v>
      </c>
      <c r="K147" t="s">
        <v>243</v>
      </c>
      <c r="L147" t="s">
        <v>252</v>
      </c>
    </row>
    <row r="148" spans="2:12" x14ac:dyDescent="0.25">
      <c r="B148" t="s">
        <v>24</v>
      </c>
      <c r="C148" t="s">
        <v>8</v>
      </c>
      <c r="D148" t="s">
        <v>127</v>
      </c>
      <c r="E148" t="s">
        <v>47</v>
      </c>
      <c r="F148" t="s">
        <v>50</v>
      </c>
      <c r="G148" t="s">
        <v>239</v>
      </c>
      <c r="H148" t="s">
        <v>240</v>
      </c>
      <c r="I148" t="s">
        <v>241</v>
      </c>
      <c r="J148" t="s">
        <v>242</v>
      </c>
      <c r="K148" t="s">
        <v>243</v>
      </c>
      <c r="L148" t="s">
        <v>252</v>
      </c>
    </row>
    <row r="149" spans="2:12" x14ac:dyDescent="0.25">
      <c r="B149" t="s">
        <v>24</v>
      </c>
      <c r="C149" t="s">
        <v>8</v>
      </c>
      <c r="D149" t="s">
        <v>128</v>
      </c>
      <c r="E149" t="s">
        <v>47</v>
      </c>
      <c r="F149" t="s">
        <v>50</v>
      </c>
      <c r="G149" t="s">
        <v>239</v>
      </c>
      <c r="H149" t="s">
        <v>240</v>
      </c>
      <c r="I149" t="s">
        <v>241</v>
      </c>
      <c r="J149" t="s">
        <v>242</v>
      </c>
      <c r="K149" t="s">
        <v>243</v>
      </c>
      <c r="L149" t="s">
        <v>252</v>
      </c>
    </row>
    <row r="150" spans="2:12" x14ac:dyDescent="0.25">
      <c r="B150" t="s">
        <v>24</v>
      </c>
      <c r="C150" t="s">
        <v>7</v>
      </c>
      <c r="D150" t="s">
        <v>129</v>
      </c>
      <c r="E150" t="s">
        <v>47</v>
      </c>
      <c r="F150" t="s">
        <v>71</v>
      </c>
      <c r="G150" t="s">
        <v>239</v>
      </c>
      <c r="H150" t="s">
        <v>240</v>
      </c>
      <c r="I150" t="s">
        <v>241</v>
      </c>
      <c r="J150" t="s">
        <v>242</v>
      </c>
      <c r="K150" t="s">
        <v>243</v>
      </c>
      <c r="L150" t="s">
        <v>252</v>
      </c>
    </row>
    <row r="151" spans="2:12" x14ac:dyDescent="0.25">
      <c r="B151" t="s">
        <v>24</v>
      </c>
      <c r="C151" t="s">
        <v>7</v>
      </c>
      <c r="D151" t="s">
        <v>130</v>
      </c>
      <c r="E151" t="s">
        <v>47</v>
      </c>
      <c r="F151" t="s">
        <v>71</v>
      </c>
      <c r="G151" t="s">
        <v>239</v>
      </c>
      <c r="H151" t="s">
        <v>240</v>
      </c>
      <c r="I151" t="s">
        <v>241</v>
      </c>
      <c r="J151" t="s">
        <v>242</v>
      </c>
      <c r="K151" t="s">
        <v>243</v>
      </c>
      <c r="L151" t="s">
        <v>252</v>
      </c>
    </row>
    <row r="152" spans="2:12" x14ac:dyDescent="0.25">
      <c r="B152" t="s">
        <v>24</v>
      </c>
      <c r="C152" t="s">
        <v>7</v>
      </c>
      <c r="D152" t="s">
        <v>131</v>
      </c>
      <c r="E152" t="s">
        <v>47</v>
      </c>
      <c r="F152" t="s">
        <v>71</v>
      </c>
      <c r="G152" t="s">
        <v>239</v>
      </c>
      <c r="H152" t="s">
        <v>240</v>
      </c>
      <c r="I152" t="s">
        <v>241</v>
      </c>
      <c r="J152" t="s">
        <v>242</v>
      </c>
      <c r="K152" t="s">
        <v>243</v>
      </c>
      <c r="L152" t="s">
        <v>252</v>
      </c>
    </row>
    <row r="153" spans="2:12" x14ac:dyDescent="0.25">
      <c r="B153" t="s">
        <v>24</v>
      </c>
      <c r="C153" t="s">
        <v>18</v>
      </c>
      <c r="D153" t="s">
        <v>132</v>
      </c>
      <c r="E153" t="s">
        <v>47</v>
      </c>
      <c r="F153" t="s">
        <v>48</v>
      </c>
      <c r="G153" t="s">
        <v>239</v>
      </c>
      <c r="H153" t="s">
        <v>240</v>
      </c>
      <c r="I153" t="s">
        <v>241</v>
      </c>
      <c r="J153" t="s">
        <v>242</v>
      </c>
      <c r="K153" t="s">
        <v>243</v>
      </c>
      <c r="L153" t="s">
        <v>252</v>
      </c>
    </row>
    <row r="154" spans="2:12" x14ac:dyDescent="0.25">
      <c r="B154" t="s">
        <v>24</v>
      </c>
      <c r="C154" t="s">
        <v>7</v>
      </c>
      <c r="D154" t="s">
        <v>133</v>
      </c>
      <c r="E154" t="s">
        <v>47</v>
      </c>
      <c r="F154" t="s">
        <v>71</v>
      </c>
      <c r="G154" t="s">
        <v>239</v>
      </c>
      <c r="H154" t="s">
        <v>240</v>
      </c>
      <c r="I154" t="s">
        <v>241</v>
      </c>
      <c r="J154" t="s">
        <v>242</v>
      </c>
      <c r="K154" t="s">
        <v>243</v>
      </c>
      <c r="L154" t="s">
        <v>252</v>
      </c>
    </row>
    <row r="155" spans="2:12" x14ac:dyDescent="0.25">
      <c r="B155" t="s">
        <v>24</v>
      </c>
      <c r="C155" t="s">
        <v>7</v>
      </c>
      <c r="D155" t="s">
        <v>134</v>
      </c>
      <c r="E155" t="s">
        <v>47</v>
      </c>
      <c r="F155" t="s">
        <v>71</v>
      </c>
      <c r="G155" t="s">
        <v>239</v>
      </c>
      <c r="H155" t="s">
        <v>240</v>
      </c>
      <c r="I155" t="s">
        <v>241</v>
      </c>
      <c r="J155" t="s">
        <v>242</v>
      </c>
      <c r="K155" t="s">
        <v>243</v>
      </c>
      <c r="L155" t="s">
        <v>252</v>
      </c>
    </row>
    <row r="156" spans="2:12" x14ac:dyDescent="0.25">
      <c r="B156" t="s">
        <v>24</v>
      </c>
      <c r="C156" t="s">
        <v>8</v>
      </c>
      <c r="D156" t="s">
        <v>135</v>
      </c>
      <c r="E156" t="s">
        <v>47</v>
      </c>
      <c r="F156" t="s">
        <v>50</v>
      </c>
      <c r="G156" t="s">
        <v>239</v>
      </c>
      <c r="H156" t="s">
        <v>240</v>
      </c>
      <c r="I156" t="s">
        <v>241</v>
      </c>
      <c r="J156" t="s">
        <v>242</v>
      </c>
      <c r="K156" t="s">
        <v>243</v>
      </c>
      <c r="L156" t="s">
        <v>252</v>
      </c>
    </row>
    <row r="157" spans="2:12" x14ac:dyDescent="0.25">
      <c r="B157" t="s">
        <v>24</v>
      </c>
      <c r="C157" t="s">
        <v>6</v>
      </c>
      <c r="D157" t="s">
        <v>136</v>
      </c>
      <c r="E157" t="s">
        <v>47</v>
      </c>
      <c r="F157" t="s">
        <v>60</v>
      </c>
      <c r="G157" t="s">
        <v>239</v>
      </c>
      <c r="H157" t="s">
        <v>240</v>
      </c>
      <c r="I157" t="s">
        <v>241</v>
      </c>
      <c r="J157" t="s">
        <v>242</v>
      </c>
      <c r="K157" t="s">
        <v>243</v>
      </c>
      <c r="L157" t="s">
        <v>252</v>
      </c>
    </row>
    <row r="158" spans="2:12" x14ac:dyDescent="0.25">
      <c r="B158" t="s">
        <v>24</v>
      </c>
      <c r="C158" t="s">
        <v>7</v>
      </c>
      <c r="D158" t="s">
        <v>137</v>
      </c>
      <c r="E158" t="s">
        <v>47</v>
      </c>
      <c r="F158" t="s">
        <v>71</v>
      </c>
      <c r="G158" t="s">
        <v>239</v>
      </c>
      <c r="H158" t="s">
        <v>240</v>
      </c>
      <c r="I158" t="s">
        <v>241</v>
      </c>
      <c r="J158" t="s">
        <v>242</v>
      </c>
      <c r="K158" t="s">
        <v>243</v>
      </c>
      <c r="L158" t="s">
        <v>252</v>
      </c>
    </row>
    <row r="159" spans="2:12" x14ac:dyDescent="0.25">
      <c r="B159" t="s">
        <v>24</v>
      </c>
      <c r="C159" t="s">
        <v>18</v>
      </c>
      <c r="D159" t="s">
        <v>138</v>
      </c>
      <c r="E159" t="s">
        <v>47</v>
      </c>
      <c r="F159" t="s">
        <v>48</v>
      </c>
      <c r="G159" t="s">
        <v>239</v>
      </c>
      <c r="H159" t="s">
        <v>240</v>
      </c>
      <c r="I159" t="s">
        <v>241</v>
      </c>
      <c r="J159" t="s">
        <v>242</v>
      </c>
      <c r="K159" t="s">
        <v>243</v>
      </c>
      <c r="L159" t="s">
        <v>252</v>
      </c>
    </row>
    <row r="160" spans="2:12" x14ac:dyDescent="0.25">
      <c r="B160" t="s">
        <v>24</v>
      </c>
      <c r="C160" t="s">
        <v>6</v>
      </c>
      <c r="D160" t="s">
        <v>139</v>
      </c>
      <c r="E160" t="s">
        <v>47</v>
      </c>
      <c r="F160" t="s">
        <v>60</v>
      </c>
      <c r="G160" t="s">
        <v>239</v>
      </c>
      <c r="H160" t="s">
        <v>240</v>
      </c>
      <c r="I160" t="s">
        <v>241</v>
      </c>
      <c r="J160" t="s">
        <v>242</v>
      </c>
      <c r="K160" t="s">
        <v>243</v>
      </c>
      <c r="L160" t="s">
        <v>252</v>
      </c>
    </row>
    <row r="161" spans="2:12" x14ac:dyDescent="0.25">
      <c r="B161" t="s">
        <v>24</v>
      </c>
      <c r="C161" t="s">
        <v>18</v>
      </c>
      <c r="D161" t="s">
        <v>140</v>
      </c>
      <c r="E161" t="s">
        <v>47</v>
      </c>
      <c r="F161" t="s">
        <v>48</v>
      </c>
      <c r="G161" t="s">
        <v>239</v>
      </c>
      <c r="H161" t="s">
        <v>240</v>
      </c>
      <c r="I161" t="s">
        <v>241</v>
      </c>
      <c r="J161" t="s">
        <v>242</v>
      </c>
      <c r="K161" t="s">
        <v>243</v>
      </c>
      <c r="L161" t="s">
        <v>252</v>
      </c>
    </row>
    <row r="162" spans="2:12" x14ac:dyDescent="0.25">
      <c r="B162" t="s">
        <v>24</v>
      </c>
      <c r="C162" t="s">
        <v>8</v>
      </c>
      <c r="D162" t="s">
        <v>141</v>
      </c>
      <c r="E162" t="s">
        <v>47</v>
      </c>
      <c r="F162" t="s">
        <v>50</v>
      </c>
      <c r="G162" t="s">
        <v>239</v>
      </c>
      <c r="H162" t="s">
        <v>240</v>
      </c>
      <c r="I162" t="s">
        <v>241</v>
      </c>
      <c r="J162" t="s">
        <v>242</v>
      </c>
      <c r="K162" t="s">
        <v>243</v>
      </c>
      <c r="L162" t="s">
        <v>252</v>
      </c>
    </row>
    <row r="163" spans="2:12" x14ac:dyDescent="0.25">
      <c r="B163" t="s">
        <v>24</v>
      </c>
      <c r="C163" t="s">
        <v>18</v>
      </c>
      <c r="D163" t="s">
        <v>142</v>
      </c>
      <c r="E163" t="s">
        <v>47</v>
      </c>
      <c r="F163" t="s">
        <v>48</v>
      </c>
      <c r="G163" t="s">
        <v>239</v>
      </c>
      <c r="H163" t="s">
        <v>240</v>
      </c>
      <c r="I163" t="s">
        <v>241</v>
      </c>
      <c r="J163" t="s">
        <v>242</v>
      </c>
      <c r="K163" t="s">
        <v>243</v>
      </c>
      <c r="L163" t="s">
        <v>252</v>
      </c>
    </row>
    <row r="164" spans="2:12" x14ac:dyDescent="0.25">
      <c r="B164" t="s">
        <v>24</v>
      </c>
      <c r="C164" t="s">
        <v>7</v>
      </c>
      <c r="D164" t="s">
        <v>143</v>
      </c>
      <c r="E164" t="s">
        <v>47</v>
      </c>
      <c r="F164" t="s">
        <v>71</v>
      </c>
      <c r="G164" t="s">
        <v>239</v>
      </c>
      <c r="H164" t="s">
        <v>240</v>
      </c>
      <c r="I164" t="s">
        <v>241</v>
      </c>
      <c r="J164" t="s">
        <v>242</v>
      </c>
      <c r="K164" t="s">
        <v>243</v>
      </c>
      <c r="L164" t="s">
        <v>252</v>
      </c>
    </row>
    <row r="165" spans="2:12" x14ac:dyDescent="0.25">
      <c r="B165" t="s">
        <v>24</v>
      </c>
      <c r="C165" t="s">
        <v>6</v>
      </c>
      <c r="D165" t="s">
        <v>144</v>
      </c>
      <c r="E165" t="s">
        <v>47</v>
      </c>
      <c r="F165" t="s">
        <v>60</v>
      </c>
      <c r="G165" t="s">
        <v>239</v>
      </c>
      <c r="H165" t="s">
        <v>240</v>
      </c>
      <c r="I165" t="s">
        <v>241</v>
      </c>
      <c r="J165" t="s">
        <v>242</v>
      </c>
      <c r="K165" t="s">
        <v>243</v>
      </c>
      <c r="L165" t="s">
        <v>252</v>
      </c>
    </row>
    <row r="166" spans="2:12" x14ac:dyDescent="0.25">
      <c r="B166" t="s">
        <v>25</v>
      </c>
      <c r="C166" t="s">
        <v>18</v>
      </c>
      <c r="D166" t="s">
        <v>145</v>
      </c>
      <c r="E166" t="s">
        <v>47</v>
      </c>
      <c r="F166" t="s">
        <v>48</v>
      </c>
      <c r="G166" t="s">
        <v>239</v>
      </c>
      <c r="H166" t="s">
        <v>240</v>
      </c>
      <c r="I166" t="s">
        <v>241</v>
      </c>
      <c r="J166" t="s">
        <v>242</v>
      </c>
      <c r="K166" t="s">
        <v>243</v>
      </c>
      <c r="L166" t="s">
        <v>252</v>
      </c>
    </row>
    <row r="167" spans="2:12" x14ac:dyDescent="0.25">
      <c r="B167" t="s">
        <v>25</v>
      </c>
      <c r="C167" t="s">
        <v>5</v>
      </c>
      <c r="D167" t="s">
        <v>53</v>
      </c>
      <c r="E167" t="s">
        <v>47</v>
      </c>
      <c r="F167" t="s">
        <v>96</v>
      </c>
      <c r="G167" t="s">
        <v>239</v>
      </c>
      <c r="H167" t="s">
        <v>240</v>
      </c>
      <c r="I167" t="s">
        <v>241</v>
      </c>
      <c r="J167" t="s">
        <v>242</v>
      </c>
      <c r="K167" t="s">
        <v>243</v>
      </c>
      <c r="L167" t="s">
        <v>252</v>
      </c>
    </row>
    <row r="168" spans="2:12" x14ac:dyDescent="0.25">
      <c r="B168" t="s">
        <v>25</v>
      </c>
      <c r="C168" t="s">
        <v>26</v>
      </c>
      <c r="D168" t="s">
        <v>146</v>
      </c>
      <c r="E168" t="s">
        <v>47</v>
      </c>
      <c r="F168" t="s">
        <v>82</v>
      </c>
      <c r="G168" t="s">
        <v>239</v>
      </c>
      <c r="H168" t="s">
        <v>240</v>
      </c>
      <c r="I168" t="s">
        <v>241</v>
      </c>
      <c r="J168" t="s">
        <v>242</v>
      </c>
      <c r="K168" t="s">
        <v>243</v>
      </c>
      <c r="L168" t="s">
        <v>252</v>
      </c>
    </row>
    <row r="169" spans="2:12" x14ac:dyDescent="0.25">
      <c r="B169" t="s">
        <v>25</v>
      </c>
      <c r="C169" t="s">
        <v>5</v>
      </c>
      <c r="D169" t="s">
        <v>147</v>
      </c>
      <c r="E169" t="s">
        <v>47</v>
      </c>
      <c r="F169" t="s">
        <v>96</v>
      </c>
      <c r="G169" t="s">
        <v>239</v>
      </c>
      <c r="H169" t="s">
        <v>240</v>
      </c>
      <c r="I169" t="s">
        <v>241</v>
      </c>
      <c r="J169" t="s">
        <v>242</v>
      </c>
      <c r="K169" t="s">
        <v>243</v>
      </c>
      <c r="L169" t="s">
        <v>252</v>
      </c>
    </row>
    <row r="170" spans="2:12" x14ac:dyDescent="0.25">
      <c r="B170" t="s">
        <v>25</v>
      </c>
      <c r="C170" t="s">
        <v>7</v>
      </c>
      <c r="D170" t="s">
        <v>148</v>
      </c>
      <c r="E170" t="s">
        <v>47</v>
      </c>
      <c r="F170" t="s">
        <v>48</v>
      </c>
      <c r="G170" t="s">
        <v>239</v>
      </c>
      <c r="H170" t="s">
        <v>240</v>
      </c>
      <c r="I170" t="s">
        <v>241</v>
      </c>
      <c r="J170" t="s">
        <v>242</v>
      </c>
      <c r="K170" t="s">
        <v>243</v>
      </c>
      <c r="L170" t="s">
        <v>252</v>
      </c>
    </row>
    <row r="171" spans="2:12" x14ac:dyDescent="0.25">
      <c r="B171" t="s">
        <v>25</v>
      </c>
      <c r="C171" t="s">
        <v>8</v>
      </c>
      <c r="D171" t="s">
        <v>149</v>
      </c>
      <c r="E171" t="s">
        <v>47</v>
      </c>
      <c r="F171" t="s">
        <v>150</v>
      </c>
      <c r="G171" t="s">
        <v>239</v>
      </c>
      <c r="H171" t="s">
        <v>240</v>
      </c>
      <c r="I171" t="s">
        <v>241</v>
      </c>
      <c r="J171" t="s">
        <v>242</v>
      </c>
      <c r="K171" t="s">
        <v>243</v>
      </c>
      <c r="L171" t="s">
        <v>252</v>
      </c>
    </row>
    <row r="172" spans="2:12" x14ac:dyDescent="0.25">
      <c r="B172" t="s">
        <v>25</v>
      </c>
      <c r="C172" t="s">
        <v>18</v>
      </c>
      <c r="D172" t="s">
        <v>151</v>
      </c>
      <c r="E172" t="s">
        <v>47</v>
      </c>
      <c r="F172" t="s">
        <v>58</v>
      </c>
      <c r="G172" t="s">
        <v>239</v>
      </c>
      <c r="H172" t="s">
        <v>240</v>
      </c>
      <c r="I172" t="s">
        <v>241</v>
      </c>
      <c r="J172" t="s">
        <v>242</v>
      </c>
      <c r="K172" t="s">
        <v>243</v>
      </c>
      <c r="L172" t="s">
        <v>252</v>
      </c>
    </row>
    <row r="173" spans="2:12" x14ac:dyDescent="0.25">
      <c r="B173" t="s">
        <v>25</v>
      </c>
      <c r="C173" t="s">
        <v>8</v>
      </c>
      <c r="D173" t="s">
        <v>152</v>
      </c>
      <c r="E173" t="s">
        <v>47</v>
      </c>
      <c r="F173" t="s">
        <v>150</v>
      </c>
      <c r="G173" t="s">
        <v>239</v>
      </c>
      <c r="H173" t="s">
        <v>240</v>
      </c>
      <c r="I173" t="s">
        <v>241</v>
      </c>
      <c r="J173" t="s">
        <v>242</v>
      </c>
      <c r="K173" t="s">
        <v>243</v>
      </c>
      <c r="L173" t="s">
        <v>252</v>
      </c>
    </row>
    <row r="174" spans="2:12" x14ac:dyDescent="0.25">
      <c r="B174" t="s">
        <v>25</v>
      </c>
      <c r="C174" t="s">
        <v>8</v>
      </c>
      <c r="D174" t="s">
        <v>153</v>
      </c>
      <c r="E174" t="s">
        <v>47</v>
      </c>
      <c r="F174" t="s">
        <v>150</v>
      </c>
      <c r="G174" t="s">
        <v>239</v>
      </c>
      <c r="H174" t="s">
        <v>240</v>
      </c>
      <c r="I174" t="s">
        <v>241</v>
      </c>
      <c r="J174" t="s">
        <v>242</v>
      </c>
      <c r="K174" t="s">
        <v>243</v>
      </c>
      <c r="L174" t="s">
        <v>252</v>
      </c>
    </row>
    <row r="175" spans="2:12" x14ac:dyDescent="0.25">
      <c r="B175" t="s">
        <v>25</v>
      </c>
      <c r="C175" t="s">
        <v>8</v>
      </c>
      <c r="D175" t="s">
        <v>154</v>
      </c>
      <c r="E175" t="s">
        <v>47</v>
      </c>
      <c r="F175" t="s">
        <v>150</v>
      </c>
      <c r="G175" t="s">
        <v>239</v>
      </c>
      <c r="H175" t="s">
        <v>240</v>
      </c>
      <c r="I175" t="s">
        <v>241</v>
      </c>
      <c r="J175" t="s">
        <v>242</v>
      </c>
      <c r="K175" t="s">
        <v>243</v>
      </c>
      <c r="L175" t="s">
        <v>252</v>
      </c>
    </row>
    <row r="176" spans="2:12" x14ac:dyDescent="0.25">
      <c r="B176" t="s">
        <v>25</v>
      </c>
      <c r="C176" t="s">
        <v>8</v>
      </c>
      <c r="D176" t="s">
        <v>155</v>
      </c>
      <c r="E176" t="s">
        <v>47</v>
      </c>
      <c r="F176" t="s">
        <v>150</v>
      </c>
      <c r="G176" t="s">
        <v>239</v>
      </c>
      <c r="H176" t="s">
        <v>240</v>
      </c>
      <c r="I176" t="s">
        <v>241</v>
      </c>
      <c r="J176" t="s">
        <v>242</v>
      </c>
      <c r="K176" t="s">
        <v>243</v>
      </c>
      <c r="L176" t="s">
        <v>252</v>
      </c>
    </row>
    <row r="177" spans="2:12" x14ac:dyDescent="0.25">
      <c r="B177" t="s">
        <v>25</v>
      </c>
      <c r="C177" t="s">
        <v>8</v>
      </c>
      <c r="D177" t="s">
        <v>156</v>
      </c>
      <c r="E177" t="s">
        <v>47</v>
      </c>
      <c r="F177" t="s">
        <v>150</v>
      </c>
      <c r="G177" t="s">
        <v>239</v>
      </c>
      <c r="H177" t="s">
        <v>240</v>
      </c>
      <c r="I177" t="s">
        <v>241</v>
      </c>
      <c r="J177" t="s">
        <v>242</v>
      </c>
      <c r="K177" t="s">
        <v>243</v>
      </c>
      <c r="L177" t="s">
        <v>252</v>
      </c>
    </row>
    <row r="178" spans="2:12" x14ac:dyDescent="0.25">
      <c r="B178" t="s">
        <v>25</v>
      </c>
      <c r="C178" t="s">
        <v>20</v>
      </c>
      <c r="D178" t="s">
        <v>157</v>
      </c>
      <c r="E178" t="s">
        <v>47</v>
      </c>
      <c r="F178" t="s">
        <v>58</v>
      </c>
      <c r="G178" t="s">
        <v>239</v>
      </c>
      <c r="H178" t="s">
        <v>240</v>
      </c>
      <c r="I178" t="s">
        <v>241</v>
      </c>
      <c r="J178" t="s">
        <v>242</v>
      </c>
      <c r="K178" t="s">
        <v>243</v>
      </c>
      <c r="L178" t="s">
        <v>252</v>
      </c>
    </row>
    <row r="179" spans="2:12" x14ac:dyDescent="0.25">
      <c r="B179" t="s">
        <v>25</v>
      </c>
      <c r="C179" t="s">
        <v>5</v>
      </c>
      <c r="D179" t="s">
        <v>64</v>
      </c>
      <c r="E179" t="s">
        <v>47</v>
      </c>
      <c r="F179" t="s">
        <v>96</v>
      </c>
      <c r="G179" t="s">
        <v>239</v>
      </c>
      <c r="H179" t="s">
        <v>240</v>
      </c>
      <c r="I179" t="s">
        <v>241</v>
      </c>
      <c r="J179" t="s">
        <v>242</v>
      </c>
      <c r="K179" t="s">
        <v>243</v>
      </c>
      <c r="L179" t="s">
        <v>252</v>
      </c>
    </row>
    <row r="180" spans="2:12" x14ac:dyDescent="0.25">
      <c r="B180" t="s">
        <v>25</v>
      </c>
      <c r="C180" t="s">
        <v>18</v>
      </c>
      <c r="D180" t="s">
        <v>158</v>
      </c>
      <c r="E180" t="s">
        <v>47</v>
      </c>
      <c r="F180" t="s">
        <v>58</v>
      </c>
      <c r="G180" t="s">
        <v>239</v>
      </c>
      <c r="H180" t="s">
        <v>240</v>
      </c>
      <c r="I180" t="s">
        <v>241</v>
      </c>
      <c r="J180" t="s">
        <v>242</v>
      </c>
      <c r="K180" t="s">
        <v>243</v>
      </c>
      <c r="L180" t="s">
        <v>252</v>
      </c>
    </row>
    <row r="181" spans="2:12" x14ac:dyDescent="0.25">
      <c r="B181" t="s">
        <v>25</v>
      </c>
      <c r="C181" t="s">
        <v>5</v>
      </c>
      <c r="D181" t="s">
        <v>159</v>
      </c>
      <c r="E181" t="s">
        <v>47</v>
      </c>
      <c r="F181" t="s">
        <v>96</v>
      </c>
      <c r="G181" t="s">
        <v>239</v>
      </c>
      <c r="H181" t="s">
        <v>240</v>
      </c>
      <c r="I181" t="s">
        <v>241</v>
      </c>
      <c r="J181" t="s">
        <v>242</v>
      </c>
      <c r="K181" t="s">
        <v>243</v>
      </c>
      <c r="L181" t="s">
        <v>252</v>
      </c>
    </row>
    <row r="182" spans="2:12" x14ac:dyDescent="0.25">
      <c r="B182" t="s">
        <v>25</v>
      </c>
      <c r="C182" t="s">
        <v>8</v>
      </c>
      <c r="D182" t="s">
        <v>57</v>
      </c>
      <c r="E182" t="s">
        <v>47</v>
      </c>
      <c r="F182" t="s">
        <v>71</v>
      </c>
      <c r="G182" t="s">
        <v>239</v>
      </c>
      <c r="H182" t="s">
        <v>240</v>
      </c>
      <c r="I182" t="s">
        <v>241</v>
      </c>
      <c r="J182" t="s">
        <v>242</v>
      </c>
      <c r="K182" t="s">
        <v>243</v>
      </c>
      <c r="L182" t="s">
        <v>252</v>
      </c>
    </row>
    <row r="183" spans="2:12" x14ac:dyDescent="0.25">
      <c r="B183" t="s">
        <v>25</v>
      </c>
      <c r="C183" t="s">
        <v>5</v>
      </c>
      <c r="D183" t="s">
        <v>160</v>
      </c>
      <c r="E183" t="s">
        <v>47</v>
      </c>
      <c r="F183" t="s">
        <v>48</v>
      </c>
      <c r="G183" t="s">
        <v>239</v>
      </c>
      <c r="H183" t="s">
        <v>240</v>
      </c>
      <c r="I183" t="s">
        <v>241</v>
      </c>
      <c r="J183" t="s">
        <v>242</v>
      </c>
      <c r="K183" t="s">
        <v>243</v>
      </c>
      <c r="L183" t="s">
        <v>252</v>
      </c>
    </row>
    <row r="184" spans="2:12" x14ac:dyDescent="0.25">
      <c r="B184" t="s">
        <v>27</v>
      </c>
      <c r="C184" t="s">
        <v>5</v>
      </c>
      <c r="D184" t="s">
        <v>46</v>
      </c>
      <c r="E184" t="s">
        <v>47</v>
      </c>
      <c r="F184" t="s">
        <v>48</v>
      </c>
      <c r="G184" t="s">
        <v>239</v>
      </c>
      <c r="H184" t="s">
        <v>294</v>
      </c>
      <c r="I184" t="s">
        <v>241</v>
      </c>
      <c r="J184" t="s">
        <v>294</v>
      </c>
      <c r="K184" t="s">
        <v>294</v>
      </c>
      <c r="L184" t="s">
        <v>295</v>
      </c>
    </row>
    <row r="185" spans="2:12" x14ac:dyDescent="0.25">
      <c r="B185" t="s">
        <v>27</v>
      </c>
      <c r="C185" t="s">
        <v>7</v>
      </c>
      <c r="D185" t="s">
        <v>66</v>
      </c>
      <c r="E185" t="s">
        <v>47</v>
      </c>
      <c r="F185" t="s">
        <v>82</v>
      </c>
      <c r="G185" t="s">
        <v>239</v>
      </c>
      <c r="H185" t="s">
        <v>294</v>
      </c>
      <c r="I185" t="s">
        <v>241</v>
      </c>
      <c r="J185" t="s">
        <v>294</v>
      </c>
      <c r="K185" t="s">
        <v>294</v>
      </c>
      <c r="L185" t="s">
        <v>295</v>
      </c>
    </row>
    <row r="186" spans="2:12" x14ac:dyDescent="0.25">
      <c r="B186" t="s">
        <v>27</v>
      </c>
      <c r="C186" t="s">
        <v>7</v>
      </c>
      <c r="D186" t="s">
        <v>98</v>
      </c>
      <c r="E186" t="s">
        <v>47</v>
      </c>
      <c r="F186" t="s">
        <v>82</v>
      </c>
      <c r="G186" t="s">
        <v>239</v>
      </c>
      <c r="H186" t="s">
        <v>294</v>
      </c>
      <c r="I186" t="s">
        <v>241</v>
      </c>
      <c r="J186" t="s">
        <v>294</v>
      </c>
      <c r="K186" t="s">
        <v>294</v>
      </c>
      <c r="L186" t="s">
        <v>295</v>
      </c>
    </row>
    <row r="187" spans="2:12" x14ac:dyDescent="0.25">
      <c r="B187" t="s">
        <v>27</v>
      </c>
      <c r="C187" t="s">
        <v>7</v>
      </c>
      <c r="D187" t="s">
        <v>161</v>
      </c>
      <c r="E187" t="s">
        <v>47</v>
      </c>
      <c r="F187" t="s">
        <v>82</v>
      </c>
      <c r="G187" t="s">
        <v>239</v>
      </c>
      <c r="H187" t="s">
        <v>294</v>
      </c>
      <c r="I187" t="s">
        <v>241</v>
      </c>
      <c r="J187" t="s">
        <v>294</v>
      </c>
      <c r="K187" t="s">
        <v>294</v>
      </c>
      <c r="L187" t="s">
        <v>295</v>
      </c>
    </row>
    <row r="188" spans="2:12" x14ac:dyDescent="0.25">
      <c r="B188" t="s">
        <v>27</v>
      </c>
      <c r="C188" t="s">
        <v>7</v>
      </c>
      <c r="D188" t="s">
        <v>134</v>
      </c>
      <c r="E188" t="s">
        <v>47</v>
      </c>
      <c r="F188" t="s">
        <v>71</v>
      </c>
      <c r="G188" t="s">
        <v>239</v>
      </c>
      <c r="H188" t="s">
        <v>294</v>
      </c>
      <c r="I188" t="s">
        <v>241</v>
      </c>
      <c r="J188" t="s">
        <v>294</v>
      </c>
      <c r="K188" t="s">
        <v>294</v>
      </c>
      <c r="L188" t="s">
        <v>295</v>
      </c>
    </row>
    <row r="189" spans="2:12" x14ac:dyDescent="0.25">
      <c r="B189" t="s">
        <v>27</v>
      </c>
      <c r="C189" t="s">
        <v>6</v>
      </c>
      <c r="D189" t="s">
        <v>162</v>
      </c>
      <c r="E189" t="s">
        <v>47</v>
      </c>
      <c r="F189" t="s">
        <v>50</v>
      </c>
      <c r="G189" t="s">
        <v>239</v>
      </c>
      <c r="H189" t="s">
        <v>294</v>
      </c>
      <c r="I189" t="s">
        <v>241</v>
      </c>
      <c r="J189" t="s">
        <v>294</v>
      </c>
      <c r="K189" t="s">
        <v>294</v>
      </c>
      <c r="L189" t="s">
        <v>295</v>
      </c>
    </row>
    <row r="190" spans="2:12" x14ac:dyDescent="0.25">
      <c r="B190" t="s">
        <v>27</v>
      </c>
      <c r="C190" t="s">
        <v>5</v>
      </c>
      <c r="D190" t="s">
        <v>52</v>
      </c>
      <c r="E190" t="s">
        <v>47</v>
      </c>
      <c r="F190" t="s">
        <v>48</v>
      </c>
      <c r="G190" t="s">
        <v>239</v>
      </c>
      <c r="H190" t="s">
        <v>294</v>
      </c>
      <c r="I190" t="s">
        <v>241</v>
      </c>
      <c r="J190" t="s">
        <v>294</v>
      </c>
      <c r="K190" t="s">
        <v>294</v>
      </c>
      <c r="L190" t="s">
        <v>295</v>
      </c>
    </row>
    <row r="191" spans="2:12" x14ac:dyDescent="0.25">
      <c r="B191" t="s">
        <v>27</v>
      </c>
      <c r="C191" t="s">
        <v>6</v>
      </c>
      <c r="D191" t="s">
        <v>163</v>
      </c>
      <c r="E191" t="s">
        <v>47</v>
      </c>
      <c r="F191" t="s">
        <v>50</v>
      </c>
      <c r="G191" t="s">
        <v>239</v>
      </c>
      <c r="H191" t="s">
        <v>294</v>
      </c>
      <c r="I191" t="s">
        <v>241</v>
      </c>
      <c r="J191" t="s">
        <v>294</v>
      </c>
      <c r="K191" t="s">
        <v>294</v>
      </c>
      <c r="L191" t="s">
        <v>295</v>
      </c>
    </row>
    <row r="192" spans="2:12" x14ac:dyDescent="0.25">
      <c r="B192" t="s">
        <v>27</v>
      </c>
      <c r="C192" t="s">
        <v>5</v>
      </c>
      <c r="D192" t="s">
        <v>53</v>
      </c>
      <c r="E192" t="s">
        <v>54</v>
      </c>
      <c r="F192" t="s">
        <v>48</v>
      </c>
      <c r="G192" t="s">
        <v>239</v>
      </c>
      <c r="H192" t="s">
        <v>294</v>
      </c>
      <c r="I192" t="s">
        <v>241</v>
      </c>
      <c r="J192" t="s">
        <v>294</v>
      </c>
      <c r="K192" t="s">
        <v>294</v>
      </c>
      <c r="L192" t="s">
        <v>295</v>
      </c>
    </row>
    <row r="193" spans="2:12" x14ac:dyDescent="0.25">
      <c r="B193" t="s">
        <v>27</v>
      </c>
      <c r="C193" t="s">
        <v>7</v>
      </c>
      <c r="D193" t="s">
        <v>164</v>
      </c>
      <c r="E193" t="s">
        <v>47</v>
      </c>
      <c r="F193" t="s">
        <v>82</v>
      </c>
      <c r="G193" t="s">
        <v>239</v>
      </c>
      <c r="H193" t="s">
        <v>294</v>
      </c>
      <c r="I193" t="s">
        <v>241</v>
      </c>
      <c r="J193" t="s">
        <v>294</v>
      </c>
      <c r="K193" t="s">
        <v>294</v>
      </c>
      <c r="L193" t="s">
        <v>295</v>
      </c>
    </row>
    <row r="194" spans="2:12" x14ac:dyDescent="0.25">
      <c r="B194" t="s">
        <v>27</v>
      </c>
      <c r="C194" t="s">
        <v>6</v>
      </c>
      <c r="D194" t="s">
        <v>165</v>
      </c>
      <c r="E194" t="s">
        <v>47</v>
      </c>
      <c r="F194" t="s">
        <v>50</v>
      </c>
      <c r="G194" t="s">
        <v>239</v>
      </c>
      <c r="H194" t="s">
        <v>294</v>
      </c>
      <c r="I194" t="s">
        <v>241</v>
      </c>
      <c r="J194" t="s">
        <v>294</v>
      </c>
      <c r="K194" t="s">
        <v>294</v>
      </c>
      <c r="L194" t="s">
        <v>295</v>
      </c>
    </row>
    <row r="195" spans="2:12" x14ac:dyDescent="0.25">
      <c r="B195" t="s">
        <v>27</v>
      </c>
      <c r="C195" t="s">
        <v>8</v>
      </c>
      <c r="D195" t="s">
        <v>80</v>
      </c>
      <c r="E195" t="s">
        <v>47</v>
      </c>
      <c r="F195" t="s">
        <v>82</v>
      </c>
      <c r="G195" t="s">
        <v>239</v>
      </c>
      <c r="H195" t="s">
        <v>294</v>
      </c>
      <c r="I195" t="s">
        <v>241</v>
      </c>
      <c r="J195" t="s">
        <v>294</v>
      </c>
      <c r="K195" t="s">
        <v>294</v>
      </c>
      <c r="L195" t="s">
        <v>295</v>
      </c>
    </row>
    <row r="196" spans="2:12" x14ac:dyDescent="0.25">
      <c r="B196" t="s">
        <v>27</v>
      </c>
      <c r="C196" t="s">
        <v>20</v>
      </c>
      <c r="D196" t="s">
        <v>166</v>
      </c>
      <c r="E196" t="s">
        <v>47</v>
      </c>
      <c r="F196" t="s">
        <v>167</v>
      </c>
      <c r="G196" t="s">
        <v>239</v>
      </c>
      <c r="H196" t="s">
        <v>294</v>
      </c>
      <c r="I196" t="s">
        <v>241</v>
      </c>
      <c r="J196" t="s">
        <v>294</v>
      </c>
      <c r="K196" t="s">
        <v>294</v>
      </c>
      <c r="L196" t="s">
        <v>295</v>
      </c>
    </row>
    <row r="197" spans="2:12" x14ac:dyDescent="0.25">
      <c r="B197" t="s">
        <v>27</v>
      </c>
      <c r="C197" t="s">
        <v>5</v>
      </c>
      <c r="D197" t="s">
        <v>64</v>
      </c>
      <c r="E197" t="s">
        <v>47</v>
      </c>
      <c r="F197" t="s">
        <v>48</v>
      </c>
      <c r="G197" t="s">
        <v>239</v>
      </c>
      <c r="H197" t="s">
        <v>294</v>
      </c>
      <c r="I197" t="s">
        <v>241</v>
      </c>
      <c r="J197" t="s">
        <v>294</v>
      </c>
      <c r="K197" t="s">
        <v>294</v>
      </c>
      <c r="L197" t="s">
        <v>295</v>
      </c>
    </row>
    <row r="198" spans="2:12" x14ac:dyDescent="0.25">
      <c r="B198" t="s">
        <v>27</v>
      </c>
      <c r="C198" t="s">
        <v>7</v>
      </c>
      <c r="D198" t="s">
        <v>168</v>
      </c>
      <c r="E198" t="s">
        <v>47</v>
      </c>
      <c r="F198" t="s">
        <v>71</v>
      </c>
      <c r="G198" t="s">
        <v>239</v>
      </c>
      <c r="H198" t="s">
        <v>294</v>
      </c>
      <c r="I198" t="s">
        <v>241</v>
      </c>
      <c r="J198" t="s">
        <v>294</v>
      </c>
      <c r="K198" t="s">
        <v>294</v>
      </c>
      <c r="L198" t="s">
        <v>295</v>
      </c>
    </row>
    <row r="199" spans="2:12" x14ac:dyDescent="0.25">
      <c r="B199" t="s">
        <v>27</v>
      </c>
      <c r="C199" t="s">
        <v>8</v>
      </c>
      <c r="D199" t="s">
        <v>57</v>
      </c>
      <c r="E199" t="s">
        <v>47</v>
      </c>
      <c r="F199" t="s">
        <v>82</v>
      </c>
      <c r="G199" t="s">
        <v>239</v>
      </c>
      <c r="H199" t="s">
        <v>294</v>
      </c>
      <c r="I199" t="s">
        <v>241</v>
      </c>
      <c r="J199" t="s">
        <v>294</v>
      </c>
      <c r="K199" t="s">
        <v>294</v>
      </c>
      <c r="L199" t="s">
        <v>295</v>
      </c>
    </row>
    <row r="200" spans="2:12" x14ac:dyDescent="0.25">
      <c r="B200" t="s">
        <v>28</v>
      </c>
      <c r="C200" t="s">
        <v>5</v>
      </c>
      <c r="D200" t="s">
        <v>46</v>
      </c>
      <c r="E200" t="s">
        <v>47</v>
      </c>
      <c r="F200" t="s">
        <v>48</v>
      </c>
      <c r="G200" t="s">
        <v>239</v>
      </c>
      <c r="H200" t="s">
        <v>294</v>
      </c>
      <c r="I200" t="s">
        <v>241</v>
      </c>
      <c r="J200" t="s">
        <v>294</v>
      </c>
      <c r="K200" t="s">
        <v>294</v>
      </c>
      <c r="L200" t="s">
        <v>295</v>
      </c>
    </row>
    <row r="201" spans="2:12" x14ac:dyDescent="0.25">
      <c r="B201" t="s">
        <v>28</v>
      </c>
      <c r="C201" t="s">
        <v>7</v>
      </c>
      <c r="D201" t="s">
        <v>169</v>
      </c>
      <c r="E201" t="s">
        <v>54</v>
      </c>
      <c r="F201" t="s">
        <v>89</v>
      </c>
      <c r="G201" t="s">
        <v>239</v>
      </c>
      <c r="H201" t="s">
        <v>240</v>
      </c>
      <c r="I201" t="s">
        <v>241</v>
      </c>
      <c r="J201" t="s">
        <v>242</v>
      </c>
      <c r="K201" t="s">
        <v>243</v>
      </c>
      <c r="L201" t="s">
        <v>295</v>
      </c>
    </row>
    <row r="202" spans="2:12" x14ac:dyDescent="0.25">
      <c r="B202" t="s">
        <v>28</v>
      </c>
      <c r="C202" t="s">
        <v>5</v>
      </c>
      <c r="D202" t="s">
        <v>52</v>
      </c>
      <c r="E202" t="s">
        <v>47</v>
      </c>
      <c r="F202" t="s">
        <v>48</v>
      </c>
      <c r="G202" t="s">
        <v>239</v>
      </c>
      <c r="H202" t="s">
        <v>240</v>
      </c>
      <c r="I202" t="s">
        <v>241</v>
      </c>
      <c r="J202" t="s">
        <v>242</v>
      </c>
      <c r="K202" t="s">
        <v>243</v>
      </c>
      <c r="L202" t="s">
        <v>295</v>
      </c>
    </row>
    <row r="203" spans="2:12" x14ac:dyDescent="0.25">
      <c r="B203" t="s">
        <v>28</v>
      </c>
      <c r="C203" t="s">
        <v>5</v>
      </c>
      <c r="D203" t="s">
        <v>53</v>
      </c>
      <c r="E203" t="s">
        <v>54</v>
      </c>
      <c r="F203" t="s">
        <v>48</v>
      </c>
      <c r="G203" t="s">
        <v>239</v>
      </c>
      <c r="H203" t="s">
        <v>240</v>
      </c>
      <c r="I203" t="s">
        <v>241</v>
      </c>
      <c r="J203" t="s">
        <v>242</v>
      </c>
      <c r="K203" t="s">
        <v>243</v>
      </c>
      <c r="L203" t="s">
        <v>295</v>
      </c>
    </row>
    <row r="204" spans="2:12" x14ac:dyDescent="0.25">
      <c r="B204" t="s">
        <v>28</v>
      </c>
      <c r="C204" t="s">
        <v>5</v>
      </c>
      <c r="D204" t="s">
        <v>64</v>
      </c>
      <c r="E204" t="s">
        <v>47</v>
      </c>
      <c r="F204" t="s">
        <v>48</v>
      </c>
      <c r="G204" t="s">
        <v>239</v>
      </c>
      <c r="H204" t="s">
        <v>240</v>
      </c>
      <c r="I204" t="s">
        <v>241</v>
      </c>
      <c r="J204" t="s">
        <v>242</v>
      </c>
      <c r="K204" t="s">
        <v>243</v>
      </c>
      <c r="L204" t="s">
        <v>295</v>
      </c>
    </row>
    <row r="205" spans="2:12" x14ac:dyDescent="0.25">
      <c r="B205" t="s">
        <v>29</v>
      </c>
      <c r="C205" t="s">
        <v>5</v>
      </c>
      <c r="D205" t="s">
        <v>46</v>
      </c>
      <c r="E205" t="s">
        <v>47</v>
      </c>
      <c r="F205" t="s">
        <v>77</v>
      </c>
      <c r="G205" t="s">
        <v>239</v>
      </c>
      <c r="H205" t="s">
        <v>29</v>
      </c>
      <c r="I205" t="s">
        <v>294</v>
      </c>
      <c r="J205" t="s">
        <v>294</v>
      </c>
      <c r="K205" t="s">
        <v>294</v>
      </c>
      <c r="L205" t="s">
        <v>295</v>
      </c>
    </row>
    <row r="206" spans="2:12" x14ac:dyDescent="0.25">
      <c r="B206" t="s">
        <v>29</v>
      </c>
      <c r="C206" t="s">
        <v>6</v>
      </c>
      <c r="D206" t="s">
        <v>170</v>
      </c>
      <c r="E206" t="s">
        <v>47</v>
      </c>
      <c r="F206" t="s">
        <v>60</v>
      </c>
      <c r="G206" t="s">
        <v>239</v>
      </c>
      <c r="H206" t="s">
        <v>29</v>
      </c>
      <c r="I206" t="s">
        <v>294</v>
      </c>
      <c r="J206" t="s">
        <v>294</v>
      </c>
      <c r="K206" t="s">
        <v>294</v>
      </c>
      <c r="L206" t="s">
        <v>295</v>
      </c>
    </row>
    <row r="207" spans="2:12" x14ac:dyDescent="0.25">
      <c r="B207" t="s">
        <v>29</v>
      </c>
      <c r="C207" t="s">
        <v>5</v>
      </c>
      <c r="D207" t="s">
        <v>53</v>
      </c>
      <c r="E207" t="s">
        <v>47</v>
      </c>
      <c r="F207" t="s">
        <v>77</v>
      </c>
      <c r="G207" t="s">
        <v>239</v>
      </c>
      <c r="H207" t="s">
        <v>29</v>
      </c>
      <c r="I207" t="s">
        <v>294</v>
      </c>
      <c r="J207" t="s">
        <v>294</v>
      </c>
      <c r="K207" t="s">
        <v>294</v>
      </c>
      <c r="L207" t="s">
        <v>295</v>
      </c>
    </row>
    <row r="208" spans="2:12" x14ac:dyDescent="0.25">
      <c r="B208" t="s">
        <v>29</v>
      </c>
      <c r="C208" t="s">
        <v>6</v>
      </c>
      <c r="D208" t="s">
        <v>171</v>
      </c>
      <c r="E208" t="s">
        <v>47</v>
      </c>
      <c r="F208" t="s">
        <v>60</v>
      </c>
      <c r="G208" t="s">
        <v>239</v>
      </c>
      <c r="H208" t="s">
        <v>29</v>
      </c>
      <c r="I208" t="s">
        <v>294</v>
      </c>
      <c r="J208" t="s">
        <v>294</v>
      </c>
      <c r="K208" t="s">
        <v>294</v>
      </c>
      <c r="L208" t="s">
        <v>295</v>
      </c>
    </row>
    <row r="209" spans="2:12" x14ac:dyDescent="0.25">
      <c r="B209" t="s">
        <v>29</v>
      </c>
      <c r="C209" t="s">
        <v>5</v>
      </c>
      <c r="D209" t="s">
        <v>56</v>
      </c>
      <c r="E209" t="s">
        <v>47</v>
      </c>
      <c r="F209" t="s">
        <v>48</v>
      </c>
      <c r="G209" t="s">
        <v>239</v>
      </c>
      <c r="H209" t="s">
        <v>29</v>
      </c>
      <c r="I209" t="s">
        <v>294</v>
      </c>
      <c r="J209" t="s">
        <v>294</v>
      </c>
      <c r="K209" t="s">
        <v>294</v>
      </c>
      <c r="L209" t="s">
        <v>295</v>
      </c>
    </row>
    <row r="210" spans="2:12" x14ac:dyDescent="0.25">
      <c r="B210" t="s">
        <v>29</v>
      </c>
      <c r="C210" t="s">
        <v>6</v>
      </c>
      <c r="D210" t="s">
        <v>172</v>
      </c>
      <c r="E210" t="s">
        <v>47</v>
      </c>
      <c r="F210" t="s">
        <v>150</v>
      </c>
      <c r="G210" t="s">
        <v>239</v>
      </c>
      <c r="H210" t="s">
        <v>29</v>
      </c>
      <c r="I210" t="s">
        <v>294</v>
      </c>
      <c r="J210" t="s">
        <v>294</v>
      </c>
      <c r="K210" t="s">
        <v>294</v>
      </c>
      <c r="L210" t="s">
        <v>295</v>
      </c>
    </row>
    <row r="211" spans="2:12" x14ac:dyDescent="0.25">
      <c r="B211" t="s">
        <v>29</v>
      </c>
      <c r="C211" t="s">
        <v>7</v>
      </c>
      <c r="D211" t="s">
        <v>173</v>
      </c>
      <c r="E211" t="s">
        <v>47</v>
      </c>
      <c r="F211" t="s">
        <v>71</v>
      </c>
      <c r="G211" t="s">
        <v>239</v>
      </c>
      <c r="H211" t="s">
        <v>29</v>
      </c>
      <c r="I211" t="s">
        <v>294</v>
      </c>
      <c r="J211" t="s">
        <v>294</v>
      </c>
      <c r="K211" t="s">
        <v>294</v>
      </c>
      <c r="L211" t="s">
        <v>295</v>
      </c>
    </row>
    <row r="212" spans="2:12" x14ac:dyDescent="0.25">
      <c r="B212" t="s">
        <v>30</v>
      </c>
      <c r="C212" t="s">
        <v>5</v>
      </c>
      <c r="D212" t="s">
        <v>46</v>
      </c>
      <c r="E212" t="s">
        <v>47</v>
      </c>
      <c r="F212" t="s">
        <v>77</v>
      </c>
      <c r="G212" t="s">
        <v>239</v>
      </c>
      <c r="H212" t="s">
        <v>29</v>
      </c>
      <c r="I212" t="s">
        <v>294</v>
      </c>
      <c r="J212" t="s">
        <v>294</v>
      </c>
      <c r="K212" t="s">
        <v>294</v>
      </c>
      <c r="L212" t="s">
        <v>295</v>
      </c>
    </row>
    <row r="213" spans="2:12" x14ac:dyDescent="0.25">
      <c r="B213" t="s">
        <v>30</v>
      </c>
      <c r="C213" t="s">
        <v>7</v>
      </c>
      <c r="D213" t="s">
        <v>174</v>
      </c>
      <c r="E213" t="s">
        <v>47</v>
      </c>
      <c r="F213" t="s">
        <v>175</v>
      </c>
      <c r="G213" t="s">
        <v>239</v>
      </c>
      <c r="H213" t="s">
        <v>29</v>
      </c>
      <c r="I213" t="s">
        <v>294</v>
      </c>
      <c r="J213" t="s">
        <v>294</v>
      </c>
      <c r="K213" t="s">
        <v>294</v>
      </c>
      <c r="L213" t="s">
        <v>295</v>
      </c>
    </row>
    <row r="214" spans="2:12" x14ac:dyDescent="0.25">
      <c r="B214" t="s">
        <v>30</v>
      </c>
      <c r="C214" t="s">
        <v>6</v>
      </c>
      <c r="D214" t="s">
        <v>176</v>
      </c>
      <c r="E214" t="s">
        <v>54</v>
      </c>
      <c r="F214" t="s">
        <v>77</v>
      </c>
      <c r="G214" t="s">
        <v>239</v>
      </c>
      <c r="H214" t="s">
        <v>29</v>
      </c>
      <c r="I214" t="s">
        <v>294</v>
      </c>
      <c r="J214" t="s">
        <v>294</v>
      </c>
      <c r="K214" t="s">
        <v>294</v>
      </c>
      <c r="L214" t="s">
        <v>295</v>
      </c>
    </row>
    <row r="215" spans="2:12" x14ac:dyDescent="0.25">
      <c r="B215" t="s">
        <v>30</v>
      </c>
      <c r="C215" t="s">
        <v>6</v>
      </c>
      <c r="D215" t="s">
        <v>170</v>
      </c>
      <c r="E215" t="s">
        <v>47</v>
      </c>
      <c r="F215" t="s">
        <v>60</v>
      </c>
      <c r="G215" t="s">
        <v>239</v>
      </c>
      <c r="H215" t="s">
        <v>29</v>
      </c>
      <c r="I215" t="s">
        <v>294</v>
      </c>
      <c r="J215" t="s">
        <v>294</v>
      </c>
      <c r="K215" t="s">
        <v>294</v>
      </c>
      <c r="L215" t="s">
        <v>295</v>
      </c>
    </row>
    <row r="216" spans="2:12" x14ac:dyDescent="0.25">
      <c r="B216" t="s">
        <v>30</v>
      </c>
      <c r="C216" t="s">
        <v>6</v>
      </c>
      <c r="D216" t="s">
        <v>177</v>
      </c>
      <c r="E216" t="s">
        <v>47</v>
      </c>
      <c r="F216" t="s">
        <v>77</v>
      </c>
      <c r="G216" t="s">
        <v>239</v>
      </c>
      <c r="H216" t="s">
        <v>29</v>
      </c>
      <c r="I216" t="s">
        <v>294</v>
      </c>
      <c r="J216" t="s">
        <v>294</v>
      </c>
      <c r="K216" t="s">
        <v>294</v>
      </c>
      <c r="L216" t="s">
        <v>295</v>
      </c>
    </row>
    <row r="217" spans="2:12" x14ac:dyDescent="0.25">
      <c r="B217" t="s">
        <v>30</v>
      </c>
      <c r="C217" t="s">
        <v>5</v>
      </c>
      <c r="D217" t="s">
        <v>53</v>
      </c>
      <c r="E217" t="s">
        <v>47</v>
      </c>
      <c r="F217" t="s">
        <v>77</v>
      </c>
      <c r="G217" t="s">
        <v>239</v>
      </c>
      <c r="H217" t="s">
        <v>29</v>
      </c>
      <c r="I217" t="s">
        <v>294</v>
      </c>
      <c r="J217" t="s">
        <v>294</v>
      </c>
      <c r="K217" t="s">
        <v>294</v>
      </c>
      <c r="L217" t="s">
        <v>295</v>
      </c>
    </row>
    <row r="218" spans="2:12" x14ac:dyDescent="0.25">
      <c r="B218" t="s">
        <v>30</v>
      </c>
      <c r="C218" t="s">
        <v>6</v>
      </c>
      <c r="D218" t="s">
        <v>171</v>
      </c>
      <c r="E218" t="s">
        <v>47</v>
      </c>
      <c r="F218" t="s">
        <v>82</v>
      </c>
      <c r="G218" t="s">
        <v>239</v>
      </c>
      <c r="H218" t="s">
        <v>29</v>
      </c>
      <c r="I218" t="s">
        <v>294</v>
      </c>
      <c r="J218" t="s">
        <v>294</v>
      </c>
      <c r="K218" t="s">
        <v>294</v>
      </c>
      <c r="L218" t="s">
        <v>295</v>
      </c>
    </row>
    <row r="219" spans="2:12" x14ac:dyDescent="0.25">
      <c r="B219" t="s">
        <v>30</v>
      </c>
      <c r="C219" t="s">
        <v>7</v>
      </c>
      <c r="D219" t="s">
        <v>178</v>
      </c>
      <c r="E219" t="s">
        <v>47</v>
      </c>
      <c r="F219" t="s">
        <v>58</v>
      </c>
      <c r="G219" t="s">
        <v>239</v>
      </c>
      <c r="H219" t="s">
        <v>29</v>
      </c>
      <c r="I219" t="s">
        <v>294</v>
      </c>
      <c r="J219" t="s">
        <v>294</v>
      </c>
      <c r="K219" t="s">
        <v>294</v>
      </c>
      <c r="L219" t="s">
        <v>295</v>
      </c>
    </row>
    <row r="220" spans="2:12" x14ac:dyDescent="0.25">
      <c r="B220" t="s">
        <v>30</v>
      </c>
      <c r="C220" t="s">
        <v>8</v>
      </c>
      <c r="D220" t="s">
        <v>179</v>
      </c>
      <c r="E220" t="s">
        <v>47</v>
      </c>
      <c r="F220" t="s">
        <v>77</v>
      </c>
      <c r="G220" t="s">
        <v>239</v>
      </c>
      <c r="H220" t="s">
        <v>29</v>
      </c>
      <c r="I220" t="s">
        <v>294</v>
      </c>
      <c r="J220" t="s">
        <v>294</v>
      </c>
      <c r="K220" t="s">
        <v>294</v>
      </c>
      <c r="L220" t="s">
        <v>295</v>
      </c>
    </row>
    <row r="221" spans="2:12" x14ac:dyDescent="0.25">
      <c r="B221" t="s">
        <v>30</v>
      </c>
      <c r="C221" t="s">
        <v>8</v>
      </c>
      <c r="D221" t="s">
        <v>180</v>
      </c>
      <c r="E221" t="s">
        <v>47</v>
      </c>
      <c r="F221" t="s">
        <v>77</v>
      </c>
      <c r="G221" t="s">
        <v>239</v>
      </c>
      <c r="H221" t="s">
        <v>29</v>
      </c>
      <c r="I221" t="s">
        <v>294</v>
      </c>
      <c r="J221" t="s">
        <v>294</v>
      </c>
      <c r="K221" t="s">
        <v>294</v>
      </c>
      <c r="L221" t="s">
        <v>295</v>
      </c>
    </row>
    <row r="222" spans="2:12" x14ac:dyDescent="0.25">
      <c r="B222" t="s">
        <v>30</v>
      </c>
      <c r="C222" t="s">
        <v>18</v>
      </c>
      <c r="D222" t="s">
        <v>181</v>
      </c>
      <c r="E222" t="s">
        <v>47</v>
      </c>
      <c r="F222" t="s">
        <v>48</v>
      </c>
      <c r="G222" t="s">
        <v>239</v>
      </c>
      <c r="H222" t="s">
        <v>29</v>
      </c>
      <c r="I222" t="s">
        <v>294</v>
      </c>
      <c r="J222" t="s">
        <v>294</v>
      </c>
      <c r="K222" t="s">
        <v>294</v>
      </c>
      <c r="L222" t="s">
        <v>295</v>
      </c>
    </row>
    <row r="223" spans="2:12" x14ac:dyDescent="0.25">
      <c r="B223" t="s">
        <v>30</v>
      </c>
      <c r="C223" t="s">
        <v>18</v>
      </c>
      <c r="D223" t="s">
        <v>182</v>
      </c>
      <c r="E223" t="s">
        <v>47</v>
      </c>
      <c r="F223" t="s">
        <v>48</v>
      </c>
      <c r="G223" t="s">
        <v>239</v>
      </c>
      <c r="H223" t="s">
        <v>29</v>
      </c>
      <c r="I223" t="s">
        <v>294</v>
      </c>
      <c r="J223" t="s">
        <v>294</v>
      </c>
      <c r="K223" t="s">
        <v>294</v>
      </c>
      <c r="L223" t="s">
        <v>295</v>
      </c>
    </row>
    <row r="224" spans="2:12" x14ac:dyDescent="0.25">
      <c r="B224" t="s">
        <v>30</v>
      </c>
      <c r="C224" t="s">
        <v>18</v>
      </c>
      <c r="D224" t="s">
        <v>183</v>
      </c>
      <c r="E224" t="s">
        <v>47</v>
      </c>
      <c r="F224" t="s">
        <v>184</v>
      </c>
      <c r="G224" t="s">
        <v>239</v>
      </c>
      <c r="H224" t="s">
        <v>29</v>
      </c>
      <c r="I224" t="s">
        <v>294</v>
      </c>
      <c r="J224" t="s">
        <v>294</v>
      </c>
      <c r="K224" t="s">
        <v>294</v>
      </c>
      <c r="L224" t="s">
        <v>295</v>
      </c>
    </row>
    <row r="225" spans="2:12" x14ac:dyDescent="0.25">
      <c r="B225" t="s">
        <v>30</v>
      </c>
      <c r="C225" t="s">
        <v>5</v>
      </c>
      <c r="D225" t="s">
        <v>56</v>
      </c>
      <c r="E225" t="s">
        <v>47</v>
      </c>
      <c r="F225" t="s">
        <v>48</v>
      </c>
      <c r="G225" t="s">
        <v>239</v>
      </c>
      <c r="H225" t="s">
        <v>29</v>
      </c>
      <c r="I225" t="s">
        <v>294</v>
      </c>
      <c r="J225" t="s">
        <v>294</v>
      </c>
      <c r="K225" t="s">
        <v>294</v>
      </c>
      <c r="L225" t="s">
        <v>295</v>
      </c>
    </row>
    <row r="226" spans="2:12" x14ac:dyDescent="0.25">
      <c r="B226" t="s">
        <v>30</v>
      </c>
      <c r="C226" t="s">
        <v>6</v>
      </c>
      <c r="D226" t="s">
        <v>172</v>
      </c>
      <c r="E226" t="s">
        <v>47</v>
      </c>
      <c r="F226" t="s">
        <v>150</v>
      </c>
      <c r="G226" t="s">
        <v>239</v>
      </c>
      <c r="H226" t="s">
        <v>29</v>
      </c>
      <c r="I226" t="s">
        <v>294</v>
      </c>
      <c r="J226" t="s">
        <v>294</v>
      </c>
      <c r="K226" t="s">
        <v>294</v>
      </c>
      <c r="L226" t="s">
        <v>295</v>
      </c>
    </row>
    <row r="227" spans="2:12" x14ac:dyDescent="0.25">
      <c r="B227" t="s">
        <v>30</v>
      </c>
      <c r="C227" t="s">
        <v>7</v>
      </c>
      <c r="D227" t="s">
        <v>173</v>
      </c>
      <c r="E227" t="s">
        <v>47</v>
      </c>
      <c r="F227" t="s">
        <v>71</v>
      </c>
      <c r="G227" t="s">
        <v>239</v>
      </c>
      <c r="H227" t="s">
        <v>29</v>
      </c>
      <c r="I227" t="s">
        <v>294</v>
      </c>
      <c r="J227" t="s">
        <v>294</v>
      </c>
      <c r="K227" t="s">
        <v>294</v>
      </c>
      <c r="L227" t="s">
        <v>295</v>
      </c>
    </row>
    <row r="228" spans="2:12" x14ac:dyDescent="0.25">
      <c r="B228" t="s">
        <v>30</v>
      </c>
      <c r="C228" t="s">
        <v>7</v>
      </c>
      <c r="D228" t="s">
        <v>185</v>
      </c>
      <c r="E228" t="s">
        <v>47</v>
      </c>
      <c r="F228" t="s">
        <v>82</v>
      </c>
      <c r="G228" t="s">
        <v>239</v>
      </c>
      <c r="H228" t="s">
        <v>29</v>
      </c>
      <c r="I228" t="s">
        <v>294</v>
      </c>
      <c r="J228" t="s">
        <v>294</v>
      </c>
      <c r="K228" t="s">
        <v>294</v>
      </c>
      <c r="L228" t="s">
        <v>295</v>
      </c>
    </row>
    <row r="229" spans="2:12" x14ac:dyDescent="0.25">
      <c r="B229" t="s">
        <v>30</v>
      </c>
      <c r="C229" t="s">
        <v>6</v>
      </c>
      <c r="D229" t="s">
        <v>186</v>
      </c>
      <c r="E229" t="s">
        <v>47</v>
      </c>
      <c r="F229" t="s">
        <v>71</v>
      </c>
      <c r="G229" t="s">
        <v>239</v>
      </c>
      <c r="H229" t="s">
        <v>29</v>
      </c>
      <c r="I229" t="s">
        <v>294</v>
      </c>
      <c r="J229" t="s">
        <v>294</v>
      </c>
      <c r="K229" t="s">
        <v>294</v>
      </c>
      <c r="L229" t="s">
        <v>295</v>
      </c>
    </row>
    <row r="230" spans="2:12" x14ac:dyDescent="0.25">
      <c r="B230" t="s">
        <v>31</v>
      </c>
      <c r="C230" t="s">
        <v>5</v>
      </c>
      <c r="D230" t="s">
        <v>46</v>
      </c>
      <c r="E230" t="s">
        <v>47</v>
      </c>
      <c r="F230" t="s">
        <v>48</v>
      </c>
      <c r="G230" t="s">
        <v>239</v>
      </c>
      <c r="H230" t="s">
        <v>240</v>
      </c>
      <c r="I230" t="s">
        <v>241</v>
      </c>
      <c r="J230" t="s">
        <v>242</v>
      </c>
      <c r="K230" t="s">
        <v>243</v>
      </c>
      <c r="L230" t="s">
        <v>252</v>
      </c>
    </row>
    <row r="231" spans="2:12" x14ac:dyDescent="0.25">
      <c r="B231" t="s">
        <v>31</v>
      </c>
      <c r="C231" t="s">
        <v>18</v>
      </c>
      <c r="D231" t="s">
        <v>187</v>
      </c>
      <c r="E231" t="s">
        <v>47</v>
      </c>
      <c r="F231" t="s">
        <v>48</v>
      </c>
      <c r="G231" t="s">
        <v>239</v>
      </c>
      <c r="H231" t="s">
        <v>240</v>
      </c>
      <c r="I231" t="s">
        <v>241</v>
      </c>
      <c r="J231" t="s">
        <v>242</v>
      </c>
      <c r="K231" t="s">
        <v>243</v>
      </c>
      <c r="L231" t="s">
        <v>252</v>
      </c>
    </row>
    <row r="232" spans="2:12" x14ac:dyDescent="0.25">
      <c r="B232" t="s">
        <v>31</v>
      </c>
      <c r="C232" t="s">
        <v>8</v>
      </c>
      <c r="D232" t="s">
        <v>188</v>
      </c>
      <c r="E232" t="s">
        <v>47</v>
      </c>
      <c r="F232" t="s">
        <v>71</v>
      </c>
      <c r="G232" t="s">
        <v>239</v>
      </c>
      <c r="H232" t="s">
        <v>240</v>
      </c>
      <c r="I232" t="s">
        <v>241</v>
      </c>
      <c r="J232" t="s">
        <v>242</v>
      </c>
      <c r="K232" t="s">
        <v>243</v>
      </c>
      <c r="L232" t="s">
        <v>252</v>
      </c>
    </row>
    <row r="233" spans="2:12" x14ac:dyDescent="0.25">
      <c r="B233" t="s">
        <v>31</v>
      </c>
      <c r="C233" t="s">
        <v>5</v>
      </c>
      <c r="D233" t="s">
        <v>52</v>
      </c>
      <c r="E233" t="s">
        <v>47</v>
      </c>
      <c r="F233" t="s">
        <v>48</v>
      </c>
      <c r="G233" t="s">
        <v>239</v>
      </c>
      <c r="H233" t="s">
        <v>240</v>
      </c>
      <c r="I233" t="s">
        <v>241</v>
      </c>
      <c r="J233" t="s">
        <v>242</v>
      </c>
      <c r="K233" t="s">
        <v>243</v>
      </c>
      <c r="L233" t="s">
        <v>252</v>
      </c>
    </row>
    <row r="234" spans="2:12" x14ac:dyDescent="0.25">
      <c r="B234" t="s">
        <v>31</v>
      </c>
      <c r="C234" t="s">
        <v>5</v>
      </c>
      <c r="D234" t="s">
        <v>53</v>
      </c>
      <c r="E234" t="s">
        <v>54</v>
      </c>
      <c r="F234" t="s">
        <v>48</v>
      </c>
      <c r="G234" t="s">
        <v>239</v>
      </c>
      <c r="H234" t="s">
        <v>240</v>
      </c>
      <c r="I234" t="s">
        <v>241</v>
      </c>
      <c r="J234" t="s">
        <v>242</v>
      </c>
      <c r="K234" t="s">
        <v>243</v>
      </c>
      <c r="L234" t="s">
        <v>252</v>
      </c>
    </row>
    <row r="235" spans="2:12" x14ac:dyDescent="0.25">
      <c r="B235" t="s">
        <v>31</v>
      </c>
      <c r="C235" t="s">
        <v>7</v>
      </c>
      <c r="D235" t="s">
        <v>189</v>
      </c>
      <c r="E235" t="s">
        <v>47</v>
      </c>
      <c r="F235" t="s">
        <v>77</v>
      </c>
      <c r="G235" t="s">
        <v>239</v>
      </c>
      <c r="H235" t="s">
        <v>240</v>
      </c>
      <c r="I235" t="s">
        <v>241</v>
      </c>
      <c r="J235" t="s">
        <v>242</v>
      </c>
      <c r="K235" t="s">
        <v>243</v>
      </c>
      <c r="L235" t="s">
        <v>252</v>
      </c>
    </row>
    <row r="236" spans="2:12" x14ac:dyDescent="0.25">
      <c r="B236" t="s">
        <v>31</v>
      </c>
      <c r="C236" t="s">
        <v>7</v>
      </c>
      <c r="D236" t="s">
        <v>190</v>
      </c>
      <c r="E236" t="s">
        <v>47</v>
      </c>
      <c r="F236" t="s">
        <v>71</v>
      </c>
      <c r="G236" t="s">
        <v>239</v>
      </c>
      <c r="H236" t="s">
        <v>240</v>
      </c>
      <c r="I236" t="s">
        <v>241</v>
      </c>
      <c r="J236" t="s">
        <v>242</v>
      </c>
      <c r="K236" t="s">
        <v>243</v>
      </c>
      <c r="L236" t="s">
        <v>252</v>
      </c>
    </row>
    <row r="237" spans="2:12" x14ac:dyDescent="0.25">
      <c r="B237" t="s">
        <v>31</v>
      </c>
      <c r="C237" t="s">
        <v>7</v>
      </c>
      <c r="D237" t="s">
        <v>191</v>
      </c>
      <c r="E237" t="s">
        <v>47</v>
      </c>
      <c r="F237" t="s">
        <v>77</v>
      </c>
      <c r="G237" t="s">
        <v>239</v>
      </c>
      <c r="H237" t="s">
        <v>240</v>
      </c>
      <c r="I237" t="s">
        <v>241</v>
      </c>
      <c r="J237" t="s">
        <v>242</v>
      </c>
      <c r="K237" t="s">
        <v>243</v>
      </c>
      <c r="L237" t="s">
        <v>252</v>
      </c>
    </row>
    <row r="238" spans="2:12" x14ac:dyDescent="0.25">
      <c r="B238" t="s">
        <v>31</v>
      </c>
      <c r="C238" t="s">
        <v>20</v>
      </c>
      <c r="D238" t="s">
        <v>192</v>
      </c>
      <c r="E238" t="s">
        <v>47</v>
      </c>
      <c r="F238" t="s">
        <v>82</v>
      </c>
      <c r="G238" t="s">
        <v>239</v>
      </c>
      <c r="H238" t="s">
        <v>240</v>
      </c>
      <c r="I238" t="s">
        <v>241</v>
      </c>
      <c r="J238" t="s">
        <v>242</v>
      </c>
      <c r="K238" t="s">
        <v>243</v>
      </c>
      <c r="L238" t="s">
        <v>252</v>
      </c>
    </row>
    <row r="239" spans="2:12" x14ac:dyDescent="0.25">
      <c r="B239" t="s">
        <v>31</v>
      </c>
      <c r="C239" t="s">
        <v>5</v>
      </c>
      <c r="D239" t="s">
        <v>64</v>
      </c>
      <c r="E239" t="s">
        <v>47</v>
      </c>
      <c r="F239" t="s">
        <v>48</v>
      </c>
      <c r="G239" t="s">
        <v>239</v>
      </c>
      <c r="H239" t="s">
        <v>240</v>
      </c>
      <c r="I239" t="s">
        <v>241</v>
      </c>
      <c r="J239" t="s">
        <v>242</v>
      </c>
      <c r="K239" t="s">
        <v>243</v>
      </c>
      <c r="L239" t="s">
        <v>252</v>
      </c>
    </row>
    <row r="240" spans="2:12" x14ac:dyDescent="0.25">
      <c r="B240" t="s">
        <v>32</v>
      </c>
      <c r="C240" t="s">
        <v>5</v>
      </c>
      <c r="D240" t="s">
        <v>46</v>
      </c>
      <c r="E240" t="s">
        <v>47</v>
      </c>
      <c r="F240" t="s">
        <v>48</v>
      </c>
      <c r="G240" t="s">
        <v>239</v>
      </c>
      <c r="H240" t="s">
        <v>294</v>
      </c>
      <c r="I240" t="s">
        <v>294</v>
      </c>
      <c r="J240" t="s">
        <v>294</v>
      </c>
      <c r="K240" t="s">
        <v>294</v>
      </c>
      <c r="L240" t="s">
        <v>252</v>
      </c>
    </row>
    <row r="241" spans="2:12" x14ac:dyDescent="0.25">
      <c r="B241" t="s">
        <v>32</v>
      </c>
      <c r="C241" t="s">
        <v>5</v>
      </c>
      <c r="D241" t="s">
        <v>52</v>
      </c>
      <c r="E241" t="s">
        <v>47</v>
      </c>
      <c r="F241" t="s">
        <v>48</v>
      </c>
      <c r="G241" t="s">
        <v>239</v>
      </c>
      <c r="H241" t="s">
        <v>294</v>
      </c>
      <c r="I241" t="s">
        <v>294</v>
      </c>
      <c r="J241" t="s">
        <v>294</v>
      </c>
      <c r="K241" t="s">
        <v>294</v>
      </c>
      <c r="L241" t="s">
        <v>252</v>
      </c>
    </row>
    <row r="242" spans="2:12" x14ac:dyDescent="0.25">
      <c r="B242" t="s">
        <v>32</v>
      </c>
      <c r="C242" t="s">
        <v>6</v>
      </c>
      <c r="D242" t="s">
        <v>193</v>
      </c>
      <c r="E242" t="s">
        <v>47</v>
      </c>
      <c r="F242" t="s">
        <v>50</v>
      </c>
      <c r="G242" t="s">
        <v>239</v>
      </c>
      <c r="H242" t="s">
        <v>294</v>
      </c>
      <c r="I242" t="s">
        <v>294</v>
      </c>
      <c r="J242" t="s">
        <v>294</v>
      </c>
      <c r="K242" t="s">
        <v>294</v>
      </c>
      <c r="L242" t="s">
        <v>252</v>
      </c>
    </row>
    <row r="243" spans="2:12" x14ac:dyDescent="0.25">
      <c r="B243" t="s">
        <v>32</v>
      </c>
      <c r="C243" t="s">
        <v>5</v>
      </c>
      <c r="D243" t="s">
        <v>53</v>
      </c>
      <c r="E243" t="s">
        <v>54</v>
      </c>
      <c r="F243" t="s">
        <v>48</v>
      </c>
      <c r="G243" t="s">
        <v>239</v>
      </c>
      <c r="H243" t="s">
        <v>294</v>
      </c>
      <c r="I243" t="s">
        <v>294</v>
      </c>
      <c r="J243" t="s">
        <v>294</v>
      </c>
      <c r="K243" t="s">
        <v>294</v>
      </c>
      <c r="L243" t="s">
        <v>252</v>
      </c>
    </row>
    <row r="244" spans="2:12" x14ac:dyDescent="0.25">
      <c r="B244" t="s">
        <v>32</v>
      </c>
      <c r="C244" t="s">
        <v>8</v>
      </c>
      <c r="D244" t="s">
        <v>108</v>
      </c>
      <c r="E244" t="s">
        <v>47</v>
      </c>
      <c r="F244" t="s">
        <v>82</v>
      </c>
      <c r="G244" t="s">
        <v>239</v>
      </c>
      <c r="H244" t="s">
        <v>294</v>
      </c>
      <c r="I244" t="s">
        <v>294</v>
      </c>
      <c r="J244" t="s">
        <v>294</v>
      </c>
      <c r="K244" t="s">
        <v>294</v>
      </c>
      <c r="L244" t="s">
        <v>252</v>
      </c>
    </row>
    <row r="245" spans="2:12" x14ac:dyDescent="0.25">
      <c r="B245" t="s">
        <v>32</v>
      </c>
      <c r="C245" t="s">
        <v>5</v>
      </c>
      <c r="D245" t="s">
        <v>64</v>
      </c>
      <c r="E245" t="s">
        <v>47</v>
      </c>
      <c r="F245" t="s">
        <v>48</v>
      </c>
      <c r="G245" t="s">
        <v>239</v>
      </c>
      <c r="H245" t="s">
        <v>294</v>
      </c>
      <c r="I245" t="s">
        <v>294</v>
      </c>
      <c r="J245" t="s">
        <v>294</v>
      </c>
      <c r="K245" t="s">
        <v>294</v>
      </c>
      <c r="L245" t="s">
        <v>252</v>
      </c>
    </row>
    <row r="246" spans="2:12" x14ac:dyDescent="0.25">
      <c r="B246" t="s">
        <v>32</v>
      </c>
      <c r="C246" t="s">
        <v>7</v>
      </c>
      <c r="D246" t="s">
        <v>194</v>
      </c>
      <c r="E246" t="s">
        <v>47</v>
      </c>
      <c r="F246" t="s">
        <v>58</v>
      </c>
      <c r="G246" t="s">
        <v>239</v>
      </c>
      <c r="H246" t="s">
        <v>294</v>
      </c>
      <c r="I246" t="s">
        <v>294</v>
      </c>
      <c r="J246" t="s">
        <v>294</v>
      </c>
      <c r="K246" t="s">
        <v>294</v>
      </c>
      <c r="L246" t="s">
        <v>252</v>
      </c>
    </row>
    <row r="247" spans="2:12" x14ac:dyDescent="0.25">
      <c r="B247" t="s">
        <v>33</v>
      </c>
      <c r="C247" t="s">
        <v>7</v>
      </c>
      <c r="D247" t="s">
        <v>195</v>
      </c>
      <c r="E247" t="e">
        <v>#VALUE!</v>
      </c>
      <c r="F247" t="s">
        <v>89</v>
      </c>
      <c r="G247" t="s">
        <v>239</v>
      </c>
      <c r="H247" t="s">
        <v>297</v>
      </c>
      <c r="I247" t="s">
        <v>294</v>
      </c>
      <c r="J247" t="s">
        <v>294</v>
      </c>
      <c r="K247" t="s">
        <v>294</v>
      </c>
      <c r="L247" t="s">
        <v>295</v>
      </c>
    </row>
    <row r="248" spans="2:12" x14ac:dyDescent="0.25">
      <c r="B248" t="s">
        <v>33</v>
      </c>
      <c r="C248" t="s">
        <v>13</v>
      </c>
      <c r="D248" t="s">
        <v>196</v>
      </c>
      <c r="E248" t="e">
        <v>#VALUE!</v>
      </c>
      <c r="F248" t="s">
        <v>89</v>
      </c>
      <c r="G248" t="s">
        <v>239</v>
      </c>
      <c r="H248" t="s">
        <v>297</v>
      </c>
      <c r="I248" t="s">
        <v>294</v>
      </c>
      <c r="J248" t="s">
        <v>294</v>
      </c>
      <c r="K248" t="s">
        <v>294</v>
      </c>
      <c r="L248" t="s">
        <v>295</v>
      </c>
    </row>
    <row r="249" spans="2:12" x14ac:dyDescent="0.25">
      <c r="B249" t="s">
        <v>33</v>
      </c>
      <c r="C249" t="s">
        <v>7</v>
      </c>
      <c r="D249" t="s">
        <v>197</v>
      </c>
      <c r="E249" t="e">
        <v>#VALUE!</v>
      </c>
      <c r="F249" t="s">
        <v>89</v>
      </c>
      <c r="G249" t="s">
        <v>239</v>
      </c>
      <c r="H249" t="s">
        <v>297</v>
      </c>
      <c r="I249" t="s">
        <v>294</v>
      </c>
      <c r="J249" t="s">
        <v>294</v>
      </c>
      <c r="K249" t="s">
        <v>294</v>
      </c>
      <c r="L249" t="s">
        <v>295</v>
      </c>
    </row>
    <row r="250" spans="2:12" x14ac:dyDescent="0.25">
      <c r="B250" t="s">
        <v>33</v>
      </c>
      <c r="C250" t="s">
        <v>7</v>
      </c>
      <c r="D250" t="s">
        <v>198</v>
      </c>
      <c r="E250" t="e">
        <v>#VALUE!</v>
      </c>
      <c r="F250" t="s">
        <v>89</v>
      </c>
      <c r="G250" t="s">
        <v>239</v>
      </c>
      <c r="H250" t="s">
        <v>297</v>
      </c>
      <c r="I250" t="s">
        <v>294</v>
      </c>
      <c r="J250" t="s">
        <v>294</v>
      </c>
      <c r="K250" t="s">
        <v>294</v>
      </c>
      <c r="L250" t="s">
        <v>295</v>
      </c>
    </row>
    <row r="251" spans="2:12" x14ac:dyDescent="0.25">
      <c r="B251" t="s">
        <v>33</v>
      </c>
      <c r="C251" t="s">
        <v>7</v>
      </c>
      <c r="D251" t="s">
        <v>199</v>
      </c>
      <c r="E251" t="e">
        <v>#VALUE!</v>
      </c>
      <c r="F251" t="s">
        <v>89</v>
      </c>
      <c r="G251" t="s">
        <v>239</v>
      </c>
      <c r="H251" t="s">
        <v>297</v>
      </c>
      <c r="I251" t="s">
        <v>294</v>
      </c>
      <c r="J251" t="s">
        <v>294</v>
      </c>
      <c r="K251" t="s">
        <v>294</v>
      </c>
      <c r="L251" t="s">
        <v>295</v>
      </c>
    </row>
    <row r="252" spans="2:12" x14ac:dyDescent="0.25">
      <c r="B252" t="s">
        <v>33</v>
      </c>
      <c r="C252" t="s">
        <v>8</v>
      </c>
      <c r="D252" t="s">
        <v>200</v>
      </c>
      <c r="E252" t="e">
        <v>#VALUE!</v>
      </c>
      <c r="F252" t="s">
        <v>89</v>
      </c>
      <c r="G252" t="s">
        <v>239</v>
      </c>
      <c r="H252" t="s">
        <v>297</v>
      </c>
      <c r="I252" t="s">
        <v>294</v>
      </c>
      <c r="J252" t="s">
        <v>294</v>
      </c>
      <c r="K252" t="s">
        <v>294</v>
      </c>
      <c r="L252" t="s">
        <v>295</v>
      </c>
    </row>
    <row r="253" spans="2:12" x14ac:dyDescent="0.25">
      <c r="B253" t="s">
        <v>33</v>
      </c>
      <c r="C253" t="s">
        <v>13</v>
      </c>
      <c r="D253" t="s">
        <v>201</v>
      </c>
      <c r="E253" t="e">
        <v>#VALUE!</v>
      </c>
      <c r="F253" t="s">
        <v>82</v>
      </c>
      <c r="G253" t="s">
        <v>239</v>
      </c>
      <c r="H253" t="s">
        <v>297</v>
      </c>
      <c r="I253" t="s">
        <v>294</v>
      </c>
      <c r="J253" t="s">
        <v>294</v>
      </c>
      <c r="K253" t="s">
        <v>294</v>
      </c>
      <c r="L253" t="s">
        <v>295</v>
      </c>
    </row>
    <row r="254" spans="2:12" x14ac:dyDescent="0.25">
      <c r="B254" t="s">
        <v>33</v>
      </c>
      <c r="C254" t="s">
        <v>13</v>
      </c>
      <c r="D254" t="s">
        <v>202</v>
      </c>
      <c r="E254" t="e">
        <v>#VALUE!</v>
      </c>
      <c r="F254" t="s">
        <v>89</v>
      </c>
      <c r="G254" t="s">
        <v>239</v>
      </c>
      <c r="H254" t="s">
        <v>297</v>
      </c>
      <c r="I254" t="s">
        <v>294</v>
      </c>
      <c r="J254" t="s">
        <v>294</v>
      </c>
      <c r="K254" t="s">
        <v>294</v>
      </c>
      <c r="L254" t="s">
        <v>295</v>
      </c>
    </row>
    <row r="255" spans="2:12" x14ac:dyDescent="0.25">
      <c r="B255" t="s">
        <v>33</v>
      </c>
      <c r="C255" t="s">
        <v>13</v>
      </c>
      <c r="D255" t="s">
        <v>203</v>
      </c>
      <c r="E255" t="e">
        <v>#VALUE!</v>
      </c>
      <c r="F255" t="s">
        <v>89</v>
      </c>
      <c r="G255" t="s">
        <v>239</v>
      </c>
      <c r="H255" t="s">
        <v>297</v>
      </c>
      <c r="I255" t="s">
        <v>294</v>
      </c>
      <c r="J255" t="s">
        <v>294</v>
      </c>
      <c r="K255" t="s">
        <v>294</v>
      </c>
      <c r="L255" t="s">
        <v>295</v>
      </c>
    </row>
    <row r="256" spans="2:12" x14ac:dyDescent="0.25">
      <c r="B256" t="s">
        <v>34</v>
      </c>
      <c r="C256" t="s">
        <v>5</v>
      </c>
      <c r="D256" t="s">
        <v>46</v>
      </c>
      <c r="E256" t="s">
        <v>47</v>
      </c>
      <c r="F256" t="s">
        <v>58</v>
      </c>
      <c r="G256" t="s">
        <v>253</v>
      </c>
      <c r="H256" t="s">
        <v>254</v>
      </c>
      <c r="I256" t="s">
        <v>255</v>
      </c>
      <c r="J256" t="s">
        <v>256</v>
      </c>
      <c r="K256" t="s">
        <v>294</v>
      </c>
      <c r="L256" t="s">
        <v>295</v>
      </c>
    </row>
    <row r="257" spans="2:12" x14ac:dyDescent="0.25">
      <c r="B257" t="s">
        <v>34</v>
      </c>
      <c r="C257" t="s">
        <v>8</v>
      </c>
      <c r="D257" t="s">
        <v>204</v>
      </c>
      <c r="E257" t="s">
        <v>47</v>
      </c>
      <c r="F257" t="s">
        <v>48</v>
      </c>
      <c r="G257" t="s">
        <v>253</v>
      </c>
      <c r="H257" t="s">
        <v>254</v>
      </c>
      <c r="I257" t="s">
        <v>255</v>
      </c>
      <c r="J257" t="s">
        <v>256</v>
      </c>
      <c r="K257" t="s">
        <v>294</v>
      </c>
      <c r="L257" t="s">
        <v>295</v>
      </c>
    </row>
    <row r="258" spans="2:12" x14ac:dyDescent="0.25">
      <c r="B258" t="s">
        <v>34</v>
      </c>
      <c r="C258" t="s">
        <v>9</v>
      </c>
      <c r="D258" t="s">
        <v>205</v>
      </c>
      <c r="E258" t="s">
        <v>47</v>
      </c>
      <c r="F258" t="s">
        <v>82</v>
      </c>
      <c r="G258" t="s">
        <v>253</v>
      </c>
      <c r="H258" t="s">
        <v>254</v>
      </c>
      <c r="I258" t="s">
        <v>255</v>
      </c>
      <c r="J258" t="s">
        <v>256</v>
      </c>
      <c r="K258" t="s">
        <v>294</v>
      </c>
      <c r="L258" t="s">
        <v>295</v>
      </c>
    </row>
    <row r="259" spans="2:12" x14ac:dyDescent="0.25">
      <c r="B259" t="s">
        <v>34</v>
      </c>
      <c r="C259" t="s">
        <v>6</v>
      </c>
      <c r="D259" t="s">
        <v>206</v>
      </c>
      <c r="E259" t="s">
        <v>47</v>
      </c>
      <c r="F259" t="s">
        <v>60</v>
      </c>
      <c r="G259" t="s">
        <v>253</v>
      </c>
      <c r="H259" t="s">
        <v>254</v>
      </c>
      <c r="I259" t="s">
        <v>255</v>
      </c>
      <c r="J259" t="s">
        <v>256</v>
      </c>
      <c r="K259" t="s">
        <v>294</v>
      </c>
      <c r="L259" t="s">
        <v>295</v>
      </c>
    </row>
    <row r="260" spans="2:12" x14ac:dyDescent="0.25">
      <c r="B260" t="s">
        <v>34</v>
      </c>
      <c r="C260" t="s">
        <v>6</v>
      </c>
      <c r="D260" t="s">
        <v>207</v>
      </c>
      <c r="E260" t="s">
        <v>47</v>
      </c>
      <c r="F260" t="s">
        <v>60</v>
      </c>
      <c r="G260" t="s">
        <v>253</v>
      </c>
      <c r="H260" t="s">
        <v>254</v>
      </c>
      <c r="I260" t="s">
        <v>255</v>
      </c>
      <c r="J260" t="s">
        <v>256</v>
      </c>
      <c r="K260" t="s">
        <v>294</v>
      </c>
      <c r="L260" t="s">
        <v>295</v>
      </c>
    </row>
    <row r="261" spans="2:12" x14ac:dyDescent="0.25">
      <c r="B261" t="s">
        <v>34</v>
      </c>
      <c r="C261" t="s">
        <v>5</v>
      </c>
      <c r="D261" t="s">
        <v>52</v>
      </c>
      <c r="E261" t="s">
        <v>47</v>
      </c>
      <c r="F261" t="s">
        <v>58</v>
      </c>
      <c r="G261" t="s">
        <v>253</v>
      </c>
      <c r="H261" t="s">
        <v>254</v>
      </c>
      <c r="I261" t="s">
        <v>255</v>
      </c>
      <c r="J261" t="s">
        <v>256</v>
      </c>
      <c r="K261" t="s">
        <v>294</v>
      </c>
      <c r="L261" t="s">
        <v>295</v>
      </c>
    </row>
    <row r="262" spans="2:12" x14ac:dyDescent="0.25">
      <c r="B262" t="s">
        <v>34</v>
      </c>
      <c r="C262" t="s">
        <v>5</v>
      </c>
      <c r="D262" t="s">
        <v>53</v>
      </c>
      <c r="E262" t="s">
        <v>47</v>
      </c>
      <c r="F262" t="s">
        <v>58</v>
      </c>
      <c r="G262" t="s">
        <v>253</v>
      </c>
      <c r="H262" t="s">
        <v>254</v>
      </c>
      <c r="I262" t="s">
        <v>255</v>
      </c>
      <c r="J262" t="s">
        <v>256</v>
      </c>
      <c r="K262" t="s">
        <v>294</v>
      </c>
      <c r="L262" t="s">
        <v>295</v>
      </c>
    </row>
    <row r="263" spans="2:12" x14ac:dyDescent="0.25">
      <c r="B263" t="s">
        <v>34</v>
      </c>
      <c r="C263" t="s">
        <v>7</v>
      </c>
      <c r="D263" t="s">
        <v>208</v>
      </c>
      <c r="E263" t="s">
        <v>47</v>
      </c>
      <c r="F263" t="s">
        <v>184</v>
      </c>
      <c r="G263" t="s">
        <v>253</v>
      </c>
      <c r="H263" t="s">
        <v>254</v>
      </c>
      <c r="I263" t="s">
        <v>255</v>
      </c>
      <c r="J263" t="s">
        <v>256</v>
      </c>
      <c r="K263" t="s">
        <v>294</v>
      </c>
      <c r="L263" t="s">
        <v>295</v>
      </c>
    </row>
    <row r="264" spans="2:12" x14ac:dyDescent="0.25">
      <c r="B264" t="s">
        <v>34</v>
      </c>
      <c r="C264" t="s">
        <v>5</v>
      </c>
      <c r="D264" t="s">
        <v>209</v>
      </c>
      <c r="E264" t="s">
        <v>47</v>
      </c>
      <c r="F264" t="s">
        <v>210</v>
      </c>
      <c r="G264" t="s">
        <v>253</v>
      </c>
      <c r="H264" t="s">
        <v>254</v>
      </c>
      <c r="I264" t="s">
        <v>255</v>
      </c>
      <c r="J264" t="s">
        <v>256</v>
      </c>
      <c r="K264" t="s">
        <v>294</v>
      </c>
      <c r="L264" t="s">
        <v>295</v>
      </c>
    </row>
    <row r="265" spans="2:12" x14ac:dyDescent="0.25">
      <c r="B265" t="s">
        <v>34</v>
      </c>
      <c r="C265" t="s">
        <v>5</v>
      </c>
      <c r="D265" t="s">
        <v>64</v>
      </c>
      <c r="E265" t="s">
        <v>47</v>
      </c>
      <c r="F265" t="s">
        <v>210</v>
      </c>
      <c r="G265" t="s">
        <v>253</v>
      </c>
      <c r="H265" t="s">
        <v>254</v>
      </c>
      <c r="I265" t="s">
        <v>255</v>
      </c>
      <c r="J265" t="s">
        <v>256</v>
      </c>
      <c r="K265" t="s">
        <v>294</v>
      </c>
      <c r="L265" t="s">
        <v>295</v>
      </c>
    </row>
    <row r="266" spans="2:12" x14ac:dyDescent="0.25">
      <c r="B266" t="s">
        <v>34</v>
      </c>
      <c r="C266" t="s">
        <v>9</v>
      </c>
      <c r="D266" t="s">
        <v>211</v>
      </c>
      <c r="E266" t="s">
        <v>47</v>
      </c>
      <c r="F266" t="s">
        <v>82</v>
      </c>
      <c r="G266" t="s">
        <v>253</v>
      </c>
      <c r="H266" t="s">
        <v>254</v>
      </c>
      <c r="I266" t="s">
        <v>255</v>
      </c>
      <c r="J266" t="s">
        <v>256</v>
      </c>
      <c r="K266" t="s">
        <v>294</v>
      </c>
      <c r="L266" t="s">
        <v>295</v>
      </c>
    </row>
    <row r="267" spans="2:12" x14ac:dyDescent="0.25">
      <c r="B267" t="s">
        <v>34</v>
      </c>
      <c r="C267" t="s">
        <v>7</v>
      </c>
      <c r="D267" t="s">
        <v>212</v>
      </c>
      <c r="E267" t="s">
        <v>47</v>
      </c>
      <c r="F267" t="s">
        <v>71</v>
      </c>
      <c r="G267" t="s">
        <v>253</v>
      </c>
      <c r="H267" t="s">
        <v>254</v>
      </c>
      <c r="I267" t="s">
        <v>255</v>
      </c>
      <c r="J267" t="s">
        <v>256</v>
      </c>
      <c r="K267" t="s">
        <v>294</v>
      </c>
      <c r="L267" t="s">
        <v>295</v>
      </c>
    </row>
    <row r="268" spans="2:12" x14ac:dyDescent="0.25">
      <c r="B268" t="s">
        <v>35</v>
      </c>
      <c r="C268" t="s">
        <v>5</v>
      </c>
      <c r="D268" t="s">
        <v>46</v>
      </c>
      <c r="E268" t="s">
        <v>47</v>
      </c>
      <c r="F268" t="s">
        <v>48</v>
      </c>
      <c r="G268" t="s">
        <v>253</v>
      </c>
      <c r="H268" t="s">
        <v>254</v>
      </c>
      <c r="I268" t="s">
        <v>255</v>
      </c>
      <c r="J268" t="s">
        <v>256</v>
      </c>
      <c r="K268" t="s">
        <v>294</v>
      </c>
      <c r="L268" t="s">
        <v>295</v>
      </c>
    </row>
    <row r="269" spans="2:12" x14ac:dyDescent="0.25">
      <c r="B269" t="s">
        <v>35</v>
      </c>
      <c r="C269" t="s">
        <v>7</v>
      </c>
      <c r="D269" t="s">
        <v>213</v>
      </c>
      <c r="E269" t="s">
        <v>47</v>
      </c>
      <c r="F269" t="s">
        <v>71</v>
      </c>
      <c r="G269" t="s">
        <v>253</v>
      </c>
      <c r="H269" t="s">
        <v>254</v>
      </c>
      <c r="I269" t="s">
        <v>255</v>
      </c>
      <c r="J269" t="s">
        <v>256</v>
      </c>
      <c r="K269" t="s">
        <v>294</v>
      </c>
      <c r="L269" t="s">
        <v>295</v>
      </c>
    </row>
    <row r="270" spans="2:12" x14ac:dyDescent="0.25">
      <c r="B270" t="s">
        <v>35</v>
      </c>
      <c r="C270" t="s">
        <v>7</v>
      </c>
      <c r="D270" t="s">
        <v>214</v>
      </c>
      <c r="E270" t="s">
        <v>47</v>
      </c>
      <c r="F270" t="s">
        <v>71</v>
      </c>
      <c r="G270" t="s">
        <v>253</v>
      </c>
      <c r="H270" t="s">
        <v>254</v>
      </c>
      <c r="I270" t="s">
        <v>255</v>
      </c>
      <c r="J270" t="s">
        <v>256</v>
      </c>
      <c r="K270" t="s">
        <v>294</v>
      </c>
      <c r="L270" t="s">
        <v>295</v>
      </c>
    </row>
    <row r="271" spans="2:12" x14ac:dyDescent="0.25">
      <c r="B271" t="s">
        <v>35</v>
      </c>
      <c r="C271" t="s">
        <v>7</v>
      </c>
      <c r="D271" t="s">
        <v>215</v>
      </c>
      <c r="E271" t="s">
        <v>47</v>
      </c>
      <c r="F271" t="s">
        <v>71</v>
      </c>
      <c r="G271" t="s">
        <v>253</v>
      </c>
      <c r="H271" t="s">
        <v>254</v>
      </c>
      <c r="I271" t="s">
        <v>255</v>
      </c>
      <c r="J271" t="s">
        <v>256</v>
      </c>
      <c r="K271" t="s">
        <v>294</v>
      </c>
      <c r="L271" t="s">
        <v>295</v>
      </c>
    </row>
    <row r="272" spans="2:12" x14ac:dyDescent="0.25">
      <c r="B272" t="s">
        <v>35</v>
      </c>
      <c r="C272" t="s">
        <v>6</v>
      </c>
      <c r="D272" t="s">
        <v>216</v>
      </c>
      <c r="E272" t="s">
        <v>47</v>
      </c>
      <c r="F272" t="s">
        <v>50</v>
      </c>
      <c r="G272" t="s">
        <v>253</v>
      </c>
      <c r="H272" t="s">
        <v>254</v>
      </c>
      <c r="I272" t="s">
        <v>255</v>
      </c>
      <c r="J272" t="s">
        <v>256</v>
      </c>
      <c r="K272" t="s">
        <v>294</v>
      </c>
      <c r="L272" t="s">
        <v>295</v>
      </c>
    </row>
    <row r="273" spans="2:12" x14ac:dyDescent="0.25">
      <c r="B273" t="s">
        <v>35</v>
      </c>
      <c r="C273" t="s">
        <v>5</v>
      </c>
      <c r="D273" t="s">
        <v>53</v>
      </c>
      <c r="E273" t="s">
        <v>47</v>
      </c>
      <c r="F273" t="s">
        <v>48</v>
      </c>
      <c r="G273" t="s">
        <v>253</v>
      </c>
      <c r="H273" t="s">
        <v>254</v>
      </c>
      <c r="I273" t="s">
        <v>255</v>
      </c>
      <c r="J273" t="s">
        <v>256</v>
      </c>
      <c r="K273" t="s">
        <v>294</v>
      </c>
      <c r="L273" t="s">
        <v>295</v>
      </c>
    </row>
    <row r="274" spans="2:12" x14ac:dyDescent="0.25">
      <c r="B274" t="s">
        <v>35</v>
      </c>
      <c r="C274" t="s">
        <v>5</v>
      </c>
      <c r="D274" t="s">
        <v>217</v>
      </c>
      <c r="E274" t="s">
        <v>47</v>
      </c>
      <c r="F274" t="s">
        <v>48</v>
      </c>
      <c r="G274" t="s">
        <v>253</v>
      </c>
      <c r="H274" t="s">
        <v>254</v>
      </c>
      <c r="I274" t="s">
        <v>255</v>
      </c>
      <c r="J274" t="s">
        <v>256</v>
      </c>
      <c r="K274" t="s">
        <v>294</v>
      </c>
      <c r="L274" t="s">
        <v>295</v>
      </c>
    </row>
    <row r="275" spans="2:12" x14ac:dyDescent="0.25">
      <c r="B275" t="s">
        <v>35</v>
      </c>
      <c r="C275" t="s">
        <v>5</v>
      </c>
      <c r="D275" t="s">
        <v>56</v>
      </c>
      <c r="E275" t="s">
        <v>47</v>
      </c>
      <c r="F275" t="s">
        <v>48</v>
      </c>
      <c r="G275" t="s">
        <v>253</v>
      </c>
      <c r="H275" t="s">
        <v>254</v>
      </c>
      <c r="I275" t="s">
        <v>255</v>
      </c>
      <c r="J275" t="s">
        <v>256</v>
      </c>
      <c r="K275" t="s">
        <v>294</v>
      </c>
      <c r="L275" t="s">
        <v>295</v>
      </c>
    </row>
    <row r="276" spans="2:12" x14ac:dyDescent="0.25">
      <c r="B276" t="s">
        <v>35</v>
      </c>
      <c r="C276" t="s">
        <v>8</v>
      </c>
      <c r="D276" t="s">
        <v>172</v>
      </c>
      <c r="E276" t="s">
        <v>47</v>
      </c>
      <c r="F276" t="s">
        <v>50</v>
      </c>
      <c r="G276" t="s">
        <v>253</v>
      </c>
      <c r="H276" t="s">
        <v>254</v>
      </c>
      <c r="I276" t="s">
        <v>255</v>
      </c>
      <c r="J276" t="s">
        <v>256</v>
      </c>
      <c r="K276" t="s">
        <v>294</v>
      </c>
      <c r="L276" t="s">
        <v>295</v>
      </c>
    </row>
    <row r="277" spans="2:12" x14ac:dyDescent="0.25">
      <c r="B277" t="s">
        <v>36</v>
      </c>
      <c r="C277" t="s">
        <v>5</v>
      </c>
      <c r="D277" t="s">
        <v>46</v>
      </c>
      <c r="E277" t="s">
        <v>47</v>
      </c>
      <c r="F277" t="s">
        <v>58</v>
      </c>
      <c r="G277" t="s">
        <v>253</v>
      </c>
      <c r="H277" t="s">
        <v>254</v>
      </c>
      <c r="I277" t="s">
        <v>255</v>
      </c>
      <c r="J277" t="s">
        <v>256</v>
      </c>
      <c r="K277" t="s">
        <v>294</v>
      </c>
      <c r="L277" t="s">
        <v>295</v>
      </c>
    </row>
    <row r="278" spans="2:12" x14ac:dyDescent="0.25">
      <c r="B278" t="s">
        <v>36</v>
      </c>
      <c r="C278" t="s">
        <v>8</v>
      </c>
      <c r="D278" t="s">
        <v>204</v>
      </c>
      <c r="E278" t="s">
        <v>47</v>
      </c>
      <c r="F278" t="s">
        <v>48</v>
      </c>
      <c r="G278" t="s">
        <v>253</v>
      </c>
      <c r="H278" t="s">
        <v>254</v>
      </c>
      <c r="I278" t="s">
        <v>255</v>
      </c>
      <c r="J278" t="s">
        <v>256</v>
      </c>
      <c r="K278" t="s">
        <v>294</v>
      </c>
      <c r="L278" t="s">
        <v>295</v>
      </c>
    </row>
    <row r="279" spans="2:12" x14ac:dyDescent="0.25">
      <c r="B279" t="s">
        <v>36</v>
      </c>
      <c r="C279" t="s">
        <v>9</v>
      </c>
      <c r="D279" t="s">
        <v>205</v>
      </c>
      <c r="E279" t="s">
        <v>47</v>
      </c>
      <c r="F279" t="s">
        <v>82</v>
      </c>
      <c r="G279" t="s">
        <v>253</v>
      </c>
      <c r="H279" t="s">
        <v>254</v>
      </c>
      <c r="I279" t="s">
        <v>255</v>
      </c>
      <c r="J279" t="s">
        <v>256</v>
      </c>
      <c r="K279" t="s">
        <v>294</v>
      </c>
      <c r="L279" t="s">
        <v>295</v>
      </c>
    </row>
    <row r="280" spans="2:12" x14ac:dyDescent="0.25">
      <c r="B280" t="s">
        <v>36</v>
      </c>
      <c r="C280" t="s">
        <v>6</v>
      </c>
      <c r="D280" t="s">
        <v>206</v>
      </c>
      <c r="E280" t="s">
        <v>47</v>
      </c>
      <c r="F280" t="s">
        <v>60</v>
      </c>
      <c r="G280" t="s">
        <v>253</v>
      </c>
      <c r="H280" t="s">
        <v>254</v>
      </c>
      <c r="I280" t="s">
        <v>255</v>
      </c>
      <c r="J280" t="s">
        <v>256</v>
      </c>
      <c r="K280" t="s">
        <v>294</v>
      </c>
      <c r="L280" t="s">
        <v>295</v>
      </c>
    </row>
    <row r="281" spans="2:12" x14ac:dyDescent="0.25">
      <c r="B281" t="s">
        <v>36</v>
      </c>
      <c r="C281" t="s">
        <v>6</v>
      </c>
      <c r="D281" t="s">
        <v>207</v>
      </c>
      <c r="E281" t="s">
        <v>47</v>
      </c>
      <c r="F281" t="s">
        <v>60</v>
      </c>
      <c r="G281" t="s">
        <v>253</v>
      </c>
      <c r="H281" t="s">
        <v>254</v>
      </c>
      <c r="I281" t="s">
        <v>255</v>
      </c>
      <c r="J281" t="s">
        <v>256</v>
      </c>
      <c r="K281" t="s">
        <v>294</v>
      </c>
      <c r="L281" t="s">
        <v>295</v>
      </c>
    </row>
    <row r="282" spans="2:12" x14ac:dyDescent="0.25">
      <c r="B282" t="s">
        <v>36</v>
      </c>
      <c r="C282" t="s">
        <v>5</v>
      </c>
      <c r="D282" t="s">
        <v>52</v>
      </c>
      <c r="E282" t="s">
        <v>47</v>
      </c>
      <c r="F282" t="s">
        <v>58</v>
      </c>
      <c r="G282" t="s">
        <v>253</v>
      </c>
      <c r="H282" t="s">
        <v>254</v>
      </c>
      <c r="I282" t="s">
        <v>255</v>
      </c>
      <c r="J282" t="s">
        <v>256</v>
      </c>
      <c r="K282" t="s">
        <v>294</v>
      </c>
      <c r="L282" t="s">
        <v>295</v>
      </c>
    </row>
    <row r="283" spans="2:12" x14ac:dyDescent="0.25">
      <c r="B283" t="s">
        <v>36</v>
      </c>
      <c r="C283" t="s">
        <v>5</v>
      </c>
      <c r="D283" t="s">
        <v>53</v>
      </c>
      <c r="E283" t="s">
        <v>47</v>
      </c>
      <c r="F283" t="s">
        <v>58</v>
      </c>
      <c r="G283" t="s">
        <v>253</v>
      </c>
      <c r="H283" t="s">
        <v>254</v>
      </c>
      <c r="I283" t="s">
        <v>255</v>
      </c>
      <c r="J283" t="s">
        <v>256</v>
      </c>
      <c r="K283" t="s">
        <v>294</v>
      </c>
      <c r="L283" t="s">
        <v>295</v>
      </c>
    </row>
    <row r="284" spans="2:12" x14ac:dyDescent="0.25">
      <c r="B284" t="s">
        <v>36</v>
      </c>
      <c r="C284" t="s">
        <v>7</v>
      </c>
      <c r="D284" t="s">
        <v>208</v>
      </c>
      <c r="E284" t="s">
        <v>47</v>
      </c>
      <c r="F284" t="s">
        <v>184</v>
      </c>
      <c r="G284" t="s">
        <v>253</v>
      </c>
      <c r="H284" t="s">
        <v>254</v>
      </c>
      <c r="I284" t="s">
        <v>255</v>
      </c>
      <c r="J284" t="s">
        <v>256</v>
      </c>
      <c r="K284" t="s">
        <v>294</v>
      </c>
      <c r="L284" t="s">
        <v>295</v>
      </c>
    </row>
    <row r="285" spans="2:12" x14ac:dyDescent="0.25">
      <c r="B285" t="s">
        <v>36</v>
      </c>
      <c r="C285" t="s">
        <v>5</v>
      </c>
      <c r="D285" t="s">
        <v>209</v>
      </c>
      <c r="E285" t="s">
        <v>47</v>
      </c>
      <c r="F285" t="s">
        <v>210</v>
      </c>
      <c r="G285" t="s">
        <v>253</v>
      </c>
      <c r="H285" t="s">
        <v>254</v>
      </c>
      <c r="I285" t="s">
        <v>255</v>
      </c>
      <c r="J285" t="s">
        <v>256</v>
      </c>
      <c r="K285" t="s">
        <v>294</v>
      </c>
      <c r="L285" t="s">
        <v>295</v>
      </c>
    </row>
    <row r="286" spans="2:12" x14ac:dyDescent="0.25">
      <c r="B286" t="s">
        <v>36</v>
      </c>
      <c r="C286" t="s">
        <v>5</v>
      </c>
      <c r="D286" t="s">
        <v>64</v>
      </c>
      <c r="E286" t="s">
        <v>47</v>
      </c>
      <c r="F286" t="s">
        <v>210</v>
      </c>
      <c r="G286" t="s">
        <v>253</v>
      </c>
      <c r="H286" t="s">
        <v>254</v>
      </c>
      <c r="I286" t="s">
        <v>255</v>
      </c>
      <c r="J286" t="s">
        <v>256</v>
      </c>
      <c r="K286" t="s">
        <v>294</v>
      </c>
      <c r="L286" t="s">
        <v>295</v>
      </c>
    </row>
    <row r="287" spans="2:12" x14ac:dyDescent="0.25">
      <c r="B287" t="s">
        <v>36</v>
      </c>
      <c r="C287" t="s">
        <v>9</v>
      </c>
      <c r="D287" t="s">
        <v>211</v>
      </c>
      <c r="E287" t="s">
        <v>47</v>
      </c>
      <c r="F287" t="s">
        <v>82</v>
      </c>
      <c r="G287" t="s">
        <v>253</v>
      </c>
      <c r="H287" t="s">
        <v>254</v>
      </c>
      <c r="I287" t="s">
        <v>255</v>
      </c>
      <c r="J287" t="s">
        <v>256</v>
      </c>
      <c r="K287" t="s">
        <v>294</v>
      </c>
      <c r="L287" t="s">
        <v>295</v>
      </c>
    </row>
    <row r="288" spans="2:12" x14ac:dyDescent="0.25">
      <c r="B288" t="s">
        <v>36</v>
      </c>
      <c r="C288" t="s">
        <v>7</v>
      </c>
      <c r="D288" t="s">
        <v>212</v>
      </c>
      <c r="E288" t="s">
        <v>47</v>
      </c>
      <c r="F288" t="s">
        <v>71</v>
      </c>
      <c r="G288" t="s">
        <v>253</v>
      </c>
      <c r="H288" t="s">
        <v>254</v>
      </c>
      <c r="I288" t="s">
        <v>255</v>
      </c>
      <c r="J288" t="s">
        <v>256</v>
      </c>
      <c r="K288" t="s">
        <v>294</v>
      </c>
      <c r="L288" t="s">
        <v>295</v>
      </c>
    </row>
    <row r="289" spans="2:12" x14ac:dyDescent="0.25">
      <c r="B289" t="s">
        <v>37</v>
      </c>
      <c r="C289" t="s">
        <v>5</v>
      </c>
      <c r="D289" t="s">
        <v>46</v>
      </c>
      <c r="E289" t="s">
        <v>47</v>
      </c>
      <c r="F289" t="s">
        <v>48</v>
      </c>
      <c r="G289" t="s">
        <v>253</v>
      </c>
      <c r="H289" t="s">
        <v>254</v>
      </c>
      <c r="I289" t="s">
        <v>255</v>
      </c>
      <c r="J289" t="s">
        <v>256</v>
      </c>
      <c r="K289" t="s">
        <v>294</v>
      </c>
      <c r="L289" t="s">
        <v>295</v>
      </c>
    </row>
    <row r="290" spans="2:12" x14ac:dyDescent="0.25">
      <c r="B290" t="s">
        <v>37</v>
      </c>
      <c r="C290" t="s">
        <v>8</v>
      </c>
      <c r="D290" t="s">
        <v>218</v>
      </c>
      <c r="E290" t="s">
        <v>47</v>
      </c>
      <c r="F290" t="s">
        <v>71</v>
      </c>
      <c r="G290" t="s">
        <v>253</v>
      </c>
      <c r="H290" t="s">
        <v>254</v>
      </c>
      <c r="I290" t="s">
        <v>255</v>
      </c>
      <c r="J290" t="s">
        <v>256</v>
      </c>
      <c r="K290" t="s">
        <v>294</v>
      </c>
      <c r="L290" t="s">
        <v>295</v>
      </c>
    </row>
    <row r="291" spans="2:12" x14ac:dyDescent="0.25">
      <c r="B291" t="s">
        <v>37</v>
      </c>
      <c r="C291" t="s">
        <v>8</v>
      </c>
      <c r="D291" t="s">
        <v>219</v>
      </c>
      <c r="E291" t="s">
        <v>47</v>
      </c>
      <c r="F291" t="s">
        <v>71</v>
      </c>
      <c r="G291" t="s">
        <v>253</v>
      </c>
      <c r="H291" t="s">
        <v>254</v>
      </c>
      <c r="I291" t="s">
        <v>255</v>
      </c>
      <c r="J291" t="s">
        <v>256</v>
      </c>
      <c r="K291" t="s">
        <v>294</v>
      </c>
      <c r="L291" t="s">
        <v>295</v>
      </c>
    </row>
    <row r="292" spans="2:12" x14ac:dyDescent="0.25">
      <c r="B292" t="s">
        <v>37</v>
      </c>
      <c r="C292" t="s">
        <v>7</v>
      </c>
      <c r="D292" t="s">
        <v>220</v>
      </c>
      <c r="E292" t="s">
        <v>47</v>
      </c>
      <c r="F292" t="s">
        <v>71</v>
      </c>
      <c r="G292" t="s">
        <v>253</v>
      </c>
      <c r="H292" t="s">
        <v>254</v>
      </c>
      <c r="I292" t="s">
        <v>255</v>
      </c>
      <c r="J292" t="s">
        <v>256</v>
      </c>
      <c r="K292" t="s">
        <v>294</v>
      </c>
      <c r="L292" t="s">
        <v>295</v>
      </c>
    </row>
    <row r="293" spans="2:12" x14ac:dyDescent="0.25">
      <c r="B293" t="s">
        <v>37</v>
      </c>
      <c r="C293" t="s">
        <v>7</v>
      </c>
      <c r="D293" t="s">
        <v>213</v>
      </c>
      <c r="E293" t="s">
        <v>47</v>
      </c>
      <c r="F293" t="s">
        <v>71</v>
      </c>
      <c r="G293" t="s">
        <v>253</v>
      </c>
      <c r="H293" t="s">
        <v>254</v>
      </c>
      <c r="I293" t="s">
        <v>255</v>
      </c>
      <c r="J293" t="s">
        <v>256</v>
      </c>
      <c r="K293" t="s">
        <v>294</v>
      </c>
      <c r="L293" t="s">
        <v>295</v>
      </c>
    </row>
    <row r="294" spans="2:12" x14ac:dyDescent="0.25">
      <c r="B294" t="s">
        <v>37</v>
      </c>
      <c r="C294" t="s">
        <v>6</v>
      </c>
      <c r="D294" t="s">
        <v>221</v>
      </c>
      <c r="E294" t="s">
        <v>47</v>
      </c>
      <c r="F294" t="s">
        <v>60</v>
      </c>
      <c r="G294" t="s">
        <v>253</v>
      </c>
      <c r="H294" t="s">
        <v>254</v>
      </c>
      <c r="I294" t="s">
        <v>255</v>
      </c>
      <c r="J294" t="s">
        <v>256</v>
      </c>
      <c r="K294" t="s">
        <v>294</v>
      </c>
      <c r="L294" t="s">
        <v>295</v>
      </c>
    </row>
    <row r="295" spans="2:12" x14ac:dyDescent="0.25">
      <c r="B295" t="s">
        <v>37</v>
      </c>
      <c r="C295" t="s">
        <v>6</v>
      </c>
      <c r="D295" t="s">
        <v>216</v>
      </c>
      <c r="E295" t="s">
        <v>47</v>
      </c>
      <c r="F295" t="s">
        <v>50</v>
      </c>
      <c r="G295" t="s">
        <v>253</v>
      </c>
      <c r="H295" t="s">
        <v>254</v>
      </c>
      <c r="I295" t="s">
        <v>255</v>
      </c>
      <c r="J295" t="s">
        <v>256</v>
      </c>
      <c r="K295" t="s">
        <v>294</v>
      </c>
      <c r="L295" t="s">
        <v>295</v>
      </c>
    </row>
    <row r="296" spans="2:12" x14ac:dyDescent="0.25">
      <c r="B296" t="s">
        <v>37</v>
      </c>
      <c r="C296" t="s">
        <v>5</v>
      </c>
      <c r="D296" t="s">
        <v>53</v>
      </c>
      <c r="E296" t="s">
        <v>47</v>
      </c>
      <c r="F296" t="s">
        <v>48</v>
      </c>
      <c r="G296" t="s">
        <v>253</v>
      </c>
      <c r="H296" t="s">
        <v>254</v>
      </c>
      <c r="I296" t="s">
        <v>255</v>
      </c>
      <c r="J296" t="s">
        <v>256</v>
      </c>
      <c r="K296" t="s">
        <v>294</v>
      </c>
      <c r="L296" t="s">
        <v>295</v>
      </c>
    </row>
    <row r="297" spans="2:12" x14ac:dyDescent="0.25">
      <c r="B297" t="s">
        <v>37</v>
      </c>
      <c r="C297" t="s">
        <v>5</v>
      </c>
      <c r="D297" t="s">
        <v>217</v>
      </c>
      <c r="E297" t="s">
        <v>47</v>
      </c>
      <c r="F297" t="s">
        <v>48</v>
      </c>
      <c r="G297" t="s">
        <v>253</v>
      </c>
      <c r="H297" t="s">
        <v>254</v>
      </c>
      <c r="I297" t="s">
        <v>255</v>
      </c>
      <c r="J297" t="s">
        <v>256</v>
      </c>
      <c r="K297" t="s">
        <v>294</v>
      </c>
      <c r="L297" t="s">
        <v>295</v>
      </c>
    </row>
    <row r="298" spans="2:12" x14ac:dyDescent="0.25">
      <c r="B298" t="s">
        <v>37</v>
      </c>
      <c r="C298" t="s">
        <v>5</v>
      </c>
      <c r="D298" t="s">
        <v>56</v>
      </c>
      <c r="E298" t="s">
        <v>47</v>
      </c>
      <c r="F298" t="s">
        <v>48</v>
      </c>
      <c r="G298" t="s">
        <v>253</v>
      </c>
      <c r="H298" t="s">
        <v>254</v>
      </c>
      <c r="I298" t="s">
        <v>255</v>
      </c>
      <c r="J298" t="s">
        <v>256</v>
      </c>
      <c r="K298" t="s">
        <v>294</v>
      </c>
      <c r="L298" t="s">
        <v>295</v>
      </c>
    </row>
    <row r="299" spans="2:12" x14ac:dyDescent="0.25">
      <c r="B299" t="s">
        <v>37</v>
      </c>
      <c r="C299" t="s">
        <v>8</v>
      </c>
      <c r="D299" t="s">
        <v>172</v>
      </c>
      <c r="E299" t="s">
        <v>47</v>
      </c>
      <c r="F299" t="s">
        <v>71</v>
      </c>
      <c r="G299" t="s">
        <v>253</v>
      </c>
      <c r="H299" t="s">
        <v>254</v>
      </c>
      <c r="I299" t="s">
        <v>255</v>
      </c>
      <c r="J299" t="s">
        <v>256</v>
      </c>
      <c r="K299" t="s">
        <v>294</v>
      </c>
      <c r="L299" t="s">
        <v>295</v>
      </c>
    </row>
    <row r="300" spans="2:12" x14ac:dyDescent="0.25">
      <c r="B300" t="s">
        <v>17</v>
      </c>
      <c r="C300" t="s">
        <v>5</v>
      </c>
      <c r="D300" t="s">
        <v>46</v>
      </c>
      <c r="E300" t="s">
        <v>47</v>
      </c>
      <c r="F300" t="s">
        <v>48</v>
      </c>
      <c r="G300" t="s">
        <v>253</v>
      </c>
      <c r="H300" t="s">
        <v>254</v>
      </c>
      <c r="I300" t="s">
        <v>255</v>
      </c>
      <c r="J300" t="s">
        <v>256</v>
      </c>
      <c r="K300" t="s">
        <v>294</v>
      </c>
      <c r="L300" t="s">
        <v>295</v>
      </c>
    </row>
    <row r="301" spans="2:12" x14ac:dyDescent="0.25">
      <c r="B301" t="s">
        <v>17</v>
      </c>
      <c r="C301" t="s">
        <v>5</v>
      </c>
      <c r="D301" t="s">
        <v>222</v>
      </c>
      <c r="E301" t="s">
        <v>47</v>
      </c>
      <c r="F301" t="s">
        <v>48</v>
      </c>
      <c r="G301" t="s">
        <v>253</v>
      </c>
      <c r="H301" t="s">
        <v>254</v>
      </c>
      <c r="I301" t="s">
        <v>255</v>
      </c>
      <c r="J301" t="s">
        <v>256</v>
      </c>
      <c r="K301" t="s">
        <v>294</v>
      </c>
      <c r="L301" t="s">
        <v>295</v>
      </c>
    </row>
    <row r="302" spans="2:12" x14ac:dyDescent="0.25">
      <c r="B302" t="s">
        <v>17</v>
      </c>
      <c r="C302" t="s">
        <v>18</v>
      </c>
      <c r="D302" t="s">
        <v>99</v>
      </c>
      <c r="E302" t="s">
        <v>47</v>
      </c>
      <c r="F302" t="s">
        <v>48</v>
      </c>
      <c r="G302" t="s">
        <v>253</v>
      </c>
      <c r="H302" t="s">
        <v>254</v>
      </c>
      <c r="I302" t="s">
        <v>255</v>
      </c>
      <c r="J302" t="s">
        <v>256</v>
      </c>
      <c r="K302" t="s">
        <v>294</v>
      </c>
      <c r="L302" t="s">
        <v>295</v>
      </c>
    </row>
    <row r="303" spans="2:12" x14ac:dyDescent="0.25">
      <c r="B303" t="s">
        <v>17</v>
      </c>
      <c r="C303" t="s">
        <v>7</v>
      </c>
      <c r="D303" t="s">
        <v>213</v>
      </c>
      <c r="E303" t="s">
        <v>47</v>
      </c>
      <c r="F303" t="s">
        <v>71</v>
      </c>
      <c r="G303" t="s">
        <v>253</v>
      </c>
      <c r="H303" t="s">
        <v>254</v>
      </c>
      <c r="I303" t="s">
        <v>255</v>
      </c>
      <c r="J303" t="s">
        <v>256</v>
      </c>
      <c r="K303" t="s">
        <v>294</v>
      </c>
      <c r="L303" t="s">
        <v>295</v>
      </c>
    </row>
    <row r="304" spans="2:12" x14ac:dyDescent="0.25">
      <c r="B304" t="s">
        <v>17</v>
      </c>
      <c r="C304" t="s">
        <v>6</v>
      </c>
      <c r="D304" t="s">
        <v>216</v>
      </c>
      <c r="E304" t="s">
        <v>47</v>
      </c>
      <c r="F304" t="s">
        <v>50</v>
      </c>
      <c r="G304" t="s">
        <v>253</v>
      </c>
      <c r="H304" t="s">
        <v>254</v>
      </c>
      <c r="I304" t="s">
        <v>255</v>
      </c>
      <c r="J304" t="s">
        <v>256</v>
      </c>
      <c r="K304" t="s">
        <v>294</v>
      </c>
      <c r="L304" t="s">
        <v>295</v>
      </c>
    </row>
    <row r="305" spans="2:12" x14ac:dyDescent="0.25">
      <c r="B305" t="s">
        <v>17</v>
      </c>
      <c r="C305" t="s">
        <v>5</v>
      </c>
      <c r="D305" t="s">
        <v>53</v>
      </c>
      <c r="E305" t="s">
        <v>47</v>
      </c>
      <c r="F305" t="s">
        <v>48</v>
      </c>
      <c r="G305" t="s">
        <v>253</v>
      </c>
      <c r="H305" t="s">
        <v>254</v>
      </c>
      <c r="I305" t="s">
        <v>255</v>
      </c>
      <c r="J305" t="s">
        <v>256</v>
      </c>
      <c r="K305" t="s">
        <v>294</v>
      </c>
      <c r="L305" t="s">
        <v>295</v>
      </c>
    </row>
    <row r="306" spans="2:12" x14ac:dyDescent="0.25">
      <c r="B306" t="s">
        <v>17</v>
      </c>
      <c r="C306" t="s">
        <v>5</v>
      </c>
      <c r="D306" t="s">
        <v>217</v>
      </c>
      <c r="E306" t="s">
        <v>47</v>
      </c>
      <c r="F306" t="s">
        <v>48</v>
      </c>
      <c r="G306" t="s">
        <v>253</v>
      </c>
      <c r="H306" t="s">
        <v>254</v>
      </c>
      <c r="I306" t="s">
        <v>255</v>
      </c>
      <c r="J306" t="s">
        <v>256</v>
      </c>
      <c r="K306" t="s">
        <v>294</v>
      </c>
      <c r="L306" t="s">
        <v>295</v>
      </c>
    </row>
    <row r="307" spans="2:12" x14ac:dyDescent="0.25">
      <c r="B307" t="s">
        <v>17</v>
      </c>
      <c r="C307" t="s">
        <v>5</v>
      </c>
      <c r="D307" t="s">
        <v>56</v>
      </c>
      <c r="E307" t="s">
        <v>47</v>
      </c>
      <c r="F307" t="s">
        <v>48</v>
      </c>
      <c r="G307" t="s">
        <v>253</v>
      </c>
      <c r="H307" t="s">
        <v>254</v>
      </c>
      <c r="I307" t="s">
        <v>255</v>
      </c>
      <c r="J307" t="s">
        <v>256</v>
      </c>
      <c r="K307" t="s">
        <v>294</v>
      </c>
      <c r="L307" t="s">
        <v>295</v>
      </c>
    </row>
    <row r="308" spans="2:12" x14ac:dyDescent="0.25">
      <c r="B308" t="s">
        <v>17</v>
      </c>
      <c r="C308" t="s">
        <v>8</v>
      </c>
      <c r="D308" t="s">
        <v>172</v>
      </c>
      <c r="E308" t="s">
        <v>47</v>
      </c>
      <c r="F308" t="s">
        <v>50</v>
      </c>
      <c r="G308" t="s">
        <v>253</v>
      </c>
      <c r="H308" t="s">
        <v>254</v>
      </c>
      <c r="I308" t="s">
        <v>255</v>
      </c>
      <c r="J308" t="s">
        <v>256</v>
      </c>
      <c r="K308" t="s">
        <v>294</v>
      </c>
      <c r="L308" t="s">
        <v>295</v>
      </c>
    </row>
    <row r="309" spans="2:12" x14ac:dyDescent="0.25">
      <c r="B309" t="s">
        <v>38</v>
      </c>
      <c r="C309" t="s">
        <v>5</v>
      </c>
      <c r="D309" t="s">
        <v>46</v>
      </c>
      <c r="E309" t="s">
        <v>47</v>
      </c>
      <c r="F309" t="s">
        <v>58</v>
      </c>
      <c r="G309" t="s">
        <v>253</v>
      </c>
      <c r="H309" t="s">
        <v>254</v>
      </c>
      <c r="I309" t="s">
        <v>255</v>
      </c>
      <c r="J309" t="s">
        <v>256</v>
      </c>
      <c r="K309" t="s">
        <v>294</v>
      </c>
      <c r="L309" t="s">
        <v>295</v>
      </c>
    </row>
    <row r="310" spans="2:12" x14ac:dyDescent="0.25">
      <c r="B310" t="s">
        <v>38</v>
      </c>
      <c r="C310" t="s">
        <v>9</v>
      </c>
      <c r="D310" t="s">
        <v>223</v>
      </c>
      <c r="E310" t="s">
        <v>47</v>
      </c>
      <c r="F310" t="s">
        <v>58</v>
      </c>
      <c r="G310" t="s">
        <v>253</v>
      </c>
      <c r="H310" t="s">
        <v>254</v>
      </c>
      <c r="I310" t="s">
        <v>255</v>
      </c>
      <c r="J310" t="s">
        <v>256</v>
      </c>
      <c r="K310" t="s">
        <v>294</v>
      </c>
      <c r="L310" t="s">
        <v>295</v>
      </c>
    </row>
    <row r="311" spans="2:12" x14ac:dyDescent="0.25">
      <c r="B311" t="s">
        <v>38</v>
      </c>
      <c r="C311" t="s">
        <v>8</v>
      </c>
      <c r="D311" t="s">
        <v>218</v>
      </c>
      <c r="E311" t="s">
        <v>47</v>
      </c>
      <c r="F311" t="s">
        <v>71</v>
      </c>
      <c r="G311" t="s">
        <v>253</v>
      </c>
      <c r="H311" t="s">
        <v>254</v>
      </c>
      <c r="I311" t="s">
        <v>255</v>
      </c>
      <c r="J311" t="s">
        <v>256</v>
      </c>
      <c r="K311" t="s">
        <v>294</v>
      </c>
      <c r="L311" t="s">
        <v>295</v>
      </c>
    </row>
    <row r="312" spans="2:12" x14ac:dyDescent="0.25">
      <c r="B312" t="s">
        <v>38</v>
      </c>
      <c r="C312" t="s">
        <v>18</v>
      </c>
      <c r="D312" t="s">
        <v>224</v>
      </c>
      <c r="E312" t="s">
        <v>47</v>
      </c>
      <c r="F312" t="s">
        <v>58</v>
      </c>
      <c r="G312" t="s">
        <v>253</v>
      </c>
      <c r="H312" t="s">
        <v>254</v>
      </c>
      <c r="I312" t="s">
        <v>255</v>
      </c>
      <c r="J312" t="s">
        <v>256</v>
      </c>
      <c r="K312" t="s">
        <v>294</v>
      </c>
      <c r="L312" t="s">
        <v>295</v>
      </c>
    </row>
    <row r="313" spans="2:12" x14ac:dyDescent="0.25">
      <c r="B313" t="s">
        <v>38</v>
      </c>
      <c r="C313" t="s">
        <v>9</v>
      </c>
      <c r="D313" t="s">
        <v>225</v>
      </c>
      <c r="E313" t="s">
        <v>47</v>
      </c>
      <c r="F313" t="s">
        <v>58</v>
      </c>
      <c r="G313" t="s">
        <v>253</v>
      </c>
      <c r="H313" t="s">
        <v>254</v>
      </c>
      <c r="I313" t="s">
        <v>255</v>
      </c>
      <c r="J313" t="s">
        <v>256</v>
      </c>
      <c r="K313" t="s">
        <v>294</v>
      </c>
      <c r="L313" t="s">
        <v>295</v>
      </c>
    </row>
    <row r="314" spans="2:12" x14ac:dyDescent="0.25">
      <c r="B314" t="s">
        <v>38</v>
      </c>
      <c r="C314" t="s">
        <v>9</v>
      </c>
      <c r="D314" t="s">
        <v>226</v>
      </c>
      <c r="E314" t="s">
        <v>47</v>
      </c>
      <c r="F314" t="s">
        <v>58</v>
      </c>
      <c r="G314" t="s">
        <v>253</v>
      </c>
      <c r="H314" t="s">
        <v>254</v>
      </c>
      <c r="I314" t="s">
        <v>255</v>
      </c>
      <c r="J314" t="s">
        <v>256</v>
      </c>
      <c r="K314" t="s">
        <v>294</v>
      </c>
      <c r="L314" t="s">
        <v>295</v>
      </c>
    </row>
    <row r="315" spans="2:12" x14ac:dyDescent="0.25">
      <c r="B315" t="s">
        <v>38</v>
      </c>
      <c r="C315" t="s">
        <v>6</v>
      </c>
      <c r="D315" t="s">
        <v>227</v>
      </c>
      <c r="E315" t="s">
        <v>47</v>
      </c>
      <c r="F315" t="s">
        <v>60</v>
      </c>
      <c r="G315" t="s">
        <v>253</v>
      </c>
      <c r="H315" t="s">
        <v>254</v>
      </c>
      <c r="I315" t="s">
        <v>255</v>
      </c>
      <c r="J315" t="s">
        <v>256</v>
      </c>
      <c r="K315" t="s">
        <v>294</v>
      </c>
      <c r="L315" t="s">
        <v>295</v>
      </c>
    </row>
    <row r="316" spans="2:12" x14ac:dyDescent="0.25">
      <c r="B316" t="s">
        <v>38</v>
      </c>
      <c r="C316" t="s">
        <v>5</v>
      </c>
      <c r="D316" t="s">
        <v>52</v>
      </c>
      <c r="E316" t="s">
        <v>47</v>
      </c>
      <c r="F316" t="s">
        <v>58</v>
      </c>
      <c r="G316" t="s">
        <v>253</v>
      </c>
      <c r="H316" t="s">
        <v>254</v>
      </c>
      <c r="I316" t="s">
        <v>255</v>
      </c>
      <c r="J316" t="s">
        <v>256</v>
      </c>
      <c r="K316" t="s">
        <v>294</v>
      </c>
      <c r="L316" t="s">
        <v>295</v>
      </c>
    </row>
    <row r="317" spans="2:12" x14ac:dyDescent="0.25">
      <c r="B317" t="s">
        <v>38</v>
      </c>
      <c r="C317" t="s">
        <v>5</v>
      </c>
      <c r="D317" t="s">
        <v>53</v>
      </c>
      <c r="E317" t="s">
        <v>47</v>
      </c>
      <c r="F317" t="s">
        <v>58</v>
      </c>
      <c r="G317" t="s">
        <v>253</v>
      </c>
      <c r="H317" t="s">
        <v>254</v>
      </c>
      <c r="I317" t="s">
        <v>255</v>
      </c>
      <c r="J317" t="s">
        <v>256</v>
      </c>
      <c r="K317" t="s">
        <v>294</v>
      </c>
      <c r="L317" t="s">
        <v>295</v>
      </c>
    </row>
    <row r="318" spans="2:12" x14ac:dyDescent="0.25">
      <c r="B318" t="s">
        <v>38</v>
      </c>
      <c r="C318" t="s">
        <v>5</v>
      </c>
      <c r="D318" t="s">
        <v>64</v>
      </c>
      <c r="E318" t="s">
        <v>47</v>
      </c>
      <c r="F318" t="s">
        <v>58</v>
      </c>
      <c r="G318" t="s">
        <v>253</v>
      </c>
      <c r="H318" t="s">
        <v>254</v>
      </c>
      <c r="I318" t="s">
        <v>255</v>
      </c>
      <c r="J318" t="s">
        <v>256</v>
      </c>
      <c r="K318" t="s">
        <v>294</v>
      </c>
      <c r="L318" t="s">
        <v>295</v>
      </c>
    </row>
    <row r="319" spans="2:12" x14ac:dyDescent="0.25">
      <c r="B319" t="s">
        <v>38</v>
      </c>
      <c r="C319" t="s">
        <v>9</v>
      </c>
      <c r="D319" t="s">
        <v>228</v>
      </c>
      <c r="E319" t="s">
        <v>47</v>
      </c>
      <c r="F319" t="s">
        <v>58</v>
      </c>
      <c r="G319" t="s">
        <v>253</v>
      </c>
      <c r="H319" t="s">
        <v>254</v>
      </c>
      <c r="I319" t="s">
        <v>255</v>
      </c>
      <c r="J319" t="s">
        <v>256</v>
      </c>
      <c r="K319" t="s">
        <v>294</v>
      </c>
      <c r="L319" t="s">
        <v>295</v>
      </c>
    </row>
    <row r="320" spans="2:12" x14ac:dyDescent="0.25">
      <c r="B320" t="s">
        <v>39</v>
      </c>
      <c r="C320" t="s">
        <v>5</v>
      </c>
      <c r="D320" t="s">
        <v>46</v>
      </c>
      <c r="E320" t="s">
        <v>47</v>
      </c>
      <c r="F320" t="s">
        <v>48</v>
      </c>
      <c r="G320" t="s">
        <v>253</v>
      </c>
      <c r="H320" t="s">
        <v>254</v>
      </c>
      <c r="I320" t="s">
        <v>255</v>
      </c>
      <c r="J320" t="s">
        <v>256</v>
      </c>
      <c r="K320" t="s">
        <v>294</v>
      </c>
      <c r="L320" t="s">
        <v>295</v>
      </c>
    </row>
    <row r="321" spans="2:12" x14ac:dyDescent="0.25">
      <c r="B321" t="s">
        <v>39</v>
      </c>
      <c r="C321" t="s">
        <v>8</v>
      </c>
      <c r="D321" t="s">
        <v>229</v>
      </c>
      <c r="E321" t="s">
        <v>47</v>
      </c>
      <c r="F321" t="s">
        <v>82</v>
      </c>
      <c r="G321" t="s">
        <v>253</v>
      </c>
      <c r="H321" t="s">
        <v>254</v>
      </c>
      <c r="I321" t="s">
        <v>255</v>
      </c>
      <c r="J321" t="s">
        <v>256</v>
      </c>
      <c r="K321" t="s">
        <v>294</v>
      </c>
      <c r="L321" t="s">
        <v>295</v>
      </c>
    </row>
    <row r="322" spans="2:12" x14ac:dyDescent="0.25">
      <c r="B322" t="s">
        <v>39</v>
      </c>
      <c r="C322" t="s">
        <v>7</v>
      </c>
      <c r="D322" t="s">
        <v>213</v>
      </c>
      <c r="E322" t="s">
        <v>47</v>
      </c>
      <c r="F322" t="s">
        <v>82</v>
      </c>
      <c r="G322" t="s">
        <v>253</v>
      </c>
      <c r="H322" t="s">
        <v>254</v>
      </c>
      <c r="I322" t="s">
        <v>255</v>
      </c>
      <c r="J322" t="s">
        <v>256</v>
      </c>
      <c r="K322" t="s">
        <v>294</v>
      </c>
      <c r="L322" t="s">
        <v>295</v>
      </c>
    </row>
    <row r="323" spans="2:12" x14ac:dyDescent="0.25">
      <c r="B323" t="s">
        <v>39</v>
      </c>
      <c r="C323" t="s">
        <v>7</v>
      </c>
      <c r="D323" t="s">
        <v>230</v>
      </c>
      <c r="E323" t="s">
        <v>47</v>
      </c>
      <c r="F323" t="s">
        <v>82</v>
      </c>
      <c r="G323" t="s">
        <v>253</v>
      </c>
      <c r="H323" t="s">
        <v>254</v>
      </c>
      <c r="I323" t="s">
        <v>255</v>
      </c>
      <c r="J323" t="s">
        <v>256</v>
      </c>
      <c r="K323" t="s">
        <v>294</v>
      </c>
      <c r="L323" t="s">
        <v>295</v>
      </c>
    </row>
    <row r="324" spans="2:12" x14ac:dyDescent="0.25">
      <c r="B324" t="s">
        <v>39</v>
      </c>
      <c r="C324" t="s">
        <v>6</v>
      </c>
      <c r="D324" t="s">
        <v>231</v>
      </c>
      <c r="E324" t="s">
        <v>47</v>
      </c>
      <c r="F324" t="s">
        <v>60</v>
      </c>
      <c r="G324" t="s">
        <v>253</v>
      </c>
      <c r="H324" t="s">
        <v>254</v>
      </c>
      <c r="I324" t="s">
        <v>255</v>
      </c>
      <c r="J324" t="s">
        <v>256</v>
      </c>
      <c r="K324" t="s">
        <v>294</v>
      </c>
      <c r="L324" t="s">
        <v>295</v>
      </c>
    </row>
    <row r="325" spans="2:12" x14ac:dyDescent="0.25">
      <c r="B325" t="s">
        <v>39</v>
      </c>
      <c r="C325" t="s">
        <v>6</v>
      </c>
      <c r="D325" t="s">
        <v>232</v>
      </c>
      <c r="E325" t="s">
        <v>47</v>
      </c>
      <c r="F325" t="s">
        <v>60</v>
      </c>
      <c r="G325" t="s">
        <v>253</v>
      </c>
      <c r="H325" t="s">
        <v>254</v>
      </c>
      <c r="I325" t="s">
        <v>255</v>
      </c>
      <c r="J325" t="s">
        <v>256</v>
      </c>
      <c r="K325" t="s">
        <v>294</v>
      </c>
      <c r="L325" t="s">
        <v>295</v>
      </c>
    </row>
    <row r="326" spans="2:12" x14ac:dyDescent="0.25">
      <c r="B326" t="s">
        <v>39</v>
      </c>
      <c r="C326" t="s">
        <v>6</v>
      </c>
      <c r="D326" t="s">
        <v>233</v>
      </c>
      <c r="E326" t="s">
        <v>47</v>
      </c>
      <c r="F326" t="s">
        <v>60</v>
      </c>
      <c r="G326" t="s">
        <v>253</v>
      </c>
      <c r="H326" t="s">
        <v>254</v>
      </c>
      <c r="I326" t="s">
        <v>255</v>
      </c>
      <c r="J326" t="s">
        <v>256</v>
      </c>
      <c r="K326" t="s">
        <v>294</v>
      </c>
      <c r="L326" t="s">
        <v>295</v>
      </c>
    </row>
    <row r="327" spans="2:12" x14ac:dyDescent="0.25">
      <c r="B327" t="s">
        <v>39</v>
      </c>
      <c r="C327" t="s">
        <v>5</v>
      </c>
      <c r="D327" t="s">
        <v>53</v>
      </c>
      <c r="E327" t="s">
        <v>47</v>
      </c>
      <c r="F327" t="s">
        <v>48</v>
      </c>
      <c r="G327" t="s">
        <v>253</v>
      </c>
      <c r="H327" t="s">
        <v>254</v>
      </c>
      <c r="I327" t="s">
        <v>255</v>
      </c>
      <c r="J327" t="s">
        <v>256</v>
      </c>
      <c r="K327" t="s">
        <v>294</v>
      </c>
      <c r="L327" t="s">
        <v>295</v>
      </c>
    </row>
    <row r="328" spans="2:12" x14ac:dyDescent="0.25">
      <c r="B328" t="s">
        <v>39</v>
      </c>
      <c r="C328" t="s">
        <v>5</v>
      </c>
      <c r="D328" t="s">
        <v>217</v>
      </c>
      <c r="E328" t="s">
        <v>47</v>
      </c>
      <c r="F328" t="s">
        <v>48</v>
      </c>
      <c r="G328" t="s">
        <v>253</v>
      </c>
      <c r="H328" t="s">
        <v>254</v>
      </c>
      <c r="I328" t="s">
        <v>255</v>
      </c>
      <c r="J328" t="s">
        <v>256</v>
      </c>
      <c r="K328" t="s">
        <v>294</v>
      </c>
      <c r="L328" t="s">
        <v>295</v>
      </c>
    </row>
    <row r="329" spans="2:12" x14ac:dyDescent="0.25">
      <c r="B329" t="s">
        <v>39</v>
      </c>
      <c r="C329" t="s">
        <v>5</v>
      </c>
      <c r="D329" t="s">
        <v>56</v>
      </c>
      <c r="E329" t="s">
        <v>47</v>
      </c>
      <c r="F329" t="s">
        <v>48</v>
      </c>
      <c r="G329" t="s">
        <v>253</v>
      </c>
      <c r="H329" t="s">
        <v>254</v>
      </c>
      <c r="I329" t="s">
        <v>255</v>
      </c>
      <c r="J329" t="s">
        <v>256</v>
      </c>
      <c r="K329" t="s">
        <v>294</v>
      </c>
      <c r="L329" t="s">
        <v>295</v>
      </c>
    </row>
    <row r="330" spans="2:12" x14ac:dyDescent="0.25">
      <c r="B330" t="s">
        <v>39</v>
      </c>
      <c r="C330" t="s">
        <v>8</v>
      </c>
      <c r="D330" t="s">
        <v>172</v>
      </c>
      <c r="E330" t="s">
        <v>47</v>
      </c>
      <c r="F330" t="s">
        <v>82</v>
      </c>
      <c r="G330" t="s">
        <v>253</v>
      </c>
      <c r="H330" t="s">
        <v>254</v>
      </c>
      <c r="I330" t="s">
        <v>255</v>
      </c>
      <c r="J330" t="s">
        <v>256</v>
      </c>
      <c r="K330" t="s">
        <v>294</v>
      </c>
      <c r="L330" t="s">
        <v>295</v>
      </c>
    </row>
    <row r="331" spans="2:12" x14ac:dyDescent="0.25">
      <c r="B331" t="s">
        <v>40</v>
      </c>
      <c r="C331" t="s">
        <v>5</v>
      </c>
      <c r="D331" t="s">
        <v>46</v>
      </c>
      <c r="E331" t="s">
        <v>47</v>
      </c>
      <c r="F331" t="s">
        <v>48</v>
      </c>
      <c r="G331" t="s">
        <v>253</v>
      </c>
      <c r="H331" t="s">
        <v>254</v>
      </c>
      <c r="I331" t="s">
        <v>255</v>
      </c>
      <c r="J331" t="s">
        <v>256</v>
      </c>
      <c r="K331" t="s">
        <v>294</v>
      </c>
      <c r="L331" t="s">
        <v>295</v>
      </c>
    </row>
    <row r="332" spans="2:12" x14ac:dyDescent="0.25">
      <c r="B332" t="s">
        <v>40</v>
      </c>
      <c r="C332" t="s">
        <v>7</v>
      </c>
      <c r="D332" t="s">
        <v>213</v>
      </c>
      <c r="E332" t="s">
        <v>47</v>
      </c>
      <c r="F332" t="s">
        <v>71</v>
      </c>
      <c r="G332" t="s">
        <v>253</v>
      </c>
      <c r="H332" t="s">
        <v>254</v>
      </c>
      <c r="I332" t="s">
        <v>255</v>
      </c>
      <c r="J332" t="s">
        <v>256</v>
      </c>
      <c r="K332" t="s">
        <v>294</v>
      </c>
      <c r="L332" t="s">
        <v>295</v>
      </c>
    </row>
    <row r="333" spans="2:12" x14ac:dyDescent="0.25">
      <c r="B333" t="s">
        <v>40</v>
      </c>
      <c r="C333" t="s">
        <v>6</v>
      </c>
      <c r="D333" t="s">
        <v>216</v>
      </c>
      <c r="E333" t="s">
        <v>47</v>
      </c>
      <c r="F333" t="s">
        <v>50</v>
      </c>
      <c r="G333" t="s">
        <v>253</v>
      </c>
      <c r="H333" t="s">
        <v>254</v>
      </c>
      <c r="I333" t="s">
        <v>255</v>
      </c>
      <c r="J333" t="s">
        <v>256</v>
      </c>
      <c r="K333" t="s">
        <v>294</v>
      </c>
      <c r="L333" t="s">
        <v>295</v>
      </c>
    </row>
    <row r="334" spans="2:12" x14ac:dyDescent="0.25">
      <c r="B334" t="s">
        <v>40</v>
      </c>
      <c r="C334" t="s">
        <v>5</v>
      </c>
      <c r="D334" t="s">
        <v>53</v>
      </c>
      <c r="E334" t="s">
        <v>47</v>
      </c>
      <c r="F334" t="s">
        <v>48</v>
      </c>
      <c r="G334" t="s">
        <v>253</v>
      </c>
      <c r="H334" t="s">
        <v>254</v>
      </c>
      <c r="I334" t="s">
        <v>255</v>
      </c>
      <c r="J334" t="s">
        <v>256</v>
      </c>
      <c r="K334" t="s">
        <v>294</v>
      </c>
      <c r="L334" t="s">
        <v>295</v>
      </c>
    </row>
    <row r="335" spans="2:12" x14ac:dyDescent="0.25">
      <c r="B335" t="s">
        <v>40</v>
      </c>
      <c r="C335" t="s">
        <v>5</v>
      </c>
      <c r="D335" t="s">
        <v>217</v>
      </c>
      <c r="E335" t="s">
        <v>47</v>
      </c>
      <c r="F335" t="s">
        <v>48</v>
      </c>
      <c r="G335" t="s">
        <v>253</v>
      </c>
      <c r="H335" t="s">
        <v>254</v>
      </c>
      <c r="I335" t="s">
        <v>255</v>
      </c>
      <c r="J335" t="s">
        <v>256</v>
      </c>
      <c r="K335" t="s">
        <v>294</v>
      </c>
      <c r="L335" t="s">
        <v>295</v>
      </c>
    </row>
    <row r="336" spans="2:12" x14ac:dyDescent="0.25">
      <c r="B336" t="s">
        <v>40</v>
      </c>
      <c r="C336" t="s">
        <v>5</v>
      </c>
      <c r="D336" t="s">
        <v>56</v>
      </c>
      <c r="E336" t="s">
        <v>47</v>
      </c>
      <c r="F336" t="s">
        <v>48</v>
      </c>
      <c r="G336" t="s">
        <v>253</v>
      </c>
      <c r="H336" t="s">
        <v>254</v>
      </c>
      <c r="I336" t="s">
        <v>255</v>
      </c>
      <c r="J336" t="s">
        <v>256</v>
      </c>
      <c r="K336" t="s">
        <v>294</v>
      </c>
      <c r="L336" t="s">
        <v>295</v>
      </c>
    </row>
    <row r="337" spans="2:12" x14ac:dyDescent="0.25">
      <c r="B337" t="s">
        <v>40</v>
      </c>
      <c r="C337" t="s">
        <v>8</v>
      </c>
      <c r="D337" t="s">
        <v>172</v>
      </c>
      <c r="E337" t="s">
        <v>47</v>
      </c>
      <c r="F337" t="s">
        <v>50</v>
      </c>
      <c r="G337" t="s">
        <v>253</v>
      </c>
      <c r="H337" t="s">
        <v>254</v>
      </c>
      <c r="I337" t="s">
        <v>255</v>
      </c>
      <c r="J337" t="s">
        <v>256</v>
      </c>
      <c r="K337" t="s">
        <v>294</v>
      </c>
      <c r="L337" t="s">
        <v>295</v>
      </c>
    </row>
    <row r="338" spans="2:12" x14ac:dyDescent="0.25">
      <c r="B338" t="s">
        <v>41</v>
      </c>
      <c r="C338" t="s">
        <v>42</v>
      </c>
      <c r="D338" t="s">
        <v>234</v>
      </c>
      <c r="E338" t="s">
        <v>47</v>
      </c>
      <c r="F338" t="s">
        <v>48</v>
      </c>
      <c r="G338" t="s">
        <v>257</v>
      </c>
      <c r="H338" t="s">
        <v>292</v>
      </c>
      <c r="I338" t="s">
        <v>294</v>
      </c>
      <c r="J338" t="s">
        <v>294</v>
      </c>
      <c r="K338" t="s">
        <v>294</v>
      </c>
      <c r="L338" t="s">
        <v>295</v>
      </c>
    </row>
    <row r="339" spans="2:12" x14ac:dyDescent="0.25">
      <c r="B339" t="s">
        <v>41</v>
      </c>
      <c r="C339" t="s">
        <v>43</v>
      </c>
      <c r="D339" t="s">
        <v>235</v>
      </c>
      <c r="E339" t="s">
        <v>54</v>
      </c>
      <c r="F339" t="s">
        <v>71</v>
      </c>
      <c r="G339" t="s">
        <v>257</v>
      </c>
      <c r="H339" t="s">
        <v>292</v>
      </c>
      <c r="I339" t="s">
        <v>294</v>
      </c>
      <c r="J339" t="s">
        <v>294</v>
      </c>
      <c r="K339" t="s">
        <v>294</v>
      </c>
      <c r="L339" t="s">
        <v>295</v>
      </c>
    </row>
    <row r="340" spans="2:12" x14ac:dyDescent="0.25">
      <c r="B340" t="s">
        <v>41</v>
      </c>
      <c r="C340" t="s">
        <v>44</v>
      </c>
      <c r="D340" t="s">
        <v>236</v>
      </c>
      <c r="E340" t="s">
        <v>54</v>
      </c>
      <c r="F340" t="s">
        <v>58</v>
      </c>
      <c r="G340" t="s">
        <v>257</v>
      </c>
      <c r="H340" t="s">
        <v>292</v>
      </c>
      <c r="I340" t="s">
        <v>294</v>
      </c>
      <c r="J340" t="s">
        <v>294</v>
      </c>
      <c r="K340" t="s">
        <v>294</v>
      </c>
      <c r="L340" t="s">
        <v>295</v>
      </c>
    </row>
    <row r="341" spans="2:12" x14ac:dyDescent="0.25">
      <c r="B341" t="s">
        <v>41</v>
      </c>
      <c r="C341" t="s">
        <v>45</v>
      </c>
      <c r="D341" t="s">
        <v>237</v>
      </c>
      <c r="E341" t="s">
        <v>47</v>
      </c>
      <c r="F341" t="s">
        <v>48</v>
      </c>
      <c r="G341" t="s">
        <v>257</v>
      </c>
      <c r="H341" t="s">
        <v>292</v>
      </c>
      <c r="I341" t="s">
        <v>294</v>
      </c>
      <c r="J341" t="s">
        <v>294</v>
      </c>
      <c r="K341" t="s">
        <v>294</v>
      </c>
      <c r="L341" t="s">
        <v>295</v>
      </c>
    </row>
    <row r="342" spans="2:12" x14ac:dyDescent="0.25">
      <c r="B342" t="s">
        <v>41</v>
      </c>
      <c r="C342" t="s">
        <v>43</v>
      </c>
      <c r="D342" t="s">
        <v>238</v>
      </c>
      <c r="E342" t="s">
        <v>47</v>
      </c>
      <c r="F342" t="s">
        <v>77</v>
      </c>
      <c r="G342" t="s">
        <v>257</v>
      </c>
      <c r="H342" t="s">
        <v>292</v>
      </c>
      <c r="I342" t="s">
        <v>294</v>
      </c>
      <c r="J342" t="s">
        <v>294</v>
      </c>
      <c r="K342" t="s">
        <v>294</v>
      </c>
      <c r="L342" t="s">
        <v>295</v>
      </c>
    </row>
    <row r="343" spans="2:12" x14ac:dyDescent="0.25">
      <c r="B343" t="s">
        <v>258</v>
      </c>
      <c r="C343" t="s">
        <v>5</v>
      </c>
      <c r="D343" t="s">
        <v>265</v>
      </c>
      <c r="E343" t="s">
        <v>47</v>
      </c>
      <c r="F343" t="s">
        <v>184</v>
      </c>
      <c r="G343" t="s">
        <v>257</v>
      </c>
      <c r="H343" t="s">
        <v>293</v>
      </c>
      <c r="I343" t="s">
        <v>294</v>
      </c>
      <c r="J343" t="s">
        <v>294</v>
      </c>
      <c r="K343" t="s">
        <v>294</v>
      </c>
      <c r="L343" t="s">
        <v>295</v>
      </c>
    </row>
    <row r="344" spans="2:12" x14ac:dyDescent="0.25">
      <c r="B344" t="s">
        <v>258</v>
      </c>
      <c r="C344" t="s">
        <v>6</v>
      </c>
      <c r="D344" t="s">
        <v>266</v>
      </c>
      <c r="E344" t="s">
        <v>47</v>
      </c>
      <c r="F344" t="s">
        <v>60</v>
      </c>
      <c r="G344" t="s">
        <v>257</v>
      </c>
      <c r="H344" t="s">
        <v>293</v>
      </c>
      <c r="I344" t="s">
        <v>294</v>
      </c>
      <c r="J344" t="s">
        <v>294</v>
      </c>
      <c r="K344" t="s">
        <v>294</v>
      </c>
      <c r="L344" t="s">
        <v>295</v>
      </c>
    </row>
    <row r="345" spans="2:12" x14ac:dyDescent="0.25">
      <c r="B345" t="s">
        <v>258</v>
      </c>
      <c r="C345" t="s">
        <v>7</v>
      </c>
      <c r="D345" t="s">
        <v>267</v>
      </c>
      <c r="E345" t="s">
        <v>47</v>
      </c>
      <c r="F345" t="s">
        <v>71</v>
      </c>
      <c r="G345" t="s">
        <v>257</v>
      </c>
      <c r="H345" t="s">
        <v>293</v>
      </c>
      <c r="I345" t="s">
        <v>294</v>
      </c>
      <c r="J345" t="s">
        <v>294</v>
      </c>
      <c r="K345" t="s">
        <v>294</v>
      </c>
      <c r="L345" t="s">
        <v>295</v>
      </c>
    </row>
    <row r="346" spans="2:12" x14ac:dyDescent="0.25">
      <c r="B346" t="s">
        <v>258</v>
      </c>
      <c r="C346" t="s">
        <v>9</v>
      </c>
      <c r="D346" t="s">
        <v>268</v>
      </c>
      <c r="E346" t="s">
        <v>47</v>
      </c>
      <c r="F346" t="s">
        <v>184</v>
      </c>
      <c r="G346" t="s">
        <v>257</v>
      </c>
      <c r="H346" t="s">
        <v>293</v>
      </c>
      <c r="I346" t="s">
        <v>294</v>
      </c>
      <c r="J346" t="s">
        <v>294</v>
      </c>
      <c r="K346" t="s">
        <v>294</v>
      </c>
      <c r="L346" t="s">
        <v>295</v>
      </c>
    </row>
    <row r="347" spans="2:12" x14ac:dyDescent="0.25">
      <c r="B347" t="s">
        <v>258</v>
      </c>
      <c r="C347" t="s">
        <v>9</v>
      </c>
      <c r="D347" t="s">
        <v>269</v>
      </c>
      <c r="E347" t="s">
        <v>47</v>
      </c>
      <c r="F347" t="s">
        <v>184</v>
      </c>
      <c r="G347" t="s">
        <v>257</v>
      </c>
      <c r="H347" t="s">
        <v>293</v>
      </c>
      <c r="I347" t="s">
        <v>294</v>
      </c>
      <c r="J347" t="s">
        <v>294</v>
      </c>
      <c r="K347" t="s">
        <v>294</v>
      </c>
      <c r="L347" t="s">
        <v>295</v>
      </c>
    </row>
    <row r="348" spans="2:12" x14ac:dyDescent="0.25">
      <c r="B348" t="s">
        <v>258</v>
      </c>
      <c r="C348" t="s">
        <v>9</v>
      </c>
      <c r="D348" t="s">
        <v>270</v>
      </c>
      <c r="E348" t="s">
        <v>47</v>
      </c>
      <c r="F348" t="s">
        <v>184</v>
      </c>
      <c r="G348" t="s">
        <v>257</v>
      </c>
      <c r="H348" t="s">
        <v>293</v>
      </c>
      <c r="I348" t="s">
        <v>294</v>
      </c>
      <c r="J348" t="s">
        <v>294</v>
      </c>
      <c r="K348" t="s">
        <v>294</v>
      </c>
      <c r="L348" t="s">
        <v>295</v>
      </c>
    </row>
    <row r="349" spans="2:12" x14ac:dyDescent="0.25">
      <c r="B349" t="s">
        <v>258</v>
      </c>
      <c r="C349" t="s">
        <v>7</v>
      </c>
      <c r="D349" t="s">
        <v>271</v>
      </c>
      <c r="E349" t="s">
        <v>47</v>
      </c>
      <c r="F349" t="s">
        <v>71</v>
      </c>
      <c r="G349" t="s">
        <v>257</v>
      </c>
      <c r="H349" t="s">
        <v>293</v>
      </c>
      <c r="I349" t="s">
        <v>294</v>
      </c>
      <c r="J349" t="s">
        <v>294</v>
      </c>
      <c r="K349" t="s">
        <v>294</v>
      </c>
      <c r="L349" t="s">
        <v>295</v>
      </c>
    </row>
    <row r="350" spans="2:12" x14ac:dyDescent="0.25">
      <c r="B350" t="s">
        <v>258</v>
      </c>
      <c r="C350" t="s">
        <v>7</v>
      </c>
      <c r="D350" t="s">
        <v>272</v>
      </c>
      <c r="E350" t="s">
        <v>47</v>
      </c>
      <c r="F350" t="s">
        <v>71</v>
      </c>
      <c r="G350" t="s">
        <v>257</v>
      </c>
      <c r="H350" t="s">
        <v>293</v>
      </c>
      <c r="I350" t="s">
        <v>294</v>
      </c>
      <c r="J350" t="s">
        <v>294</v>
      </c>
      <c r="K350" t="s">
        <v>294</v>
      </c>
      <c r="L350" t="s">
        <v>295</v>
      </c>
    </row>
    <row r="351" spans="2:12" x14ac:dyDescent="0.25">
      <c r="B351" t="s">
        <v>258</v>
      </c>
      <c r="C351" t="s">
        <v>6</v>
      </c>
      <c r="D351" t="s">
        <v>273</v>
      </c>
      <c r="E351" t="s">
        <v>47</v>
      </c>
      <c r="F351" t="s">
        <v>60</v>
      </c>
      <c r="G351" t="s">
        <v>257</v>
      </c>
      <c r="H351" t="s">
        <v>293</v>
      </c>
      <c r="I351" t="s">
        <v>294</v>
      </c>
      <c r="J351" t="s">
        <v>294</v>
      </c>
      <c r="K351" t="s">
        <v>294</v>
      </c>
      <c r="L351" t="s">
        <v>295</v>
      </c>
    </row>
    <row r="352" spans="2:12" x14ac:dyDescent="0.25">
      <c r="B352" t="s">
        <v>258</v>
      </c>
      <c r="C352" t="s">
        <v>7</v>
      </c>
      <c r="D352" t="s">
        <v>274</v>
      </c>
      <c r="E352" t="s">
        <v>47</v>
      </c>
      <c r="F352" t="s">
        <v>71</v>
      </c>
      <c r="G352" t="s">
        <v>257</v>
      </c>
      <c r="H352" t="s">
        <v>293</v>
      </c>
      <c r="I352" t="s">
        <v>294</v>
      </c>
      <c r="J352" t="s">
        <v>294</v>
      </c>
      <c r="K352" t="s">
        <v>294</v>
      </c>
      <c r="L352" t="s">
        <v>295</v>
      </c>
    </row>
    <row r="353" spans="2:12" x14ac:dyDescent="0.25">
      <c r="B353" t="s">
        <v>258</v>
      </c>
      <c r="C353" t="s">
        <v>6</v>
      </c>
      <c r="D353" t="s">
        <v>275</v>
      </c>
      <c r="E353" t="s">
        <v>47</v>
      </c>
      <c r="F353" t="s">
        <v>60</v>
      </c>
      <c r="G353" t="s">
        <v>257</v>
      </c>
      <c r="H353" t="s">
        <v>293</v>
      </c>
      <c r="I353" t="s">
        <v>294</v>
      </c>
      <c r="J353" t="s">
        <v>294</v>
      </c>
      <c r="K353" t="s">
        <v>294</v>
      </c>
      <c r="L353" t="s">
        <v>295</v>
      </c>
    </row>
    <row r="354" spans="2:12" x14ac:dyDescent="0.25">
      <c r="B354" t="s">
        <v>258</v>
      </c>
      <c r="C354" t="s">
        <v>6</v>
      </c>
      <c r="D354" t="s">
        <v>276</v>
      </c>
      <c r="E354" t="s">
        <v>47</v>
      </c>
      <c r="F354" t="s">
        <v>60</v>
      </c>
      <c r="G354" t="s">
        <v>257</v>
      </c>
      <c r="H354" t="s">
        <v>293</v>
      </c>
      <c r="I354" t="s">
        <v>294</v>
      </c>
      <c r="J354" t="s">
        <v>294</v>
      </c>
      <c r="K354" t="s">
        <v>294</v>
      </c>
      <c r="L354" t="s">
        <v>295</v>
      </c>
    </row>
    <row r="355" spans="2:12" x14ac:dyDescent="0.25">
      <c r="B355" t="s">
        <v>258</v>
      </c>
      <c r="C355" t="s">
        <v>6</v>
      </c>
      <c r="D355" t="s">
        <v>277</v>
      </c>
      <c r="E355" t="s">
        <v>47</v>
      </c>
      <c r="F355" t="s">
        <v>60</v>
      </c>
      <c r="G355" t="s">
        <v>257</v>
      </c>
      <c r="H355" t="s">
        <v>293</v>
      </c>
      <c r="I355" t="s">
        <v>294</v>
      </c>
      <c r="J355" t="s">
        <v>294</v>
      </c>
      <c r="K355" t="s">
        <v>294</v>
      </c>
      <c r="L355" t="s">
        <v>295</v>
      </c>
    </row>
    <row r="356" spans="2:12" x14ac:dyDescent="0.25">
      <c r="B356" t="s">
        <v>258</v>
      </c>
      <c r="C356" t="s">
        <v>8</v>
      </c>
      <c r="D356" t="s">
        <v>278</v>
      </c>
      <c r="E356" t="s">
        <v>47</v>
      </c>
      <c r="F356" t="s">
        <v>60</v>
      </c>
      <c r="G356" t="s">
        <v>257</v>
      </c>
      <c r="H356" t="s">
        <v>293</v>
      </c>
      <c r="I356" t="s">
        <v>294</v>
      </c>
      <c r="J356" t="s">
        <v>294</v>
      </c>
      <c r="K356" t="s">
        <v>294</v>
      </c>
      <c r="L356" t="s">
        <v>295</v>
      </c>
    </row>
    <row r="357" spans="2:12" x14ac:dyDescent="0.25">
      <c r="B357" t="s">
        <v>259</v>
      </c>
      <c r="C357" t="s">
        <v>260</v>
      </c>
      <c r="D357" t="s">
        <v>279</v>
      </c>
      <c r="E357" t="s">
        <v>290</v>
      </c>
      <c r="F357" t="s">
        <v>77</v>
      </c>
      <c r="G357" t="s">
        <v>257</v>
      </c>
      <c r="H357" t="s">
        <v>291</v>
      </c>
      <c r="I357" t="s">
        <v>294</v>
      </c>
      <c r="J357" t="s">
        <v>294</v>
      </c>
      <c r="K357" t="s">
        <v>294</v>
      </c>
      <c r="L357" t="s">
        <v>295</v>
      </c>
    </row>
    <row r="358" spans="2:12" x14ac:dyDescent="0.25">
      <c r="B358" t="s">
        <v>259</v>
      </c>
      <c r="C358" t="s">
        <v>261</v>
      </c>
      <c r="D358" t="s">
        <v>280</v>
      </c>
      <c r="E358" t="s">
        <v>290</v>
      </c>
      <c r="F358" t="s">
        <v>58</v>
      </c>
      <c r="G358" t="s">
        <v>257</v>
      </c>
      <c r="H358" t="s">
        <v>291</v>
      </c>
      <c r="I358" t="s">
        <v>294</v>
      </c>
      <c r="J358" t="s">
        <v>294</v>
      </c>
      <c r="K358" t="s">
        <v>294</v>
      </c>
      <c r="L358" t="s">
        <v>295</v>
      </c>
    </row>
    <row r="359" spans="2:12" x14ac:dyDescent="0.25">
      <c r="B359" t="s">
        <v>259</v>
      </c>
      <c r="C359" t="s">
        <v>261</v>
      </c>
      <c r="D359" t="s">
        <v>281</v>
      </c>
      <c r="E359" t="s">
        <v>47</v>
      </c>
      <c r="F359" t="s">
        <v>58</v>
      </c>
      <c r="G359" t="s">
        <v>257</v>
      </c>
      <c r="H359" t="s">
        <v>291</v>
      </c>
      <c r="I359" t="s">
        <v>294</v>
      </c>
      <c r="J359" t="s">
        <v>294</v>
      </c>
      <c r="K359" t="s">
        <v>294</v>
      </c>
      <c r="L359" t="s">
        <v>295</v>
      </c>
    </row>
    <row r="360" spans="2:12" x14ac:dyDescent="0.25">
      <c r="B360" t="s">
        <v>259</v>
      </c>
      <c r="C360" t="s">
        <v>262</v>
      </c>
      <c r="D360" t="s">
        <v>282</v>
      </c>
      <c r="E360" t="s">
        <v>54</v>
      </c>
      <c r="F360" t="s">
        <v>50</v>
      </c>
      <c r="G360" t="s">
        <v>257</v>
      </c>
      <c r="H360" t="s">
        <v>291</v>
      </c>
      <c r="I360" t="s">
        <v>294</v>
      </c>
      <c r="J360" t="s">
        <v>294</v>
      </c>
      <c r="K360" t="s">
        <v>294</v>
      </c>
      <c r="L360" t="s">
        <v>295</v>
      </c>
    </row>
    <row r="361" spans="2:12" x14ac:dyDescent="0.25">
      <c r="B361" t="s">
        <v>259</v>
      </c>
      <c r="C361" t="s">
        <v>261</v>
      </c>
      <c r="D361" t="s">
        <v>283</v>
      </c>
      <c r="E361" t="s">
        <v>47</v>
      </c>
      <c r="F361" t="s">
        <v>58</v>
      </c>
      <c r="G361" t="s">
        <v>257</v>
      </c>
      <c r="H361" t="s">
        <v>291</v>
      </c>
      <c r="I361" t="s">
        <v>294</v>
      </c>
      <c r="J361" t="s">
        <v>294</v>
      </c>
      <c r="K361" t="s">
        <v>294</v>
      </c>
      <c r="L361" t="s">
        <v>295</v>
      </c>
    </row>
    <row r="362" spans="2:12" x14ac:dyDescent="0.25">
      <c r="B362" t="s">
        <v>259</v>
      </c>
      <c r="C362" t="s">
        <v>260</v>
      </c>
      <c r="D362" t="s">
        <v>284</v>
      </c>
      <c r="E362" t="s">
        <v>54</v>
      </c>
      <c r="F362" t="s">
        <v>77</v>
      </c>
      <c r="G362" t="s">
        <v>257</v>
      </c>
      <c r="H362" t="s">
        <v>291</v>
      </c>
      <c r="I362" t="s">
        <v>294</v>
      </c>
      <c r="J362" t="s">
        <v>294</v>
      </c>
      <c r="K362" t="s">
        <v>294</v>
      </c>
      <c r="L362" t="s">
        <v>295</v>
      </c>
    </row>
    <row r="363" spans="2:12" x14ac:dyDescent="0.25">
      <c r="B363" t="s">
        <v>259</v>
      </c>
      <c r="C363" t="s">
        <v>263</v>
      </c>
      <c r="D363" t="s">
        <v>285</v>
      </c>
      <c r="E363" t="s">
        <v>54</v>
      </c>
      <c r="F363" t="s">
        <v>50</v>
      </c>
      <c r="G363" t="s">
        <v>257</v>
      </c>
      <c r="H363" t="s">
        <v>291</v>
      </c>
      <c r="I363" t="s">
        <v>294</v>
      </c>
      <c r="J363" t="s">
        <v>294</v>
      </c>
      <c r="K363" t="s">
        <v>294</v>
      </c>
      <c r="L363" t="s">
        <v>295</v>
      </c>
    </row>
    <row r="364" spans="2:12" x14ac:dyDescent="0.25">
      <c r="B364" t="s">
        <v>259</v>
      </c>
      <c r="C364" t="s">
        <v>6</v>
      </c>
      <c r="D364" t="s">
        <v>286</v>
      </c>
      <c r="E364" t="s">
        <v>47</v>
      </c>
      <c r="F364" t="s">
        <v>60</v>
      </c>
      <c r="G364" t="s">
        <v>257</v>
      </c>
      <c r="H364" t="s">
        <v>291</v>
      </c>
      <c r="I364" t="s">
        <v>294</v>
      </c>
      <c r="J364" t="s">
        <v>294</v>
      </c>
      <c r="K364" t="s">
        <v>294</v>
      </c>
      <c r="L364" t="s">
        <v>295</v>
      </c>
    </row>
    <row r="365" spans="2:12" x14ac:dyDescent="0.25">
      <c r="B365" t="s">
        <v>259</v>
      </c>
      <c r="C365" t="s">
        <v>264</v>
      </c>
      <c r="D365" t="s">
        <v>287</v>
      </c>
      <c r="E365" t="s">
        <v>54</v>
      </c>
      <c r="F365" t="s">
        <v>77</v>
      </c>
      <c r="G365" t="s">
        <v>257</v>
      </c>
      <c r="H365" t="s">
        <v>291</v>
      </c>
      <c r="I365" t="s">
        <v>294</v>
      </c>
      <c r="J365" t="s">
        <v>294</v>
      </c>
      <c r="K365" t="s">
        <v>294</v>
      </c>
      <c r="L365" t="s">
        <v>295</v>
      </c>
    </row>
    <row r="366" spans="2:12" x14ac:dyDescent="0.25">
      <c r="B366" t="s">
        <v>259</v>
      </c>
      <c r="C366" t="s">
        <v>260</v>
      </c>
      <c r="D366" t="s">
        <v>56</v>
      </c>
      <c r="E366" t="s">
        <v>47</v>
      </c>
      <c r="F366" t="s">
        <v>77</v>
      </c>
      <c r="G366" t="s">
        <v>257</v>
      </c>
      <c r="H366" t="s">
        <v>291</v>
      </c>
      <c r="I366" t="s">
        <v>294</v>
      </c>
      <c r="J366" t="s">
        <v>294</v>
      </c>
      <c r="K366" t="s">
        <v>294</v>
      </c>
      <c r="L366" t="s">
        <v>295</v>
      </c>
    </row>
    <row r="367" spans="2:12" x14ac:dyDescent="0.25">
      <c r="B367" t="s">
        <v>259</v>
      </c>
      <c r="C367" t="s">
        <v>260</v>
      </c>
      <c r="D367" t="s">
        <v>288</v>
      </c>
      <c r="E367" t="s">
        <v>47</v>
      </c>
      <c r="F367" t="s">
        <v>77</v>
      </c>
      <c r="G367" t="s">
        <v>257</v>
      </c>
      <c r="H367" t="s">
        <v>291</v>
      </c>
      <c r="I367" t="s">
        <v>294</v>
      </c>
      <c r="J367" t="s">
        <v>294</v>
      </c>
      <c r="K367" t="s">
        <v>294</v>
      </c>
      <c r="L367" t="s">
        <v>295</v>
      </c>
    </row>
    <row r="368" spans="2:12" x14ac:dyDescent="0.25">
      <c r="B368" t="s">
        <v>259</v>
      </c>
      <c r="C368" t="s">
        <v>8</v>
      </c>
      <c r="D368" t="s">
        <v>289</v>
      </c>
      <c r="E368" t="s">
        <v>47</v>
      </c>
      <c r="F368" t="s">
        <v>60</v>
      </c>
      <c r="G368" t="s">
        <v>257</v>
      </c>
      <c r="H368" t="s">
        <v>291</v>
      </c>
      <c r="I368" t="s">
        <v>294</v>
      </c>
      <c r="J368" t="s">
        <v>294</v>
      </c>
      <c r="K368" t="s">
        <v>294</v>
      </c>
      <c r="L368" t="s">
        <v>295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3"/>
  <sheetViews>
    <sheetView topLeftCell="A1176" workbookViewId="0">
      <selection sqref="A1:P1213"/>
    </sheetView>
  </sheetViews>
  <sheetFormatPr baseColWidth="10" defaultRowHeight="15" x14ac:dyDescent="0.25"/>
  <cols>
    <col min="1" max="1" width="14.28515625" customWidth="1"/>
    <col min="2" max="2" width="15.85546875" bestFit="1" customWidth="1"/>
    <col min="4" max="4" width="0" hidden="1" customWidth="1"/>
    <col min="10" max="10" width="57.85546875" bestFit="1" customWidth="1"/>
    <col min="11" max="11" width="11" bestFit="1" customWidth="1"/>
    <col min="12" max="14" width="0" hidden="1" customWidth="1"/>
    <col min="15" max="15" width="19.7109375" hidden="1" customWidth="1"/>
    <col min="17" max="17" width="16.5703125" bestFit="1" customWidth="1"/>
    <col min="18" max="18" width="22.140625" hidden="1" customWidth="1"/>
    <col min="19" max="19" width="11.85546875" bestFit="1" customWidth="1"/>
    <col min="20" max="20" width="21.85546875" bestFit="1" customWidth="1"/>
    <col min="22" max="22" width="21.85546875" bestFit="1" customWidth="1"/>
  </cols>
  <sheetData>
    <row r="1" spans="1:23" x14ac:dyDescent="0.25">
      <c r="A1" t="s">
        <v>408</v>
      </c>
      <c r="B1" t="s">
        <v>633</v>
      </c>
      <c r="C1" t="s">
        <v>3</v>
      </c>
      <c r="D1" t="s">
        <v>303</v>
      </c>
      <c r="E1" t="s">
        <v>1847</v>
      </c>
      <c r="F1" t="s">
        <v>1848</v>
      </c>
      <c r="G1" t="s">
        <v>1849</v>
      </c>
      <c r="H1" t="s">
        <v>1850</v>
      </c>
      <c r="I1" t="s">
        <v>1851</v>
      </c>
      <c r="J1" t="s">
        <v>1852</v>
      </c>
      <c r="K1" t="s">
        <v>1853</v>
      </c>
      <c r="L1" t="s">
        <v>4</v>
      </c>
      <c r="M1" t="s">
        <v>244</v>
      </c>
      <c r="N1" t="s">
        <v>298</v>
      </c>
      <c r="O1" t="s">
        <v>366</v>
      </c>
      <c r="P1" t="s">
        <v>407</v>
      </c>
      <c r="Q1" t="s">
        <v>410</v>
      </c>
      <c r="R1" t="s">
        <v>1</v>
      </c>
      <c r="V1" t="s">
        <v>411</v>
      </c>
      <c r="W1" t="s">
        <v>408</v>
      </c>
    </row>
    <row r="2" spans="1:23" ht="15" customHeight="1" x14ac:dyDescent="0.25">
      <c r="A2">
        <f t="shared" ref="A2:A65" si="0">VLOOKUP(T2,$V$2:$W$222,2,FALSE)</f>
        <v>28</v>
      </c>
      <c r="B2" t="s">
        <v>634</v>
      </c>
      <c r="C2" t="s">
        <v>47</v>
      </c>
      <c r="D2">
        <v>23</v>
      </c>
      <c r="E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">
        <f ca="1">IF(Tabla142[[#This Row],[frecuencia_new]]="Diaria"," ",RANDBETWEEN(1,6))</f>
        <v>5</v>
      </c>
      <c r="G2">
        <f ca="1">IF(Tabla142[[#This Row],[frecuencia_new]]="Diaria","",IF(Tabla142[[#This Row],[frecuencia_new]]="Semanal","",IF(Tabla142[[#This Row],[frecuencia_new]]="Quincenal",RANDBETWEEN(1,2),RANDBETWEEN(1,4))))</f>
        <v>1</v>
      </c>
      <c r="H2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2" t="s">
        <v>46</v>
      </c>
      <c r="K2">
        <f>SUM(MID(Tabla142[[#This Row],[Duración]],1,2)*60,MID(Tabla142[[#This Row],[Duración]],6,2))</f>
        <v>60</v>
      </c>
      <c r="L2" s="4" t="s">
        <v>58</v>
      </c>
      <c r="M2" t="s">
        <v>253</v>
      </c>
      <c r="N2" t="s">
        <v>324</v>
      </c>
      <c r="O2" t="s">
        <v>384</v>
      </c>
      <c r="P2" t="s">
        <v>360</v>
      </c>
      <c r="Q2" s="20">
        <v>46032.649155092593</v>
      </c>
      <c r="R2" t="s">
        <v>5</v>
      </c>
      <c r="T2" t="s">
        <v>439</v>
      </c>
      <c r="V2" t="s">
        <v>412</v>
      </c>
      <c r="W2">
        <v>1</v>
      </c>
    </row>
    <row r="3" spans="1:23" ht="15" customHeight="1" x14ac:dyDescent="0.25">
      <c r="A3">
        <f t="shared" si="0"/>
        <v>28</v>
      </c>
      <c r="B3" t="s">
        <v>635</v>
      </c>
      <c r="C3" t="s">
        <v>47</v>
      </c>
      <c r="D3">
        <v>23</v>
      </c>
      <c r="E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">
        <f ca="1">IF(Tabla142[[#This Row],[frecuencia_new]]="Diaria"," ",RANDBETWEEN(1,6))</f>
        <v>2</v>
      </c>
      <c r="G3">
        <f ca="1">IF(Tabla142[[#This Row],[frecuencia_new]]="Diaria","",IF(Tabla142[[#This Row],[frecuencia_new]]="Semanal","",IF(Tabla142[[#This Row],[frecuencia_new]]="Quincenal",RANDBETWEEN(1,2),RANDBETWEEN(1,4))))</f>
        <v>4</v>
      </c>
      <c r="H3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3" t="s">
        <v>52</v>
      </c>
      <c r="K3">
        <f>SUM(MID(Tabla142[[#This Row],[Duración]],1,2)*60,MID(Tabla142[[#This Row],[Duración]],6,2))</f>
        <v>60</v>
      </c>
      <c r="L3" s="4" t="s">
        <v>58</v>
      </c>
      <c r="M3" t="s">
        <v>253</v>
      </c>
      <c r="N3" t="s">
        <v>324</v>
      </c>
      <c r="O3" t="s">
        <v>384</v>
      </c>
      <c r="P3" t="s">
        <v>360</v>
      </c>
      <c r="Q3" s="20">
        <v>46032.649155092593</v>
      </c>
      <c r="R3" t="s">
        <v>5</v>
      </c>
      <c r="T3" t="s">
        <v>439</v>
      </c>
      <c r="V3" t="s">
        <v>413</v>
      </c>
      <c r="W3">
        <v>2</v>
      </c>
    </row>
    <row r="4" spans="1:23" ht="15" customHeight="1" x14ac:dyDescent="0.25">
      <c r="A4">
        <f t="shared" si="0"/>
        <v>28</v>
      </c>
      <c r="B4" t="s">
        <v>636</v>
      </c>
      <c r="C4" t="s">
        <v>47</v>
      </c>
      <c r="D4">
        <v>23</v>
      </c>
      <c r="E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">
        <f ca="1">IF(Tabla142[[#This Row],[frecuencia_new]]="Diaria"," ",RANDBETWEEN(1,6))</f>
        <v>3</v>
      </c>
      <c r="G4">
        <f ca="1">IF(Tabla142[[#This Row],[frecuencia_new]]="Diaria","",IF(Tabla142[[#This Row],[frecuencia_new]]="Semanal","",IF(Tabla142[[#This Row],[frecuencia_new]]="Quincenal",RANDBETWEEN(1,2),RANDBETWEEN(1,4))))</f>
        <v>4</v>
      </c>
      <c r="H4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4" t="s">
        <v>53</v>
      </c>
      <c r="K4">
        <f>SUM(MID(Tabla142[[#This Row],[Duración]],1,2)*60,MID(Tabla142[[#This Row],[Duración]],6,2))</f>
        <v>60</v>
      </c>
      <c r="L4" s="4" t="s">
        <v>58</v>
      </c>
      <c r="M4" t="s">
        <v>253</v>
      </c>
      <c r="N4" t="s">
        <v>324</v>
      </c>
      <c r="O4" t="s">
        <v>384</v>
      </c>
      <c r="P4" t="s">
        <v>360</v>
      </c>
      <c r="Q4" s="20">
        <v>46032.649155092593</v>
      </c>
      <c r="R4" t="s">
        <v>5</v>
      </c>
      <c r="T4" t="s">
        <v>439</v>
      </c>
      <c r="V4" t="s">
        <v>414</v>
      </c>
      <c r="W4">
        <v>3</v>
      </c>
    </row>
    <row r="5" spans="1:23" ht="15" customHeight="1" x14ac:dyDescent="0.25">
      <c r="A5">
        <f t="shared" si="0"/>
        <v>28</v>
      </c>
      <c r="B5" t="s">
        <v>637</v>
      </c>
      <c r="C5" t="s">
        <v>47</v>
      </c>
      <c r="D5">
        <v>23</v>
      </c>
      <c r="E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">
        <f ca="1">IF(Tabla142[[#This Row],[frecuencia_new]]="Diaria"," ",RANDBETWEEN(1,6))</f>
        <v>1</v>
      </c>
      <c r="G5">
        <f ca="1">IF(Tabla142[[#This Row],[frecuencia_new]]="Diaria","",IF(Tabla142[[#This Row],[frecuencia_new]]="Semanal","",IF(Tabla142[[#This Row],[frecuencia_new]]="Quincenal",RANDBETWEEN(1,2),RANDBETWEEN(1,4))))</f>
        <v>2</v>
      </c>
      <c r="H5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5" t="s">
        <v>209</v>
      </c>
      <c r="K5">
        <f>SUM(MID(Tabla142[[#This Row],[Duración]],1,2)*60,MID(Tabla142[[#This Row],[Duración]],6,2))</f>
        <v>80</v>
      </c>
      <c r="L5" s="4" t="s">
        <v>210</v>
      </c>
      <c r="M5" t="s">
        <v>253</v>
      </c>
      <c r="N5" t="s">
        <v>324</v>
      </c>
      <c r="O5" t="s">
        <v>384</v>
      </c>
      <c r="P5" t="s">
        <v>360</v>
      </c>
      <c r="Q5" s="20">
        <v>46032.649155092593</v>
      </c>
      <c r="R5" t="s">
        <v>5</v>
      </c>
      <c r="T5" t="s">
        <v>439</v>
      </c>
      <c r="V5" t="s">
        <v>415</v>
      </c>
      <c r="W5">
        <v>4</v>
      </c>
    </row>
    <row r="6" spans="1:23" ht="15" customHeight="1" x14ac:dyDescent="0.25">
      <c r="A6">
        <f t="shared" si="0"/>
        <v>28</v>
      </c>
      <c r="B6" t="s">
        <v>638</v>
      </c>
      <c r="C6" t="s">
        <v>47</v>
      </c>
      <c r="D6">
        <v>23</v>
      </c>
      <c r="E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">
        <f ca="1">IF(Tabla142[[#This Row],[frecuencia_new]]="Diaria"," ",RANDBETWEEN(1,6))</f>
        <v>2</v>
      </c>
      <c r="G6">
        <f ca="1">IF(Tabla142[[#This Row],[frecuencia_new]]="Diaria","",IF(Tabla142[[#This Row],[frecuencia_new]]="Semanal","",IF(Tabla142[[#This Row],[frecuencia_new]]="Quincenal",RANDBETWEEN(1,2),RANDBETWEEN(1,4))))</f>
        <v>3</v>
      </c>
      <c r="H6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6" t="s">
        <v>64</v>
      </c>
      <c r="K6">
        <f>SUM(MID(Tabla142[[#This Row],[Duración]],1,2)*60,MID(Tabla142[[#This Row],[Duración]],6,2))</f>
        <v>80</v>
      </c>
      <c r="L6" s="4" t="s">
        <v>210</v>
      </c>
      <c r="M6" t="s">
        <v>253</v>
      </c>
      <c r="N6" t="s">
        <v>324</v>
      </c>
      <c r="O6" t="s">
        <v>384</v>
      </c>
      <c r="P6" t="s">
        <v>360</v>
      </c>
      <c r="Q6" s="20">
        <v>46032.649155092593</v>
      </c>
      <c r="R6" t="s">
        <v>5</v>
      </c>
      <c r="T6" t="s">
        <v>439</v>
      </c>
      <c r="V6" t="s">
        <v>416</v>
      </c>
      <c r="W6">
        <v>5</v>
      </c>
    </row>
    <row r="7" spans="1:23" ht="15" customHeight="1" x14ac:dyDescent="0.25">
      <c r="A7">
        <f t="shared" si="0"/>
        <v>28</v>
      </c>
      <c r="B7" t="s">
        <v>639</v>
      </c>
      <c r="C7" t="s">
        <v>47</v>
      </c>
      <c r="D7">
        <v>23</v>
      </c>
      <c r="E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">
        <f ca="1">IF(Tabla142[[#This Row],[frecuencia_new]]="Diaria"," ",RANDBETWEEN(1,6))</f>
        <v>2</v>
      </c>
      <c r="G7">
        <f ca="1">IF(Tabla142[[#This Row],[frecuencia_new]]="Diaria","",IF(Tabla142[[#This Row],[frecuencia_new]]="Semanal","",IF(Tabla142[[#This Row],[frecuencia_new]]="Quincenal",RANDBETWEEN(1,2),RANDBETWEEN(1,4))))</f>
        <v>3</v>
      </c>
      <c r="H7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" t="s">
        <v>46</v>
      </c>
      <c r="K7">
        <f>SUM(MID(Tabla142[[#This Row],[Duración]],1,2)*60,MID(Tabla142[[#This Row],[Duración]],6,2))</f>
        <v>60</v>
      </c>
      <c r="L7" s="4" t="s">
        <v>58</v>
      </c>
      <c r="M7" t="s">
        <v>253</v>
      </c>
      <c r="N7" t="s">
        <v>324</v>
      </c>
      <c r="O7" t="s">
        <v>384</v>
      </c>
      <c r="P7" t="s">
        <v>360</v>
      </c>
      <c r="Q7" s="20">
        <v>46032.649155092593</v>
      </c>
      <c r="R7" t="s">
        <v>5</v>
      </c>
      <c r="T7" t="s">
        <v>439</v>
      </c>
      <c r="V7" t="s">
        <v>417</v>
      </c>
      <c r="W7">
        <v>6</v>
      </c>
    </row>
    <row r="8" spans="1:23" ht="15" customHeight="1" x14ac:dyDescent="0.25">
      <c r="A8">
        <f t="shared" si="0"/>
        <v>28</v>
      </c>
      <c r="B8" t="s">
        <v>640</v>
      </c>
      <c r="C8" t="s">
        <v>47</v>
      </c>
      <c r="D8">
        <v>23</v>
      </c>
      <c r="E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">
        <f ca="1">IF(Tabla142[[#This Row],[frecuencia_new]]="Diaria"," ",RANDBETWEEN(1,6))</f>
        <v>6</v>
      </c>
      <c r="G8">
        <f ca="1">IF(Tabla142[[#This Row],[frecuencia_new]]="Diaria","",IF(Tabla142[[#This Row],[frecuencia_new]]="Semanal","",IF(Tabla142[[#This Row],[frecuencia_new]]="Quincenal",RANDBETWEEN(1,2),RANDBETWEEN(1,4))))</f>
        <v>3</v>
      </c>
      <c r="H8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8" t="s">
        <v>52</v>
      </c>
      <c r="K8">
        <f>SUM(MID(Tabla142[[#This Row],[Duración]],1,2)*60,MID(Tabla142[[#This Row],[Duración]],6,2))</f>
        <v>60</v>
      </c>
      <c r="L8" s="4" t="s">
        <v>58</v>
      </c>
      <c r="M8" t="s">
        <v>253</v>
      </c>
      <c r="N8" t="s">
        <v>324</v>
      </c>
      <c r="O8" t="s">
        <v>384</v>
      </c>
      <c r="P8" t="s">
        <v>360</v>
      </c>
      <c r="Q8" s="20">
        <v>46032.649155092593</v>
      </c>
      <c r="R8" t="s">
        <v>5</v>
      </c>
      <c r="T8" t="s">
        <v>439</v>
      </c>
      <c r="V8" t="s">
        <v>418</v>
      </c>
      <c r="W8">
        <v>7</v>
      </c>
    </row>
    <row r="9" spans="1:23" ht="15" customHeight="1" x14ac:dyDescent="0.25">
      <c r="A9">
        <f t="shared" si="0"/>
        <v>28</v>
      </c>
      <c r="B9" t="s">
        <v>641</v>
      </c>
      <c r="C9" t="s">
        <v>47</v>
      </c>
      <c r="D9">
        <v>23</v>
      </c>
      <c r="E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">
        <f ca="1">IF(Tabla142[[#This Row],[frecuencia_new]]="Diaria"," ",RANDBETWEEN(1,6))</f>
        <v>3</v>
      </c>
      <c r="G9">
        <f ca="1">IF(Tabla142[[#This Row],[frecuencia_new]]="Diaria","",IF(Tabla142[[#This Row],[frecuencia_new]]="Semanal","",IF(Tabla142[[#This Row],[frecuencia_new]]="Quincenal",RANDBETWEEN(1,2),RANDBETWEEN(1,4))))</f>
        <v>2</v>
      </c>
      <c r="H9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9" t="s">
        <v>53</v>
      </c>
      <c r="K9">
        <f>SUM(MID(Tabla142[[#This Row],[Duración]],1,2)*60,MID(Tabla142[[#This Row],[Duración]],6,2))</f>
        <v>60</v>
      </c>
      <c r="L9" s="4" t="s">
        <v>58</v>
      </c>
      <c r="M9" t="s">
        <v>253</v>
      </c>
      <c r="N9" t="s">
        <v>324</v>
      </c>
      <c r="O9" t="s">
        <v>384</v>
      </c>
      <c r="P9" t="s">
        <v>360</v>
      </c>
      <c r="Q9" s="20">
        <v>46032.649155092593</v>
      </c>
      <c r="R9" t="s">
        <v>5</v>
      </c>
      <c r="T9" t="s">
        <v>439</v>
      </c>
      <c r="V9" t="s">
        <v>419</v>
      </c>
      <c r="W9">
        <v>8</v>
      </c>
    </row>
    <row r="10" spans="1:23" ht="15" customHeight="1" x14ac:dyDescent="0.25">
      <c r="A10">
        <f t="shared" si="0"/>
        <v>28</v>
      </c>
      <c r="B10" t="s">
        <v>642</v>
      </c>
      <c r="C10" t="s">
        <v>47</v>
      </c>
      <c r="D10">
        <v>23</v>
      </c>
      <c r="E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">
        <f ca="1">IF(Tabla142[[#This Row],[frecuencia_new]]="Diaria"," ",RANDBETWEEN(1,6))</f>
        <v>1</v>
      </c>
      <c r="G10">
        <f ca="1">IF(Tabla142[[#This Row],[frecuencia_new]]="Diaria","",IF(Tabla142[[#This Row],[frecuencia_new]]="Semanal","",IF(Tabla142[[#This Row],[frecuencia_new]]="Quincenal",RANDBETWEEN(1,2),RANDBETWEEN(1,4))))</f>
        <v>3</v>
      </c>
      <c r="H10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0" t="s">
        <v>209</v>
      </c>
      <c r="K10">
        <f>SUM(MID(Tabla142[[#This Row],[Duración]],1,2)*60,MID(Tabla142[[#This Row],[Duración]],6,2))</f>
        <v>80</v>
      </c>
      <c r="L10" s="4" t="s">
        <v>210</v>
      </c>
      <c r="M10" t="s">
        <v>253</v>
      </c>
      <c r="N10" t="s">
        <v>324</v>
      </c>
      <c r="O10" t="s">
        <v>384</v>
      </c>
      <c r="P10" t="s">
        <v>360</v>
      </c>
      <c r="Q10" s="20">
        <v>46032.649155092593</v>
      </c>
      <c r="R10" t="s">
        <v>5</v>
      </c>
      <c r="T10" t="s">
        <v>439</v>
      </c>
      <c r="V10" t="s">
        <v>420</v>
      </c>
      <c r="W10">
        <v>9</v>
      </c>
    </row>
    <row r="11" spans="1:23" ht="15" customHeight="1" x14ac:dyDescent="0.25">
      <c r="A11">
        <f t="shared" si="0"/>
        <v>28</v>
      </c>
      <c r="B11" t="s">
        <v>643</v>
      </c>
      <c r="C11" t="s">
        <v>47</v>
      </c>
      <c r="D11">
        <v>23</v>
      </c>
      <c r="E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">
        <f ca="1">IF(Tabla142[[#This Row],[frecuencia_new]]="Diaria"," ",RANDBETWEEN(1,6))</f>
        <v>4</v>
      </c>
      <c r="G11">
        <f ca="1">IF(Tabla142[[#This Row],[frecuencia_new]]="Diaria","",IF(Tabla142[[#This Row],[frecuencia_new]]="Semanal","",IF(Tabla142[[#This Row],[frecuencia_new]]="Quincenal",RANDBETWEEN(1,2),RANDBETWEEN(1,4))))</f>
        <v>3</v>
      </c>
      <c r="H1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1" t="s">
        <v>64</v>
      </c>
      <c r="K11">
        <f>SUM(MID(Tabla142[[#This Row],[Duración]],1,2)*60,MID(Tabla142[[#This Row],[Duración]],6,2))</f>
        <v>80</v>
      </c>
      <c r="L11" s="4" t="s">
        <v>210</v>
      </c>
      <c r="M11" t="s">
        <v>253</v>
      </c>
      <c r="N11" t="s">
        <v>324</v>
      </c>
      <c r="O11" t="s">
        <v>384</v>
      </c>
      <c r="P11" t="s">
        <v>360</v>
      </c>
      <c r="Q11" s="20">
        <v>46032.649155092593</v>
      </c>
      <c r="R11" t="s">
        <v>5</v>
      </c>
      <c r="T11" t="s">
        <v>439</v>
      </c>
      <c r="V11" t="s">
        <v>421</v>
      </c>
      <c r="W11">
        <v>10</v>
      </c>
    </row>
    <row r="12" spans="1:23" ht="15" customHeight="1" x14ac:dyDescent="0.25">
      <c r="A12">
        <f t="shared" si="0"/>
        <v>28</v>
      </c>
      <c r="B12" t="s">
        <v>644</v>
      </c>
      <c r="C12" t="s">
        <v>47</v>
      </c>
      <c r="D12">
        <v>23</v>
      </c>
      <c r="E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">
        <f ca="1">IF(Tabla142[[#This Row],[frecuencia_new]]="Diaria"," ",RANDBETWEEN(1,6))</f>
        <v>1</v>
      </c>
      <c r="G12">
        <f ca="1">IF(Tabla142[[#This Row],[frecuencia_new]]="Diaria","",IF(Tabla142[[#This Row],[frecuencia_new]]="Semanal","",IF(Tabla142[[#This Row],[frecuencia_new]]="Quincenal",RANDBETWEEN(1,2),RANDBETWEEN(1,4))))</f>
        <v>3</v>
      </c>
      <c r="H1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2" t="s">
        <v>46</v>
      </c>
      <c r="K12">
        <f>SUM(MID(Tabla142[[#This Row],[Duración]],1,2)*60,MID(Tabla142[[#This Row],[Duración]],6,2))</f>
        <v>60</v>
      </c>
      <c r="L12" s="4" t="s">
        <v>58</v>
      </c>
      <c r="M12" t="s">
        <v>253</v>
      </c>
      <c r="N12" t="s">
        <v>324</v>
      </c>
      <c r="O12" t="s">
        <v>384</v>
      </c>
      <c r="P12" t="s">
        <v>360</v>
      </c>
      <c r="Q12" s="20">
        <v>46032.649155092593</v>
      </c>
      <c r="R12" t="s">
        <v>5</v>
      </c>
      <c r="T12" t="s">
        <v>439</v>
      </c>
      <c r="V12" t="s">
        <v>422</v>
      </c>
      <c r="W12">
        <v>11</v>
      </c>
    </row>
    <row r="13" spans="1:23" ht="15" customHeight="1" x14ac:dyDescent="0.25">
      <c r="A13">
        <f t="shared" si="0"/>
        <v>28</v>
      </c>
      <c r="B13" t="s">
        <v>645</v>
      </c>
      <c r="C13" t="s">
        <v>47</v>
      </c>
      <c r="D13">
        <v>23</v>
      </c>
      <c r="E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">
        <f ca="1">IF(Tabla142[[#This Row],[frecuencia_new]]="Diaria"," ",RANDBETWEEN(1,6))</f>
        <v>5</v>
      </c>
      <c r="G13">
        <f ca="1">IF(Tabla142[[#This Row],[frecuencia_new]]="Diaria","",IF(Tabla142[[#This Row],[frecuencia_new]]="Semanal","",IF(Tabla142[[#This Row],[frecuencia_new]]="Quincenal",RANDBETWEEN(1,2),RANDBETWEEN(1,4))))</f>
        <v>3</v>
      </c>
      <c r="H1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3" t="s">
        <v>52</v>
      </c>
      <c r="K13">
        <f>SUM(MID(Tabla142[[#This Row],[Duración]],1,2)*60,MID(Tabla142[[#This Row],[Duración]],6,2))</f>
        <v>60</v>
      </c>
      <c r="L13" s="4" t="s">
        <v>58</v>
      </c>
      <c r="M13" t="s">
        <v>253</v>
      </c>
      <c r="N13" t="s">
        <v>324</v>
      </c>
      <c r="O13" t="s">
        <v>384</v>
      </c>
      <c r="P13" t="s">
        <v>360</v>
      </c>
      <c r="Q13" s="20">
        <v>46032.649155092593</v>
      </c>
      <c r="R13" t="s">
        <v>5</v>
      </c>
      <c r="T13" t="s">
        <v>439</v>
      </c>
      <c r="V13" t="s">
        <v>423</v>
      </c>
      <c r="W13">
        <v>12</v>
      </c>
    </row>
    <row r="14" spans="1:23" ht="15" customHeight="1" x14ac:dyDescent="0.25">
      <c r="A14">
        <f t="shared" si="0"/>
        <v>28</v>
      </c>
      <c r="B14" t="s">
        <v>646</v>
      </c>
      <c r="C14" t="s">
        <v>47</v>
      </c>
      <c r="D14">
        <v>23</v>
      </c>
      <c r="E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4">
        <f ca="1">IF(Tabla142[[#This Row],[frecuencia_new]]="Diaria"," ",RANDBETWEEN(1,6))</f>
        <v>2</v>
      </c>
      <c r="G14">
        <f ca="1">IF(Tabla142[[#This Row],[frecuencia_new]]="Diaria","",IF(Tabla142[[#This Row],[frecuencia_new]]="Semanal","",IF(Tabla142[[#This Row],[frecuencia_new]]="Quincenal",RANDBETWEEN(1,2),RANDBETWEEN(1,4))))</f>
        <v>3</v>
      </c>
      <c r="H14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4" t="s">
        <v>53</v>
      </c>
      <c r="K14">
        <f>SUM(MID(Tabla142[[#This Row],[Duración]],1,2)*60,MID(Tabla142[[#This Row],[Duración]],6,2))</f>
        <v>60</v>
      </c>
      <c r="L14" s="4" t="s">
        <v>58</v>
      </c>
      <c r="M14" t="s">
        <v>253</v>
      </c>
      <c r="N14" t="s">
        <v>324</v>
      </c>
      <c r="O14" t="s">
        <v>384</v>
      </c>
      <c r="P14" t="s">
        <v>360</v>
      </c>
      <c r="Q14" s="20">
        <v>46032.649155092593</v>
      </c>
      <c r="R14" t="s">
        <v>5</v>
      </c>
      <c r="T14" t="s">
        <v>439</v>
      </c>
      <c r="V14" t="s">
        <v>424</v>
      </c>
      <c r="W14">
        <v>13</v>
      </c>
    </row>
    <row r="15" spans="1:23" ht="15" customHeight="1" x14ac:dyDescent="0.25">
      <c r="A15">
        <f t="shared" si="0"/>
        <v>28</v>
      </c>
      <c r="B15" t="s">
        <v>647</v>
      </c>
      <c r="C15" t="s">
        <v>47</v>
      </c>
      <c r="D15">
        <v>23</v>
      </c>
      <c r="E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5">
        <f ca="1">IF(Tabla142[[#This Row],[frecuencia_new]]="Diaria"," ",RANDBETWEEN(1,6))</f>
        <v>2</v>
      </c>
      <c r="G15">
        <f ca="1">IF(Tabla142[[#This Row],[frecuencia_new]]="Diaria","",IF(Tabla142[[#This Row],[frecuencia_new]]="Semanal","",IF(Tabla142[[#This Row],[frecuencia_new]]="Quincenal",RANDBETWEEN(1,2),RANDBETWEEN(1,4))))</f>
        <v>4</v>
      </c>
      <c r="H15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5" t="s">
        <v>64</v>
      </c>
      <c r="K15">
        <f>SUM(MID(Tabla142[[#This Row],[Duración]],1,2)*60,MID(Tabla142[[#This Row],[Duración]],6,2))</f>
        <v>60</v>
      </c>
      <c r="L15" s="4" t="s">
        <v>58</v>
      </c>
      <c r="M15" t="s">
        <v>253</v>
      </c>
      <c r="N15" t="s">
        <v>324</v>
      </c>
      <c r="O15" t="s">
        <v>384</v>
      </c>
      <c r="P15" t="s">
        <v>360</v>
      </c>
      <c r="Q15" s="20">
        <v>46032.649155092593</v>
      </c>
      <c r="R15" t="s">
        <v>5</v>
      </c>
      <c r="T15" t="s">
        <v>439</v>
      </c>
      <c r="V15" t="s">
        <v>425</v>
      </c>
      <c r="W15">
        <v>14</v>
      </c>
    </row>
    <row r="16" spans="1:23" ht="15" customHeight="1" x14ac:dyDescent="0.25">
      <c r="A16">
        <f t="shared" si="0"/>
        <v>115</v>
      </c>
      <c r="B16" t="s">
        <v>648</v>
      </c>
      <c r="C16" t="s">
        <v>47</v>
      </c>
      <c r="D16">
        <v>23</v>
      </c>
      <c r="E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6" t="str">
        <f ca="1">IF(Tabla142[[#This Row],[frecuencia_new]]="Diaria"," ",RANDBETWEEN(1,6))</f>
        <v xml:space="preserve"> </v>
      </c>
      <c r="G16" t="str">
        <f ca="1">IF(Tabla142[[#This Row],[frecuencia_new]]="Diaria","",IF(Tabla142[[#This Row],[frecuencia_new]]="Semanal","",IF(Tabla142[[#This Row],[frecuencia_new]]="Quincenal",RANDBETWEEN(1,2),RANDBETWEEN(1,4))))</f>
        <v/>
      </c>
      <c r="H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6" t="s">
        <v>206</v>
      </c>
      <c r="K16">
        <f>SUM(MID(Tabla142[[#This Row],[Duración]],1,2)*60,MID(Tabla142[[#This Row],[Duración]],6,2))</f>
        <v>2</v>
      </c>
      <c r="L16" s="4" t="s">
        <v>60</v>
      </c>
      <c r="M16" t="s">
        <v>253</v>
      </c>
      <c r="N16" t="s">
        <v>324</v>
      </c>
      <c r="O16" t="s">
        <v>400</v>
      </c>
      <c r="P16" t="s">
        <v>361</v>
      </c>
      <c r="Q16" s="20">
        <v>46032.649155092593</v>
      </c>
      <c r="R16" t="s">
        <v>6</v>
      </c>
      <c r="T16" t="s">
        <v>526</v>
      </c>
      <c r="V16" t="s">
        <v>426</v>
      </c>
      <c r="W16">
        <v>15</v>
      </c>
    </row>
    <row r="17" spans="1:23" ht="15" customHeight="1" x14ac:dyDescent="0.25">
      <c r="A17">
        <f t="shared" si="0"/>
        <v>115</v>
      </c>
      <c r="B17" t="s">
        <v>649</v>
      </c>
      <c r="C17" t="s">
        <v>47</v>
      </c>
      <c r="D17">
        <v>23</v>
      </c>
      <c r="E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7" t="str">
        <f ca="1">IF(Tabla142[[#This Row],[frecuencia_new]]="Diaria"," ",RANDBETWEEN(1,6))</f>
        <v xml:space="preserve"> </v>
      </c>
      <c r="G17" t="str">
        <f ca="1">IF(Tabla142[[#This Row],[frecuencia_new]]="Diaria","",IF(Tabla142[[#This Row],[frecuencia_new]]="Semanal","",IF(Tabla142[[#This Row],[frecuencia_new]]="Quincenal",RANDBETWEEN(1,2),RANDBETWEEN(1,4))))</f>
        <v/>
      </c>
      <c r="H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7" t="s">
        <v>207</v>
      </c>
      <c r="K17">
        <f>SUM(MID(Tabla142[[#This Row],[Duración]],1,2)*60,MID(Tabla142[[#This Row],[Duración]],6,2))</f>
        <v>2</v>
      </c>
      <c r="L17" s="4" t="s">
        <v>60</v>
      </c>
      <c r="M17" t="s">
        <v>253</v>
      </c>
      <c r="N17" t="s">
        <v>324</v>
      </c>
      <c r="O17" t="s">
        <v>400</v>
      </c>
      <c r="P17" t="s">
        <v>361</v>
      </c>
      <c r="Q17" s="20">
        <v>46032.649155092593</v>
      </c>
      <c r="R17" t="s">
        <v>6</v>
      </c>
      <c r="T17" t="s">
        <v>526</v>
      </c>
      <c r="V17" t="s">
        <v>427</v>
      </c>
      <c r="W17">
        <v>16</v>
      </c>
    </row>
    <row r="18" spans="1:23" ht="15" customHeight="1" x14ac:dyDescent="0.25">
      <c r="A18">
        <f t="shared" si="0"/>
        <v>115</v>
      </c>
      <c r="B18" t="s">
        <v>650</v>
      </c>
      <c r="C18" t="s">
        <v>47</v>
      </c>
      <c r="D18">
        <v>23</v>
      </c>
      <c r="E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8" t="str">
        <f ca="1">IF(Tabla142[[#This Row],[frecuencia_new]]="Diaria"," ",RANDBETWEEN(1,6))</f>
        <v xml:space="preserve"> </v>
      </c>
      <c r="G18" t="str">
        <f ca="1">IF(Tabla142[[#This Row],[frecuencia_new]]="Diaria","",IF(Tabla142[[#This Row],[frecuencia_new]]="Semanal","",IF(Tabla142[[#This Row],[frecuencia_new]]="Quincenal",RANDBETWEEN(1,2),RANDBETWEEN(1,4))))</f>
        <v/>
      </c>
      <c r="H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" t="s">
        <v>206</v>
      </c>
      <c r="K18">
        <f>SUM(MID(Tabla142[[#This Row],[Duración]],1,2)*60,MID(Tabla142[[#This Row],[Duración]],6,2))</f>
        <v>2</v>
      </c>
      <c r="L18" s="4" t="s">
        <v>60</v>
      </c>
      <c r="M18" t="s">
        <v>253</v>
      </c>
      <c r="N18" t="s">
        <v>324</v>
      </c>
      <c r="O18" t="s">
        <v>400</v>
      </c>
      <c r="P18" t="s">
        <v>361</v>
      </c>
      <c r="Q18" s="20">
        <v>46032.649155092593</v>
      </c>
      <c r="R18" t="s">
        <v>6</v>
      </c>
      <c r="T18" t="s">
        <v>526</v>
      </c>
      <c r="V18" t="s">
        <v>428</v>
      </c>
      <c r="W18">
        <v>17</v>
      </c>
    </row>
    <row r="19" spans="1:23" ht="15" customHeight="1" x14ac:dyDescent="0.25">
      <c r="A19">
        <f t="shared" si="0"/>
        <v>115</v>
      </c>
      <c r="B19" t="s">
        <v>651</v>
      </c>
      <c r="C19" t="s">
        <v>47</v>
      </c>
      <c r="D19">
        <v>23</v>
      </c>
      <c r="E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9" t="str">
        <f ca="1">IF(Tabla142[[#This Row],[frecuencia_new]]="Diaria"," ",RANDBETWEEN(1,6))</f>
        <v xml:space="preserve"> </v>
      </c>
      <c r="G19" t="str">
        <f ca="1">IF(Tabla142[[#This Row],[frecuencia_new]]="Diaria","",IF(Tabla142[[#This Row],[frecuencia_new]]="Semanal","",IF(Tabla142[[#This Row],[frecuencia_new]]="Quincenal",RANDBETWEEN(1,2),RANDBETWEEN(1,4))))</f>
        <v/>
      </c>
      <c r="H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" t="s">
        <v>207</v>
      </c>
      <c r="K19">
        <f>SUM(MID(Tabla142[[#This Row],[Duración]],1,2)*60,MID(Tabla142[[#This Row],[Duración]],6,2))</f>
        <v>2</v>
      </c>
      <c r="L19" s="4" t="s">
        <v>60</v>
      </c>
      <c r="M19" t="s">
        <v>253</v>
      </c>
      <c r="N19" t="s">
        <v>324</v>
      </c>
      <c r="O19" t="s">
        <v>400</v>
      </c>
      <c r="P19" t="s">
        <v>361</v>
      </c>
      <c r="Q19" s="20">
        <v>46032.649155092593</v>
      </c>
      <c r="R19" t="s">
        <v>6</v>
      </c>
      <c r="T19" t="s">
        <v>526</v>
      </c>
      <c r="V19" t="s">
        <v>429</v>
      </c>
      <c r="W19">
        <v>18</v>
      </c>
    </row>
    <row r="20" spans="1:23" ht="15" customHeight="1" x14ac:dyDescent="0.25">
      <c r="A20">
        <f t="shared" si="0"/>
        <v>115</v>
      </c>
      <c r="B20" t="s">
        <v>652</v>
      </c>
      <c r="C20" t="s">
        <v>47</v>
      </c>
      <c r="D20">
        <v>23</v>
      </c>
      <c r="E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0" t="str">
        <f ca="1">IF(Tabla142[[#This Row],[frecuencia_new]]="Diaria"," ",RANDBETWEEN(1,6))</f>
        <v xml:space="preserve"> </v>
      </c>
      <c r="G20" t="str">
        <f ca="1">IF(Tabla142[[#This Row],[frecuencia_new]]="Diaria","",IF(Tabla142[[#This Row],[frecuencia_new]]="Semanal","",IF(Tabla142[[#This Row],[frecuencia_new]]="Quincenal",RANDBETWEEN(1,2),RANDBETWEEN(1,4))))</f>
        <v/>
      </c>
      <c r="H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" t="s">
        <v>227</v>
      </c>
      <c r="K20">
        <f>SUM(MID(Tabla142[[#This Row],[Duración]],1,2)*60,MID(Tabla142[[#This Row],[Duración]],6,2))</f>
        <v>2</v>
      </c>
      <c r="L20" s="4" t="s">
        <v>60</v>
      </c>
      <c r="M20" t="s">
        <v>253</v>
      </c>
      <c r="N20" t="s">
        <v>324</v>
      </c>
      <c r="O20" t="s">
        <v>400</v>
      </c>
      <c r="P20" t="s">
        <v>361</v>
      </c>
      <c r="Q20" s="20">
        <v>46032.649155092593</v>
      </c>
      <c r="R20" t="s">
        <v>6</v>
      </c>
      <c r="T20" t="s">
        <v>526</v>
      </c>
      <c r="V20" t="s">
        <v>430</v>
      </c>
      <c r="W20">
        <v>19</v>
      </c>
    </row>
    <row r="21" spans="1:23" ht="15" customHeight="1" x14ac:dyDescent="0.25">
      <c r="A21">
        <f t="shared" si="0"/>
        <v>216</v>
      </c>
      <c r="B21" t="s">
        <v>653</v>
      </c>
      <c r="C21" t="s">
        <v>47</v>
      </c>
      <c r="D21">
        <v>23</v>
      </c>
      <c r="E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1">
        <f ca="1">IF(Tabla142[[#This Row],[frecuencia_new]]="Diaria"," ",RANDBETWEEN(1,6))</f>
        <v>5</v>
      </c>
      <c r="G21" t="str">
        <f ca="1">IF(Tabla142[[#This Row],[frecuencia_new]]="Diaria","",IF(Tabla142[[#This Row],[frecuencia_new]]="Semanal","",IF(Tabla142[[#This Row],[frecuencia_new]]="Quincenal",RANDBETWEEN(1,2),RANDBETWEEN(1,4))))</f>
        <v/>
      </c>
      <c r="H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1" t="s">
        <v>204</v>
      </c>
      <c r="K21">
        <f>SUM(MID(Tabla142[[#This Row],[Duración]],1,2)*60,MID(Tabla142[[#This Row],[Duración]],6,2))</f>
        <v>30</v>
      </c>
      <c r="L21" s="4" t="s">
        <v>48</v>
      </c>
      <c r="M21" t="s">
        <v>253</v>
      </c>
      <c r="N21" t="s">
        <v>324</v>
      </c>
      <c r="O21" t="s">
        <v>394</v>
      </c>
      <c r="P21" t="s">
        <v>363</v>
      </c>
      <c r="Q21" s="20">
        <v>46032.649155092593</v>
      </c>
      <c r="R21" t="s">
        <v>8</v>
      </c>
      <c r="T21" t="s">
        <v>627</v>
      </c>
      <c r="V21" t="s">
        <v>431</v>
      </c>
      <c r="W21">
        <v>20</v>
      </c>
    </row>
    <row r="22" spans="1:23" ht="15" customHeight="1" x14ac:dyDescent="0.25">
      <c r="A22">
        <f t="shared" si="0"/>
        <v>216</v>
      </c>
      <c r="B22" t="s">
        <v>654</v>
      </c>
      <c r="C22" t="s">
        <v>47</v>
      </c>
      <c r="D22">
        <v>23</v>
      </c>
      <c r="E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2">
        <f ca="1">IF(Tabla142[[#This Row],[frecuencia_new]]="Diaria"," ",RANDBETWEEN(1,6))</f>
        <v>1</v>
      </c>
      <c r="G22">
        <f ca="1">IF(Tabla142[[#This Row],[frecuencia_new]]="Diaria","",IF(Tabla142[[#This Row],[frecuencia_new]]="Semanal","",IF(Tabla142[[#This Row],[frecuencia_new]]="Quincenal",RANDBETWEEN(1,2),RANDBETWEEN(1,4))))</f>
        <v>1</v>
      </c>
      <c r="H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" t="s">
        <v>205</v>
      </c>
      <c r="K22">
        <f>SUM(MID(Tabla142[[#This Row],[Duración]],1,2)*60,MID(Tabla142[[#This Row],[Duración]],6,2))</f>
        <v>20</v>
      </c>
      <c r="L22" s="4" t="s">
        <v>82</v>
      </c>
      <c r="M22" t="s">
        <v>253</v>
      </c>
      <c r="N22" t="s">
        <v>324</v>
      </c>
      <c r="O22" t="s">
        <v>394</v>
      </c>
      <c r="P22" t="s">
        <v>363</v>
      </c>
      <c r="Q22" s="20">
        <v>46032.649155092593</v>
      </c>
      <c r="R22" t="s">
        <v>1846</v>
      </c>
      <c r="T22" t="s">
        <v>627</v>
      </c>
      <c r="V22" t="s">
        <v>432</v>
      </c>
      <c r="W22">
        <v>21</v>
      </c>
    </row>
    <row r="23" spans="1:23" ht="15" customHeight="1" x14ac:dyDescent="0.25">
      <c r="A23">
        <f t="shared" si="0"/>
        <v>216</v>
      </c>
      <c r="B23" t="s">
        <v>655</v>
      </c>
      <c r="C23" t="s">
        <v>47</v>
      </c>
      <c r="D23">
        <v>23</v>
      </c>
      <c r="E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3">
        <f ca="1">IF(Tabla142[[#This Row],[frecuencia_new]]="Diaria"," ",RANDBETWEEN(1,6))</f>
        <v>6</v>
      </c>
      <c r="G23">
        <f ca="1">IF(Tabla142[[#This Row],[frecuencia_new]]="Diaria","",IF(Tabla142[[#This Row],[frecuencia_new]]="Semanal","",IF(Tabla142[[#This Row],[frecuencia_new]]="Quincenal",RANDBETWEEN(1,2),RANDBETWEEN(1,4))))</f>
        <v>1</v>
      </c>
      <c r="H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" t="s">
        <v>208</v>
      </c>
      <c r="K23">
        <f>SUM(MID(Tabla142[[#This Row],[Duración]],1,2)*60,MID(Tabla142[[#This Row],[Duración]],6,2))</f>
        <v>25</v>
      </c>
      <c r="L23" s="4" t="s">
        <v>184</v>
      </c>
      <c r="M23" t="s">
        <v>253</v>
      </c>
      <c r="N23" t="s">
        <v>324</v>
      </c>
      <c r="O23" t="s">
        <v>394</v>
      </c>
      <c r="P23" t="s">
        <v>363</v>
      </c>
      <c r="Q23" s="20">
        <v>46032.649155092593</v>
      </c>
      <c r="R23" t="s">
        <v>7</v>
      </c>
      <c r="T23" t="s">
        <v>627</v>
      </c>
      <c r="V23" t="s">
        <v>433</v>
      </c>
      <c r="W23">
        <v>22</v>
      </c>
    </row>
    <row r="24" spans="1:23" ht="15" customHeight="1" x14ac:dyDescent="0.25">
      <c r="A24">
        <f t="shared" si="0"/>
        <v>216</v>
      </c>
      <c r="B24" t="s">
        <v>656</v>
      </c>
      <c r="C24" t="s">
        <v>47</v>
      </c>
      <c r="D24">
        <v>23</v>
      </c>
      <c r="E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4">
        <f ca="1">IF(Tabla142[[#This Row],[frecuencia_new]]="Diaria"," ",RANDBETWEEN(1,6))</f>
        <v>1</v>
      </c>
      <c r="G24">
        <f ca="1">IF(Tabla142[[#This Row],[frecuencia_new]]="Diaria","",IF(Tabla142[[#This Row],[frecuencia_new]]="Semanal","",IF(Tabla142[[#This Row],[frecuencia_new]]="Quincenal",RANDBETWEEN(1,2),RANDBETWEEN(1,4))))</f>
        <v>1</v>
      </c>
      <c r="H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" t="s">
        <v>211</v>
      </c>
      <c r="K24">
        <f>SUM(MID(Tabla142[[#This Row],[Duración]],1,2)*60,MID(Tabla142[[#This Row],[Duración]],6,2))</f>
        <v>20</v>
      </c>
      <c r="L24" s="4" t="s">
        <v>82</v>
      </c>
      <c r="M24" t="s">
        <v>253</v>
      </c>
      <c r="N24" t="s">
        <v>324</v>
      </c>
      <c r="O24" t="s">
        <v>394</v>
      </c>
      <c r="P24" t="s">
        <v>363</v>
      </c>
      <c r="Q24" s="20">
        <v>46032.649155092593</v>
      </c>
      <c r="R24" t="s">
        <v>1846</v>
      </c>
      <c r="T24" t="s">
        <v>627</v>
      </c>
      <c r="V24" t="s">
        <v>434</v>
      </c>
      <c r="W24">
        <v>23</v>
      </c>
    </row>
    <row r="25" spans="1:23" ht="15" customHeight="1" x14ac:dyDescent="0.25">
      <c r="A25">
        <f t="shared" si="0"/>
        <v>216</v>
      </c>
      <c r="B25" t="s">
        <v>657</v>
      </c>
      <c r="C25" t="s">
        <v>47</v>
      </c>
      <c r="D25">
        <v>23</v>
      </c>
      <c r="E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5">
        <f ca="1">IF(Tabla142[[#This Row],[frecuencia_new]]="Diaria"," ",RANDBETWEEN(1,6))</f>
        <v>2</v>
      </c>
      <c r="G25">
        <f ca="1">IF(Tabla142[[#This Row],[frecuencia_new]]="Diaria","",IF(Tabla142[[#This Row],[frecuencia_new]]="Semanal","",IF(Tabla142[[#This Row],[frecuencia_new]]="Quincenal",RANDBETWEEN(1,2),RANDBETWEEN(1,4))))</f>
        <v>3</v>
      </c>
      <c r="H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" t="s">
        <v>212</v>
      </c>
      <c r="K25">
        <f>SUM(MID(Tabla142[[#This Row],[Duración]],1,2)*60,MID(Tabla142[[#This Row],[Duración]],6,2))</f>
        <v>10</v>
      </c>
      <c r="L25" s="4" t="s">
        <v>71</v>
      </c>
      <c r="M25" t="s">
        <v>253</v>
      </c>
      <c r="N25" t="s">
        <v>324</v>
      </c>
      <c r="O25" t="s">
        <v>394</v>
      </c>
      <c r="P25" t="s">
        <v>363</v>
      </c>
      <c r="Q25" s="20">
        <v>46032.649155092593</v>
      </c>
      <c r="R25" t="s">
        <v>7</v>
      </c>
      <c r="T25" t="s">
        <v>627</v>
      </c>
      <c r="V25" t="s">
        <v>435</v>
      </c>
      <c r="W25">
        <v>24</v>
      </c>
    </row>
    <row r="26" spans="1:23" ht="15" customHeight="1" x14ac:dyDescent="0.25">
      <c r="A26">
        <f t="shared" si="0"/>
        <v>216</v>
      </c>
      <c r="B26" t="s">
        <v>658</v>
      </c>
      <c r="C26" t="s">
        <v>47</v>
      </c>
      <c r="D26">
        <v>23</v>
      </c>
      <c r="E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6">
        <f ca="1">IF(Tabla142[[#This Row],[frecuencia_new]]="Diaria"," ",RANDBETWEEN(1,6))</f>
        <v>5</v>
      </c>
      <c r="G26" t="str">
        <f ca="1">IF(Tabla142[[#This Row],[frecuencia_new]]="Diaria","",IF(Tabla142[[#This Row],[frecuencia_new]]="Semanal","",IF(Tabla142[[#This Row],[frecuencia_new]]="Quincenal",RANDBETWEEN(1,2),RANDBETWEEN(1,4))))</f>
        <v/>
      </c>
      <c r="H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" t="s">
        <v>204</v>
      </c>
      <c r="K26">
        <f>SUM(MID(Tabla142[[#This Row],[Duración]],1,2)*60,MID(Tabla142[[#This Row],[Duración]],6,2))</f>
        <v>30</v>
      </c>
      <c r="L26" s="4" t="s">
        <v>48</v>
      </c>
      <c r="M26" t="s">
        <v>253</v>
      </c>
      <c r="N26" t="s">
        <v>324</v>
      </c>
      <c r="O26" t="s">
        <v>394</v>
      </c>
      <c r="P26" t="s">
        <v>363</v>
      </c>
      <c r="Q26" s="20">
        <v>46032.649155092593</v>
      </c>
      <c r="R26" t="s">
        <v>8</v>
      </c>
      <c r="T26" t="s">
        <v>627</v>
      </c>
      <c r="V26" t="s">
        <v>436</v>
      </c>
      <c r="W26">
        <v>25</v>
      </c>
    </row>
    <row r="27" spans="1:23" ht="15" customHeight="1" x14ac:dyDescent="0.25">
      <c r="A27">
        <f t="shared" si="0"/>
        <v>216</v>
      </c>
      <c r="B27" t="s">
        <v>659</v>
      </c>
      <c r="C27" t="s">
        <v>47</v>
      </c>
      <c r="D27">
        <v>23</v>
      </c>
      <c r="E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7">
        <f ca="1">IF(Tabla142[[#This Row],[frecuencia_new]]="Diaria"," ",RANDBETWEEN(1,6))</f>
        <v>2</v>
      </c>
      <c r="G27">
        <f ca="1">IF(Tabla142[[#This Row],[frecuencia_new]]="Diaria","",IF(Tabla142[[#This Row],[frecuencia_new]]="Semanal","",IF(Tabla142[[#This Row],[frecuencia_new]]="Quincenal",RANDBETWEEN(1,2),RANDBETWEEN(1,4))))</f>
        <v>2</v>
      </c>
      <c r="H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" t="s">
        <v>205</v>
      </c>
      <c r="K27">
        <f>SUM(MID(Tabla142[[#This Row],[Duración]],1,2)*60,MID(Tabla142[[#This Row],[Duración]],6,2))</f>
        <v>20</v>
      </c>
      <c r="L27" s="4" t="s">
        <v>82</v>
      </c>
      <c r="M27" t="s">
        <v>253</v>
      </c>
      <c r="N27" t="s">
        <v>324</v>
      </c>
      <c r="O27" t="s">
        <v>394</v>
      </c>
      <c r="P27" t="s">
        <v>363</v>
      </c>
      <c r="Q27" s="20">
        <v>46032.649155092593</v>
      </c>
      <c r="R27" t="s">
        <v>1846</v>
      </c>
      <c r="T27" t="s">
        <v>627</v>
      </c>
      <c r="V27" t="s">
        <v>437</v>
      </c>
      <c r="W27">
        <v>26</v>
      </c>
    </row>
    <row r="28" spans="1:23" ht="15" customHeight="1" x14ac:dyDescent="0.25">
      <c r="A28">
        <f t="shared" si="0"/>
        <v>216</v>
      </c>
      <c r="B28" t="s">
        <v>660</v>
      </c>
      <c r="C28" t="s">
        <v>47</v>
      </c>
      <c r="D28">
        <v>23</v>
      </c>
      <c r="E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8">
        <f ca="1">IF(Tabla142[[#This Row],[frecuencia_new]]="Diaria"," ",RANDBETWEEN(1,6))</f>
        <v>4</v>
      </c>
      <c r="G28">
        <f ca="1">IF(Tabla142[[#This Row],[frecuencia_new]]="Diaria","",IF(Tabla142[[#This Row],[frecuencia_new]]="Semanal","",IF(Tabla142[[#This Row],[frecuencia_new]]="Quincenal",RANDBETWEEN(1,2),RANDBETWEEN(1,4))))</f>
        <v>1</v>
      </c>
      <c r="H2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" t="s">
        <v>208</v>
      </c>
      <c r="K28">
        <f>SUM(MID(Tabla142[[#This Row],[Duración]],1,2)*60,MID(Tabla142[[#This Row],[Duración]],6,2))</f>
        <v>25</v>
      </c>
      <c r="L28" s="4" t="s">
        <v>184</v>
      </c>
      <c r="M28" t="s">
        <v>253</v>
      </c>
      <c r="N28" t="s">
        <v>324</v>
      </c>
      <c r="O28" t="s">
        <v>394</v>
      </c>
      <c r="P28" t="s">
        <v>363</v>
      </c>
      <c r="Q28" s="20">
        <v>46032.649155092593</v>
      </c>
      <c r="R28" t="s">
        <v>7</v>
      </c>
      <c r="T28" t="s">
        <v>627</v>
      </c>
      <c r="V28" t="s">
        <v>438</v>
      </c>
      <c r="W28">
        <v>27</v>
      </c>
    </row>
    <row r="29" spans="1:23" ht="15" customHeight="1" x14ac:dyDescent="0.25">
      <c r="A29">
        <f t="shared" si="0"/>
        <v>216</v>
      </c>
      <c r="B29" t="s">
        <v>661</v>
      </c>
      <c r="C29" t="s">
        <v>47</v>
      </c>
      <c r="D29">
        <v>23</v>
      </c>
      <c r="E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9">
        <f ca="1">IF(Tabla142[[#This Row],[frecuencia_new]]="Diaria"," ",RANDBETWEEN(1,6))</f>
        <v>6</v>
      </c>
      <c r="G29">
        <f ca="1">IF(Tabla142[[#This Row],[frecuencia_new]]="Diaria","",IF(Tabla142[[#This Row],[frecuencia_new]]="Semanal","",IF(Tabla142[[#This Row],[frecuencia_new]]="Quincenal",RANDBETWEEN(1,2),RANDBETWEEN(1,4))))</f>
        <v>1</v>
      </c>
      <c r="H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" t="s">
        <v>211</v>
      </c>
      <c r="K29">
        <f>SUM(MID(Tabla142[[#This Row],[Duración]],1,2)*60,MID(Tabla142[[#This Row],[Duración]],6,2))</f>
        <v>20</v>
      </c>
      <c r="L29" s="4" t="s">
        <v>82</v>
      </c>
      <c r="M29" t="s">
        <v>253</v>
      </c>
      <c r="N29" t="s">
        <v>324</v>
      </c>
      <c r="O29" t="s">
        <v>394</v>
      </c>
      <c r="P29" t="s">
        <v>363</v>
      </c>
      <c r="Q29" s="20">
        <v>46032.649155092593</v>
      </c>
      <c r="R29" t="s">
        <v>1846</v>
      </c>
      <c r="T29" t="s">
        <v>627</v>
      </c>
      <c r="V29" s="21" t="s">
        <v>439</v>
      </c>
      <c r="W29">
        <v>28</v>
      </c>
    </row>
    <row r="30" spans="1:23" ht="15" customHeight="1" x14ac:dyDescent="0.25">
      <c r="A30">
        <f t="shared" si="0"/>
        <v>216</v>
      </c>
      <c r="B30" t="s">
        <v>662</v>
      </c>
      <c r="C30" t="s">
        <v>47</v>
      </c>
      <c r="D30">
        <v>23</v>
      </c>
      <c r="E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0">
        <f ca="1">IF(Tabla142[[#This Row],[frecuencia_new]]="Diaria"," ",RANDBETWEEN(1,6))</f>
        <v>5</v>
      </c>
      <c r="G30">
        <f ca="1">IF(Tabla142[[#This Row],[frecuencia_new]]="Diaria","",IF(Tabla142[[#This Row],[frecuencia_new]]="Semanal","",IF(Tabla142[[#This Row],[frecuencia_new]]="Quincenal",RANDBETWEEN(1,2),RANDBETWEEN(1,4))))</f>
        <v>3</v>
      </c>
      <c r="H3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" t="s">
        <v>212</v>
      </c>
      <c r="K30">
        <f>SUM(MID(Tabla142[[#This Row],[Duración]],1,2)*60,MID(Tabla142[[#This Row],[Duración]],6,2))</f>
        <v>10</v>
      </c>
      <c r="L30" s="4" t="s">
        <v>71</v>
      </c>
      <c r="M30" t="s">
        <v>253</v>
      </c>
      <c r="N30" t="s">
        <v>324</v>
      </c>
      <c r="O30" t="s">
        <v>394</v>
      </c>
      <c r="P30" t="s">
        <v>363</v>
      </c>
      <c r="Q30" s="20">
        <v>46032.649155092593</v>
      </c>
      <c r="R30" t="s">
        <v>7</v>
      </c>
      <c r="T30" t="s">
        <v>627</v>
      </c>
      <c r="V30" t="s">
        <v>440</v>
      </c>
      <c r="W30">
        <v>29</v>
      </c>
    </row>
    <row r="31" spans="1:23" ht="15" customHeight="1" x14ac:dyDescent="0.25">
      <c r="A31">
        <f t="shared" si="0"/>
        <v>216</v>
      </c>
      <c r="B31" t="s">
        <v>663</v>
      </c>
      <c r="C31" t="s">
        <v>47</v>
      </c>
      <c r="D31">
        <v>23</v>
      </c>
      <c r="E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1">
        <f ca="1">IF(Tabla142[[#This Row],[frecuencia_new]]="Diaria"," ",RANDBETWEEN(1,6))</f>
        <v>1</v>
      </c>
      <c r="G31">
        <f ca="1">IF(Tabla142[[#This Row],[frecuencia_new]]="Diaria","",IF(Tabla142[[#This Row],[frecuencia_new]]="Semanal","",IF(Tabla142[[#This Row],[frecuencia_new]]="Quincenal",RANDBETWEEN(1,2),RANDBETWEEN(1,4))))</f>
        <v>1</v>
      </c>
      <c r="H3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" t="s">
        <v>223</v>
      </c>
      <c r="K31">
        <f>SUM(MID(Tabla142[[#This Row],[Duración]],1,2)*60,MID(Tabla142[[#This Row],[Duración]],6,2))</f>
        <v>60</v>
      </c>
      <c r="L31" s="4" t="s">
        <v>58</v>
      </c>
      <c r="M31" t="s">
        <v>253</v>
      </c>
      <c r="N31" t="s">
        <v>324</v>
      </c>
      <c r="O31" t="s">
        <v>394</v>
      </c>
      <c r="P31" t="s">
        <v>363</v>
      </c>
      <c r="Q31" s="20">
        <v>46032.649155092593</v>
      </c>
      <c r="R31" t="s">
        <v>1846</v>
      </c>
      <c r="T31" t="s">
        <v>627</v>
      </c>
      <c r="V31" t="s">
        <v>441</v>
      </c>
      <c r="W31">
        <v>30</v>
      </c>
    </row>
    <row r="32" spans="1:23" ht="15" customHeight="1" x14ac:dyDescent="0.25">
      <c r="A32">
        <f t="shared" si="0"/>
        <v>216</v>
      </c>
      <c r="B32" t="s">
        <v>664</v>
      </c>
      <c r="C32" t="s">
        <v>47</v>
      </c>
      <c r="D32">
        <v>23</v>
      </c>
      <c r="E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2">
        <f ca="1">IF(Tabla142[[#This Row],[frecuencia_new]]="Diaria"," ",RANDBETWEEN(1,6))</f>
        <v>1</v>
      </c>
      <c r="G32" t="str">
        <f ca="1">IF(Tabla142[[#This Row],[frecuencia_new]]="Diaria","",IF(Tabla142[[#This Row],[frecuencia_new]]="Semanal","",IF(Tabla142[[#This Row],[frecuencia_new]]="Quincenal",RANDBETWEEN(1,2),RANDBETWEEN(1,4))))</f>
        <v/>
      </c>
      <c r="H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" t="s">
        <v>218</v>
      </c>
      <c r="K32">
        <f>SUM(MID(Tabla142[[#This Row],[Duración]],1,2)*60,MID(Tabla142[[#This Row],[Duración]],6,2))</f>
        <v>10</v>
      </c>
      <c r="L32" s="4" t="s">
        <v>71</v>
      </c>
      <c r="M32" t="s">
        <v>253</v>
      </c>
      <c r="N32" t="s">
        <v>324</v>
      </c>
      <c r="O32" t="s">
        <v>394</v>
      </c>
      <c r="P32" t="s">
        <v>363</v>
      </c>
      <c r="Q32" s="20">
        <v>46032.649155092593</v>
      </c>
      <c r="R32" t="s">
        <v>8</v>
      </c>
      <c r="T32" t="s">
        <v>627</v>
      </c>
      <c r="V32" t="s">
        <v>442</v>
      </c>
      <c r="W32">
        <v>31</v>
      </c>
    </row>
    <row r="33" spans="1:23" ht="15" customHeight="1" x14ac:dyDescent="0.25">
      <c r="A33">
        <f t="shared" si="0"/>
        <v>216</v>
      </c>
      <c r="B33" t="s">
        <v>665</v>
      </c>
      <c r="C33" t="s">
        <v>47</v>
      </c>
      <c r="D33">
        <v>23</v>
      </c>
      <c r="E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33">
        <f ca="1">IF(Tabla142[[#This Row],[frecuencia_new]]="Diaria"," ",RANDBETWEEN(1,6))</f>
        <v>5</v>
      </c>
      <c r="G33">
        <f ca="1">IF(Tabla142[[#This Row],[frecuencia_new]]="Diaria","",IF(Tabla142[[#This Row],[frecuencia_new]]="Semanal","",IF(Tabla142[[#This Row],[frecuencia_new]]="Quincenal",RANDBETWEEN(1,2),RANDBETWEEN(1,4))))</f>
        <v>3</v>
      </c>
      <c r="H33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33" t="s">
        <v>224</v>
      </c>
      <c r="K33">
        <f>SUM(MID(Tabla142[[#This Row],[Duración]],1,2)*60,MID(Tabla142[[#This Row],[Duración]],6,2))</f>
        <v>60</v>
      </c>
      <c r="L33" s="4" t="s">
        <v>58</v>
      </c>
      <c r="M33" t="s">
        <v>253</v>
      </c>
      <c r="N33" t="s">
        <v>324</v>
      </c>
      <c r="O33" t="s">
        <v>394</v>
      </c>
      <c r="P33" t="s">
        <v>363</v>
      </c>
      <c r="Q33" s="20">
        <v>46032.649155092593</v>
      </c>
      <c r="R33" t="s">
        <v>18</v>
      </c>
      <c r="T33" t="s">
        <v>627</v>
      </c>
      <c r="V33" t="s">
        <v>443</v>
      </c>
      <c r="W33">
        <v>32</v>
      </c>
    </row>
    <row r="34" spans="1:23" ht="15" customHeight="1" x14ac:dyDescent="0.25">
      <c r="A34">
        <f t="shared" si="0"/>
        <v>216</v>
      </c>
      <c r="B34" t="s">
        <v>666</v>
      </c>
      <c r="C34" t="s">
        <v>47</v>
      </c>
      <c r="D34">
        <v>23</v>
      </c>
      <c r="E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4">
        <f ca="1">IF(Tabla142[[#This Row],[frecuencia_new]]="Diaria"," ",RANDBETWEEN(1,6))</f>
        <v>3</v>
      </c>
      <c r="G34">
        <f ca="1">IF(Tabla142[[#This Row],[frecuencia_new]]="Diaria","",IF(Tabla142[[#This Row],[frecuencia_new]]="Semanal","",IF(Tabla142[[#This Row],[frecuencia_new]]="Quincenal",RANDBETWEEN(1,2),RANDBETWEEN(1,4))))</f>
        <v>2</v>
      </c>
      <c r="H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" t="s">
        <v>225</v>
      </c>
      <c r="K34">
        <f>SUM(MID(Tabla142[[#This Row],[Duración]],1,2)*60,MID(Tabla142[[#This Row],[Duración]],6,2))</f>
        <v>60</v>
      </c>
      <c r="L34" s="4" t="s">
        <v>58</v>
      </c>
      <c r="M34" t="s">
        <v>253</v>
      </c>
      <c r="N34" t="s">
        <v>324</v>
      </c>
      <c r="O34" t="s">
        <v>394</v>
      </c>
      <c r="P34" t="s">
        <v>363</v>
      </c>
      <c r="Q34" s="20">
        <v>46032.649155092593</v>
      </c>
      <c r="R34" t="s">
        <v>1846</v>
      </c>
      <c r="T34" t="s">
        <v>627</v>
      </c>
      <c r="V34" t="s">
        <v>444</v>
      </c>
      <c r="W34">
        <v>33</v>
      </c>
    </row>
    <row r="35" spans="1:23" ht="15" customHeight="1" x14ac:dyDescent="0.25">
      <c r="A35">
        <f t="shared" si="0"/>
        <v>216</v>
      </c>
      <c r="B35" t="s">
        <v>667</v>
      </c>
      <c r="C35" t="s">
        <v>47</v>
      </c>
      <c r="D35">
        <v>23</v>
      </c>
      <c r="E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5">
        <f ca="1">IF(Tabla142[[#This Row],[frecuencia_new]]="Diaria"," ",RANDBETWEEN(1,6))</f>
        <v>2</v>
      </c>
      <c r="G35">
        <f ca="1">IF(Tabla142[[#This Row],[frecuencia_new]]="Diaria","",IF(Tabla142[[#This Row],[frecuencia_new]]="Semanal","",IF(Tabla142[[#This Row],[frecuencia_new]]="Quincenal",RANDBETWEEN(1,2),RANDBETWEEN(1,4))))</f>
        <v>1</v>
      </c>
      <c r="H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5" t="s">
        <v>226</v>
      </c>
      <c r="K35">
        <f>SUM(MID(Tabla142[[#This Row],[Duración]],1,2)*60,MID(Tabla142[[#This Row],[Duración]],6,2))</f>
        <v>60</v>
      </c>
      <c r="L35" s="4" t="s">
        <v>58</v>
      </c>
      <c r="M35" t="s">
        <v>253</v>
      </c>
      <c r="N35" t="s">
        <v>324</v>
      </c>
      <c r="O35" t="s">
        <v>394</v>
      </c>
      <c r="P35" t="s">
        <v>363</v>
      </c>
      <c r="Q35" s="20">
        <v>46032.649155092593</v>
      </c>
      <c r="R35" t="s">
        <v>1846</v>
      </c>
      <c r="T35" t="s">
        <v>627</v>
      </c>
      <c r="V35" t="s">
        <v>445</v>
      </c>
      <c r="W35">
        <v>34</v>
      </c>
    </row>
    <row r="36" spans="1:23" ht="15" customHeight="1" x14ac:dyDescent="0.25">
      <c r="A36">
        <f t="shared" si="0"/>
        <v>216</v>
      </c>
      <c r="B36" t="s">
        <v>668</v>
      </c>
      <c r="C36" t="s">
        <v>47</v>
      </c>
      <c r="D36">
        <v>23</v>
      </c>
      <c r="E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6">
        <f ca="1">IF(Tabla142[[#This Row],[frecuencia_new]]="Diaria"," ",RANDBETWEEN(1,6))</f>
        <v>1</v>
      </c>
      <c r="G36">
        <f ca="1">IF(Tabla142[[#This Row],[frecuencia_new]]="Diaria","",IF(Tabla142[[#This Row],[frecuencia_new]]="Semanal","",IF(Tabla142[[#This Row],[frecuencia_new]]="Quincenal",RANDBETWEEN(1,2),RANDBETWEEN(1,4))))</f>
        <v>2</v>
      </c>
      <c r="H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" t="s">
        <v>228</v>
      </c>
      <c r="K36">
        <f>SUM(MID(Tabla142[[#This Row],[Duración]],1,2)*60,MID(Tabla142[[#This Row],[Duración]],6,2))</f>
        <v>60</v>
      </c>
      <c r="L36" s="4" t="s">
        <v>58</v>
      </c>
      <c r="M36" t="s">
        <v>253</v>
      </c>
      <c r="N36" t="s">
        <v>324</v>
      </c>
      <c r="O36" t="s">
        <v>394</v>
      </c>
      <c r="P36" t="s">
        <v>363</v>
      </c>
      <c r="Q36" s="20">
        <v>46032.649155092593</v>
      </c>
      <c r="R36" t="s">
        <v>1846</v>
      </c>
      <c r="T36" t="s">
        <v>627</v>
      </c>
      <c r="V36" t="s">
        <v>446</v>
      </c>
      <c r="W36">
        <v>35</v>
      </c>
    </row>
    <row r="37" spans="1:23" ht="15" customHeight="1" x14ac:dyDescent="0.25">
      <c r="A37">
        <f t="shared" si="0"/>
        <v>30</v>
      </c>
      <c r="B37" t="s">
        <v>669</v>
      </c>
      <c r="C37" t="s">
        <v>47</v>
      </c>
      <c r="D37">
        <v>34</v>
      </c>
      <c r="E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7">
        <f ca="1">IF(Tabla142[[#This Row],[frecuencia_new]]="Diaria"," ",RANDBETWEEN(1,6))</f>
        <v>6</v>
      </c>
      <c r="G37">
        <f ca="1">IF(Tabla142[[#This Row],[frecuencia_new]]="Diaria","",IF(Tabla142[[#This Row],[frecuencia_new]]="Semanal","",IF(Tabla142[[#This Row],[frecuencia_new]]="Quincenal",RANDBETWEEN(1,2),RANDBETWEEN(1,4))))</f>
        <v>4</v>
      </c>
      <c r="H37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37" t="s">
        <v>46</v>
      </c>
      <c r="K37">
        <f>SUM(MID(Tabla142[[#This Row],[Duración]],1,2)*60,MID(Tabla142[[#This Row],[Duración]],6,2))</f>
        <v>30</v>
      </c>
      <c r="L37" s="4" t="s">
        <v>48</v>
      </c>
      <c r="M37" t="s">
        <v>253</v>
      </c>
      <c r="N37" t="s">
        <v>324</v>
      </c>
      <c r="O37" t="s">
        <v>384</v>
      </c>
      <c r="P37" t="s">
        <v>360</v>
      </c>
      <c r="Q37" s="20">
        <v>46032.649155092593</v>
      </c>
      <c r="R37" t="s">
        <v>5</v>
      </c>
      <c r="T37" t="s">
        <v>441</v>
      </c>
      <c r="V37" t="s">
        <v>447</v>
      </c>
      <c r="W37">
        <v>36</v>
      </c>
    </row>
    <row r="38" spans="1:23" ht="15" customHeight="1" x14ac:dyDescent="0.25">
      <c r="A38">
        <f t="shared" si="0"/>
        <v>30</v>
      </c>
      <c r="B38" t="s">
        <v>670</v>
      </c>
      <c r="C38" t="s">
        <v>47</v>
      </c>
      <c r="D38">
        <v>34</v>
      </c>
      <c r="E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8">
        <f ca="1">IF(Tabla142[[#This Row],[frecuencia_new]]="Diaria"," ",RANDBETWEEN(1,6))</f>
        <v>6</v>
      </c>
      <c r="G38">
        <f ca="1">IF(Tabla142[[#This Row],[frecuencia_new]]="Diaria","",IF(Tabla142[[#This Row],[frecuencia_new]]="Semanal","",IF(Tabla142[[#This Row],[frecuencia_new]]="Quincenal",RANDBETWEEN(1,2),RANDBETWEEN(1,4))))</f>
        <v>1</v>
      </c>
      <c r="H3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38" t="s">
        <v>53</v>
      </c>
      <c r="K38">
        <f>SUM(MID(Tabla142[[#This Row],[Duración]],1,2)*60,MID(Tabla142[[#This Row],[Duración]],6,2))</f>
        <v>30</v>
      </c>
      <c r="L38" s="4" t="s">
        <v>48</v>
      </c>
      <c r="M38" t="s">
        <v>253</v>
      </c>
      <c r="N38" t="s">
        <v>324</v>
      </c>
      <c r="O38" t="s">
        <v>384</v>
      </c>
      <c r="P38" t="s">
        <v>360</v>
      </c>
      <c r="Q38" s="20">
        <v>46032.649155092593</v>
      </c>
      <c r="R38" t="s">
        <v>5</v>
      </c>
      <c r="T38" t="s">
        <v>441</v>
      </c>
      <c r="V38" t="s">
        <v>448</v>
      </c>
      <c r="W38">
        <v>37</v>
      </c>
    </row>
    <row r="39" spans="1:23" ht="15" customHeight="1" x14ac:dyDescent="0.25">
      <c r="A39">
        <f t="shared" si="0"/>
        <v>30</v>
      </c>
      <c r="B39" t="s">
        <v>671</v>
      </c>
      <c r="C39" t="s">
        <v>47</v>
      </c>
      <c r="D39">
        <v>34</v>
      </c>
      <c r="E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9">
        <f ca="1">IF(Tabla142[[#This Row],[frecuencia_new]]="Diaria"," ",RANDBETWEEN(1,6))</f>
        <v>4</v>
      </c>
      <c r="G39">
        <f ca="1">IF(Tabla142[[#This Row],[frecuencia_new]]="Diaria","",IF(Tabla142[[#This Row],[frecuencia_new]]="Semanal","",IF(Tabla142[[#This Row],[frecuencia_new]]="Quincenal",RANDBETWEEN(1,2),RANDBETWEEN(1,4))))</f>
        <v>1</v>
      </c>
      <c r="H3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39" t="s">
        <v>217</v>
      </c>
      <c r="K39">
        <f>SUM(MID(Tabla142[[#This Row],[Duración]],1,2)*60,MID(Tabla142[[#This Row],[Duración]],6,2))</f>
        <v>30</v>
      </c>
      <c r="L39" s="4" t="s">
        <v>48</v>
      </c>
      <c r="M39" t="s">
        <v>253</v>
      </c>
      <c r="N39" t="s">
        <v>324</v>
      </c>
      <c r="O39" t="s">
        <v>384</v>
      </c>
      <c r="P39" t="s">
        <v>360</v>
      </c>
      <c r="Q39" s="20">
        <v>46032.649155092593</v>
      </c>
      <c r="R39" t="s">
        <v>5</v>
      </c>
      <c r="T39" t="s">
        <v>441</v>
      </c>
      <c r="V39" t="s">
        <v>449</v>
      </c>
      <c r="W39">
        <v>38</v>
      </c>
    </row>
    <row r="40" spans="1:23" ht="15" customHeight="1" x14ac:dyDescent="0.25">
      <c r="A40">
        <f t="shared" si="0"/>
        <v>30</v>
      </c>
      <c r="B40" t="s">
        <v>672</v>
      </c>
      <c r="C40" t="s">
        <v>47</v>
      </c>
      <c r="D40">
        <v>34</v>
      </c>
      <c r="E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0">
        <f ca="1">IF(Tabla142[[#This Row],[frecuencia_new]]="Diaria"," ",RANDBETWEEN(1,6))</f>
        <v>2</v>
      </c>
      <c r="G40">
        <f ca="1">IF(Tabla142[[#This Row],[frecuencia_new]]="Diaria","",IF(Tabla142[[#This Row],[frecuencia_new]]="Semanal","",IF(Tabla142[[#This Row],[frecuencia_new]]="Quincenal",RANDBETWEEN(1,2),RANDBETWEEN(1,4))))</f>
        <v>4</v>
      </c>
      <c r="H4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0" t="s">
        <v>56</v>
      </c>
      <c r="K40">
        <f>SUM(MID(Tabla142[[#This Row],[Duración]],1,2)*60,MID(Tabla142[[#This Row],[Duración]],6,2))</f>
        <v>30</v>
      </c>
      <c r="L40" s="4" t="s">
        <v>48</v>
      </c>
      <c r="M40" t="s">
        <v>253</v>
      </c>
      <c r="N40" t="s">
        <v>324</v>
      </c>
      <c r="O40" t="s">
        <v>384</v>
      </c>
      <c r="P40" t="s">
        <v>360</v>
      </c>
      <c r="Q40" s="20">
        <v>46032.649155092593</v>
      </c>
      <c r="R40" t="s">
        <v>5</v>
      </c>
      <c r="T40" t="s">
        <v>441</v>
      </c>
      <c r="V40" t="s">
        <v>450</v>
      </c>
      <c r="W40">
        <v>39</v>
      </c>
    </row>
    <row r="41" spans="1:23" ht="15" customHeight="1" x14ac:dyDescent="0.25">
      <c r="A41">
        <f t="shared" si="0"/>
        <v>116</v>
      </c>
      <c r="B41" t="s">
        <v>673</v>
      </c>
      <c r="C41" t="s">
        <v>47</v>
      </c>
      <c r="D41">
        <v>34</v>
      </c>
      <c r="E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1" t="str">
        <f ca="1">IF(Tabla142[[#This Row],[frecuencia_new]]="Diaria"," ",RANDBETWEEN(1,6))</f>
        <v xml:space="preserve"> </v>
      </c>
      <c r="G41" t="str">
        <f ca="1">IF(Tabla142[[#This Row],[frecuencia_new]]="Diaria","",IF(Tabla142[[#This Row],[frecuencia_new]]="Semanal","",IF(Tabla142[[#This Row],[frecuencia_new]]="Quincenal",RANDBETWEEN(1,2),RANDBETWEEN(1,4))))</f>
        <v/>
      </c>
      <c r="H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1" t="s">
        <v>221</v>
      </c>
      <c r="K41">
        <f>SUM(MID(Tabla142[[#This Row],[Duración]],1,2)*60,MID(Tabla142[[#This Row],[Duración]],6,2))</f>
        <v>2</v>
      </c>
      <c r="L41" s="4" t="s">
        <v>60</v>
      </c>
      <c r="M41" t="s">
        <v>253</v>
      </c>
      <c r="N41" t="s">
        <v>324</v>
      </c>
      <c r="O41" t="s">
        <v>400</v>
      </c>
      <c r="P41" t="s">
        <v>361</v>
      </c>
      <c r="Q41" s="20">
        <v>46032.649155092593</v>
      </c>
      <c r="R41" t="s">
        <v>6</v>
      </c>
      <c r="T41" t="s">
        <v>527</v>
      </c>
      <c r="V41" t="s">
        <v>451</v>
      </c>
      <c r="W41">
        <v>40</v>
      </c>
    </row>
    <row r="42" spans="1:23" ht="15" customHeight="1" x14ac:dyDescent="0.25">
      <c r="A42">
        <f t="shared" si="0"/>
        <v>116</v>
      </c>
      <c r="B42" t="s">
        <v>674</v>
      </c>
      <c r="C42" t="s">
        <v>47</v>
      </c>
      <c r="D42">
        <v>34</v>
      </c>
      <c r="E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2" t="str">
        <f ca="1">IF(Tabla142[[#This Row],[frecuencia_new]]="Diaria"," ",RANDBETWEEN(1,6))</f>
        <v xml:space="preserve"> </v>
      </c>
      <c r="G42" t="str">
        <f ca="1">IF(Tabla142[[#This Row],[frecuencia_new]]="Diaria","",IF(Tabla142[[#This Row],[frecuencia_new]]="Semanal","",IF(Tabla142[[#This Row],[frecuencia_new]]="Quincenal",RANDBETWEEN(1,2),RANDBETWEEN(1,4))))</f>
        <v/>
      </c>
      <c r="H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2" t="s">
        <v>216</v>
      </c>
      <c r="K42">
        <f>SUM(MID(Tabla142[[#This Row],[Duración]],1,2)*60,MID(Tabla142[[#This Row],[Duración]],6,2))</f>
        <v>5</v>
      </c>
      <c r="L42" s="4" t="s">
        <v>50</v>
      </c>
      <c r="M42" t="s">
        <v>253</v>
      </c>
      <c r="N42" t="s">
        <v>324</v>
      </c>
      <c r="O42" t="s">
        <v>400</v>
      </c>
      <c r="P42" t="s">
        <v>361</v>
      </c>
      <c r="Q42" s="20">
        <v>46032.649155092593</v>
      </c>
      <c r="R42" t="s">
        <v>6</v>
      </c>
      <c r="T42" t="s">
        <v>527</v>
      </c>
      <c r="V42" t="s">
        <v>452</v>
      </c>
      <c r="W42">
        <v>41</v>
      </c>
    </row>
    <row r="43" spans="1:23" ht="15" customHeight="1" x14ac:dyDescent="0.25">
      <c r="A43">
        <f t="shared" si="0"/>
        <v>217</v>
      </c>
      <c r="B43" t="s">
        <v>675</v>
      </c>
      <c r="C43" t="s">
        <v>47</v>
      </c>
      <c r="D43">
        <v>34</v>
      </c>
      <c r="E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3">
        <f ca="1">IF(Tabla142[[#This Row],[frecuencia_new]]="Diaria"," ",RANDBETWEEN(1,6))</f>
        <v>4</v>
      </c>
      <c r="G43" t="str">
        <f ca="1">IF(Tabla142[[#This Row],[frecuencia_new]]="Diaria","",IF(Tabla142[[#This Row],[frecuencia_new]]="Semanal","",IF(Tabla142[[#This Row],[frecuencia_new]]="Quincenal",RANDBETWEEN(1,2),RANDBETWEEN(1,4))))</f>
        <v/>
      </c>
      <c r="H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3" t="s">
        <v>218</v>
      </c>
      <c r="K43">
        <f>SUM(MID(Tabla142[[#This Row],[Duración]],1,2)*60,MID(Tabla142[[#This Row],[Duración]],6,2))</f>
        <v>10</v>
      </c>
      <c r="L43" s="4" t="s">
        <v>71</v>
      </c>
      <c r="M43" t="s">
        <v>253</v>
      </c>
      <c r="N43" t="s">
        <v>324</v>
      </c>
      <c r="O43" t="s">
        <v>394</v>
      </c>
      <c r="P43" t="s">
        <v>363</v>
      </c>
      <c r="Q43" s="20">
        <v>46032.649155092593</v>
      </c>
      <c r="R43" t="s">
        <v>8</v>
      </c>
      <c r="T43" t="s">
        <v>628</v>
      </c>
      <c r="V43" t="s">
        <v>453</v>
      </c>
      <c r="W43">
        <v>42</v>
      </c>
    </row>
    <row r="44" spans="1:23" ht="15" customHeight="1" x14ac:dyDescent="0.25">
      <c r="A44">
        <f t="shared" si="0"/>
        <v>217</v>
      </c>
      <c r="B44" t="s">
        <v>676</v>
      </c>
      <c r="C44" t="s">
        <v>47</v>
      </c>
      <c r="D44">
        <v>34</v>
      </c>
      <c r="E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">
        <f ca="1">IF(Tabla142[[#This Row],[frecuencia_new]]="Diaria"," ",RANDBETWEEN(1,6))</f>
        <v>6</v>
      </c>
      <c r="G44" t="str">
        <f ca="1">IF(Tabla142[[#This Row],[frecuencia_new]]="Diaria","",IF(Tabla142[[#This Row],[frecuencia_new]]="Semanal","",IF(Tabla142[[#This Row],[frecuencia_new]]="Quincenal",RANDBETWEEN(1,2),RANDBETWEEN(1,4))))</f>
        <v/>
      </c>
      <c r="H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" t="s">
        <v>219</v>
      </c>
      <c r="K44">
        <f>SUM(MID(Tabla142[[#This Row],[Duración]],1,2)*60,MID(Tabla142[[#This Row],[Duración]],6,2))</f>
        <v>10</v>
      </c>
      <c r="L44" s="4" t="s">
        <v>71</v>
      </c>
      <c r="M44" t="s">
        <v>253</v>
      </c>
      <c r="N44" t="s">
        <v>324</v>
      </c>
      <c r="O44" t="s">
        <v>394</v>
      </c>
      <c r="P44" t="s">
        <v>363</v>
      </c>
      <c r="Q44" s="20">
        <v>46032.649155092593</v>
      </c>
      <c r="R44" t="s">
        <v>8</v>
      </c>
      <c r="T44" t="s">
        <v>628</v>
      </c>
      <c r="V44" t="s">
        <v>454</v>
      </c>
      <c r="W44">
        <v>43</v>
      </c>
    </row>
    <row r="45" spans="1:23" ht="15" customHeight="1" x14ac:dyDescent="0.25">
      <c r="A45">
        <f t="shared" si="0"/>
        <v>217</v>
      </c>
      <c r="B45" t="s">
        <v>677</v>
      </c>
      <c r="C45" t="s">
        <v>47</v>
      </c>
      <c r="D45">
        <v>34</v>
      </c>
      <c r="E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">
        <f ca="1">IF(Tabla142[[#This Row],[frecuencia_new]]="Diaria"," ",RANDBETWEEN(1,6))</f>
        <v>4</v>
      </c>
      <c r="G45">
        <f ca="1">IF(Tabla142[[#This Row],[frecuencia_new]]="Diaria","",IF(Tabla142[[#This Row],[frecuencia_new]]="Semanal","",IF(Tabla142[[#This Row],[frecuencia_new]]="Quincenal",RANDBETWEEN(1,2),RANDBETWEEN(1,4))))</f>
        <v>1</v>
      </c>
      <c r="H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" t="s">
        <v>220</v>
      </c>
      <c r="K45">
        <f>SUM(MID(Tabla142[[#This Row],[Duración]],1,2)*60,MID(Tabla142[[#This Row],[Duración]],6,2))</f>
        <v>10</v>
      </c>
      <c r="L45" s="4" t="s">
        <v>71</v>
      </c>
      <c r="M45" t="s">
        <v>253</v>
      </c>
      <c r="N45" t="s">
        <v>324</v>
      </c>
      <c r="O45" t="s">
        <v>394</v>
      </c>
      <c r="P45" t="s">
        <v>363</v>
      </c>
      <c r="Q45" s="20">
        <v>46032.649155092593</v>
      </c>
      <c r="R45" t="s">
        <v>7</v>
      </c>
      <c r="T45" t="s">
        <v>628</v>
      </c>
      <c r="V45" t="s">
        <v>455</v>
      </c>
      <c r="W45">
        <v>44</v>
      </c>
    </row>
    <row r="46" spans="1:23" ht="15" customHeight="1" x14ac:dyDescent="0.25">
      <c r="A46">
        <f t="shared" si="0"/>
        <v>217</v>
      </c>
      <c r="B46" t="s">
        <v>678</v>
      </c>
      <c r="C46" t="s">
        <v>47</v>
      </c>
      <c r="D46">
        <v>34</v>
      </c>
      <c r="E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6">
        <f ca="1">IF(Tabla142[[#This Row],[frecuencia_new]]="Diaria"," ",RANDBETWEEN(1,6))</f>
        <v>2</v>
      </c>
      <c r="G46">
        <f ca="1">IF(Tabla142[[#This Row],[frecuencia_new]]="Diaria","",IF(Tabla142[[#This Row],[frecuencia_new]]="Semanal","",IF(Tabla142[[#This Row],[frecuencia_new]]="Quincenal",RANDBETWEEN(1,2),RANDBETWEEN(1,4))))</f>
        <v>2</v>
      </c>
      <c r="H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" t="s">
        <v>213</v>
      </c>
      <c r="K46">
        <f>SUM(MID(Tabla142[[#This Row],[Duración]],1,2)*60,MID(Tabla142[[#This Row],[Duración]],6,2))</f>
        <v>10</v>
      </c>
      <c r="L46" s="4" t="s">
        <v>71</v>
      </c>
      <c r="M46" t="s">
        <v>253</v>
      </c>
      <c r="N46" t="s">
        <v>324</v>
      </c>
      <c r="O46" t="s">
        <v>394</v>
      </c>
      <c r="P46" t="s">
        <v>363</v>
      </c>
      <c r="Q46" s="20">
        <v>46032.649155092593</v>
      </c>
      <c r="R46" t="s">
        <v>7</v>
      </c>
      <c r="T46" t="s">
        <v>628</v>
      </c>
      <c r="V46" t="s">
        <v>456</v>
      </c>
      <c r="W46">
        <v>45</v>
      </c>
    </row>
    <row r="47" spans="1:23" ht="15" customHeight="1" x14ac:dyDescent="0.25">
      <c r="A47">
        <f t="shared" si="0"/>
        <v>217</v>
      </c>
      <c r="B47" t="s">
        <v>679</v>
      </c>
      <c r="C47" t="s">
        <v>47</v>
      </c>
      <c r="D47">
        <v>34</v>
      </c>
      <c r="E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7">
        <f ca="1">IF(Tabla142[[#This Row],[frecuencia_new]]="Diaria"," ",RANDBETWEEN(1,6))</f>
        <v>5</v>
      </c>
      <c r="G47" t="str">
        <f ca="1">IF(Tabla142[[#This Row],[frecuencia_new]]="Diaria","",IF(Tabla142[[#This Row],[frecuencia_new]]="Semanal","",IF(Tabla142[[#This Row],[frecuencia_new]]="Quincenal",RANDBETWEEN(1,2),RANDBETWEEN(1,4))))</f>
        <v/>
      </c>
      <c r="H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7" t="s">
        <v>172</v>
      </c>
      <c r="K47">
        <f>SUM(MID(Tabla142[[#This Row],[Duración]],1,2)*60,MID(Tabla142[[#This Row],[Duración]],6,2))</f>
        <v>10</v>
      </c>
      <c r="L47" s="4" t="s">
        <v>71</v>
      </c>
      <c r="M47" t="s">
        <v>253</v>
      </c>
      <c r="N47" t="s">
        <v>324</v>
      </c>
      <c r="O47" t="s">
        <v>394</v>
      </c>
      <c r="P47" t="s">
        <v>363</v>
      </c>
      <c r="Q47" s="20">
        <v>46032.649155092593</v>
      </c>
      <c r="R47" t="s">
        <v>8</v>
      </c>
      <c r="T47" t="s">
        <v>628</v>
      </c>
      <c r="V47" t="s">
        <v>457</v>
      </c>
      <c r="W47">
        <v>46</v>
      </c>
    </row>
    <row r="48" spans="1:23" ht="15" customHeight="1" x14ac:dyDescent="0.25">
      <c r="A48">
        <f t="shared" si="0"/>
        <v>42</v>
      </c>
      <c r="B48" t="s">
        <v>680</v>
      </c>
      <c r="C48" t="s">
        <v>47</v>
      </c>
      <c r="D48">
        <v>89</v>
      </c>
      <c r="E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8">
        <f ca="1">IF(Tabla142[[#This Row],[frecuencia_new]]="Diaria"," ",RANDBETWEEN(1,6))</f>
        <v>5</v>
      </c>
      <c r="G48">
        <f ca="1">IF(Tabla142[[#This Row],[frecuencia_new]]="Diaria","",IF(Tabla142[[#This Row],[frecuencia_new]]="Semanal","",IF(Tabla142[[#This Row],[frecuencia_new]]="Quincenal",RANDBETWEEN(1,2),RANDBETWEEN(1,4))))</f>
        <v>3</v>
      </c>
      <c r="H48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48" t="s">
        <v>46</v>
      </c>
      <c r="K48">
        <f>SUM(MID(Tabla142[[#This Row],[Duración]],1,2)*60,MID(Tabla142[[#This Row],[Duración]],6,2))</f>
        <v>60</v>
      </c>
      <c r="L48" s="4" t="s">
        <v>58</v>
      </c>
      <c r="M48" t="s">
        <v>253</v>
      </c>
      <c r="N48" t="s">
        <v>324</v>
      </c>
      <c r="O48" t="s">
        <v>384</v>
      </c>
      <c r="P48" t="s">
        <v>360</v>
      </c>
      <c r="Q48" s="20">
        <v>46032.649155092593</v>
      </c>
      <c r="R48" t="s">
        <v>5</v>
      </c>
      <c r="T48" t="s">
        <v>453</v>
      </c>
      <c r="V48" t="s">
        <v>458</v>
      </c>
      <c r="W48">
        <v>47</v>
      </c>
    </row>
    <row r="49" spans="1:23" ht="15" customHeight="1" x14ac:dyDescent="0.25">
      <c r="A49">
        <f t="shared" si="0"/>
        <v>42</v>
      </c>
      <c r="B49" t="s">
        <v>681</v>
      </c>
      <c r="C49" t="s">
        <v>47</v>
      </c>
      <c r="D49">
        <v>89</v>
      </c>
      <c r="E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9">
        <f ca="1">IF(Tabla142[[#This Row],[frecuencia_new]]="Diaria"," ",RANDBETWEEN(1,6))</f>
        <v>1</v>
      </c>
      <c r="G49">
        <f ca="1">IF(Tabla142[[#This Row],[frecuencia_new]]="Diaria","",IF(Tabla142[[#This Row],[frecuencia_new]]="Semanal","",IF(Tabla142[[#This Row],[frecuencia_new]]="Quincenal",RANDBETWEEN(1,2),RANDBETWEEN(1,4))))</f>
        <v>1</v>
      </c>
      <c r="H4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49" t="s">
        <v>52</v>
      </c>
      <c r="K49">
        <f>SUM(MID(Tabla142[[#This Row],[Duración]],1,2)*60,MID(Tabla142[[#This Row],[Duración]],6,2))</f>
        <v>60</v>
      </c>
      <c r="L49" s="4" t="s">
        <v>58</v>
      </c>
      <c r="M49" t="s">
        <v>253</v>
      </c>
      <c r="N49" t="s">
        <v>324</v>
      </c>
      <c r="O49" t="s">
        <v>384</v>
      </c>
      <c r="P49" t="s">
        <v>360</v>
      </c>
      <c r="Q49" s="20">
        <v>46032.649155092593</v>
      </c>
      <c r="R49" t="s">
        <v>5</v>
      </c>
      <c r="T49" t="s">
        <v>453</v>
      </c>
      <c r="V49" t="s">
        <v>459</v>
      </c>
      <c r="W49">
        <v>48</v>
      </c>
    </row>
    <row r="50" spans="1:23" ht="15" customHeight="1" x14ac:dyDescent="0.25">
      <c r="A50">
        <f t="shared" si="0"/>
        <v>42</v>
      </c>
      <c r="B50" t="s">
        <v>682</v>
      </c>
      <c r="C50" t="s">
        <v>47</v>
      </c>
      <c r="D50">
        <v>89</v>
      </c>
      <c r="E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">
        <f ca="1">IF(Tabla142[[#This Row],[frecuencia_new]]="Diaria"," ",RANDBETWEEN(1,6))</f>
        <v>3</v>
      </c>
      <c r="G50">
        <f ca="1">IF(Tabla142[[#This Row],[frecuencia_new]]="Diaria","",IF(Tabla142[[#This Row],[frecuencia_new]]="Semanal","",IF(Tabla142[[#This Row],[frecuencia_new]]="Quincenal",RANDBETWEEN(1,2),RANDBETWEEN(1,4))))</f>
        <v>3</v>
      </c>
      <c r="H50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50" t="s">
        <v>53</v>
      </c>
      <c r="K50">
        <f>SUM(MID(Tabla142[[#This Row],[Duración]],1,2)*60,MID(Tabla142[[#This Row],[Duración]],6,2))</f>
        <v>60</v>
      </c>
      <c r="L50" s="4" t="s">
        <v>58</v>
      </c>
      <c r="M50" t="s">
        <v>253</v>
      </c>
      <c r="N50" t="s">
        <v>324</v>
      </c>
      <c r="O50" t="s">
        <v>384</v>
      </c>
      <c r="P50" t="s">
        <v>360</v>
      </c>
      <c r="Q50" s="20">
        <v>46032.649155092593</v>
      </c>
      <c r="R50" t="s">
        <v>5</v>
      </c>
      <c r="T50" t="s">
        <v>453</v>
      </c>
      <c r="V50" t="s">
        <v>460</v>
      </c>
      <c r="W50">
        <v>49</v>
      </c>
    </row>
    <row r="51" spans="1:23" ht="15" customHeight="1" x14ac:dyDescent="0.25">
      <c r="A51">
        <f t="shared" si="0"/>
        <v>42</v>
      </c>
      <c r="B51" t="s">
        <v>683</v>
      </c>
      <c r="C51" t="s">
        <v>47</v>
      </c>
      <c r="D51">
        <v>89</v>
      </c>
      <c r="E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1">
        <f ca="1">IF(Tabla142[[#This Row],[frecuencia_new]]="Diaria"," ",RANDBETWEEN(1,6))</f>
        <v>6</v>
      </c>
      <c r="G51">
        <f ca="1">IF(Tabla142[[#This Row],[frecuencia_new]]="Diaria","",IF(Tabla142[[#This Row],[frecuencia_new]]="Semanal","",IF(Tabla142[[#This Row],[frecuencia_new]]="Quincenal",RANDBETWEEN(1,2),RANDBETWEEN(1,4))))</f>
        <v>1</v>
      </c>
      <c r="H51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51" t="s">
        <v>64</v>
      </c>
      <c r="K51">
        <f>SUM(MID(Tabla142[[#This Row],[Duración]],1,2)*60,MID(Tabla142[[#This Row],[Duración]],6,2))</f>
        <v>60</v>
      </c>
      <c r="L51" s="4" t="s">
        <v>58</v>
      </c>
      <c r="M51" t="s">
        <v>253</v>
      </c>
      <c r="N51" t="s">
        <v>324</v>
      </c>
      <c r="O51" t="s">
        <v>384</v>
      </c>
      <c r="P51" t="s">
        <v>360</v>
      </c>
      <c r="Q51" s="20">
        <v>46032.649155092593</v>
      </c>
      <c r="R51" t="s">
        <v>5</v>
      </c>
      <c r="T51" t="s">
        <v>453</v>
      </c>
      <c r="V51" t="s">
        <v>461</v>
      </c>
      <c r="W51">
        <v>50</v>
      </c>
    </row>
    <row r="52" spans="1:23" ht="15" customHeight="1" x14ac:dyDescent="0.25">
      <c r="A52">
        <f t="shared" si="0"/>
        <v>117</v>
      </c>
      <c r="B52" t="s">
        <v>684</v>
      </c>
      <c r="C52" t="s">
        <v>47</v>
      </c>
      <c r="D52">
        <v>89</v>
      </c>
      <c r="E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2" t="str">
        <f ca="1">IF(Tabla142[[#This Row],[frecuencia_new]]="Diaria"," ",RANDBETWEEN(1,6))</f>
        <v xml:space="preserve"> </v>
      </c>
      <c r="G52" t="str">
        <f ca="1">IF(Tabla142[[#This Row],[frecuencia_new]]="Diaria","",IF(Tabla142[[#This Row],[frecuencia_new]]="Semanal","",IF(Tabla142[[#This Row],[frecuencia_new]]="Quincenal",RANDBETWEEN(1,2),RANDBETWEEN(1,4))))</f>
        <v/>
      </c>
      <c r="H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" t="s">
        <v>376</v>
      </c>
      <c r="K52">
        <f>SUM(MID(Tabla142[[#This Row],[Duración]],1,2)*60,MID(Tabla142[[#This Row],[Duración]],6,2))</f>
        <v>2</v>
      </c>
      <c r="L52" s="4" t="s">
        <v>60</v>
      </c>
      <c r="M52" t="s">
        <v>253</v>
      </c>
      <c r="N52" t="s">
        <v>324</v>
      </c>
      <c r="O52" t="s">
        <v>400</v>
      </c>
      <c r="P52" t="s">
        <v>361</v>
      </c>
      <c r="Q52" s="20">
        <v>46032.649155092593</v>
      </c>
      <c r="R52" t="s">
        <v>6</v>
      </c>
      <c r="T52" t="s">
        <v>528</v>
      </c>
      <c r="V52" t="s">
        <v>462</v>
      </c>
      <c r="W52">
        <v>51</v>
      </c>
    </row>
    <row r="53" spans="1:23" ht="15" customHeight="1" x14ac:dyDescent="0.25">
      <c r="A53">
        <f t="shared" si="0"/>
        <v>117</v>
      </c>
      <c r="B53" t="s">
        <v>685</v>
      </c>
      <c r="C53" t="s">
        <v>47</v>
      </c>
      <c r="D53">
        <v>89</v>
      </c>
      <c r="E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3" t="str">
        <f ca="1">IF(Tabla142[[#This Row],[frecuencia_new]]="Diaria"," ",RANDBETWEEN(1,6))</f>
        <v xml:space="preserve"> </v>
      </c>
      <c r="G53" t="str">
        <f ca="1">IF(Tabla142[[#This Row],[frecuencia_new]]="Diaria","",IF(Tabla142[[#This Row],[frecuencia_new]]="Semanal","",IF(Tabla142[[#This Row],[frecuencia_new]]="Quincenal",RANDBETWEEN(1,2),RANDBETWEEN(1,4))))</f>
        <v/>
      </c>
      <c r="H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3" t="s">
        <v>227</v>
      </c>
      <c r="K53">
        <f>SUM(MID(Tabla142[[#This Row],[Duración]],1,2)*60,MID(Tabla142[[#This Row],[Duración]],6,2))</f>
        <v>2</v>
      </c>
      <c r="L53" s="4" t="s">
        <v>60</v>
      </c>
      <c r="M53" t="s">
        <v>253</v>
      </c>
      <c r="N53" t="s">
        <v>324</v>
      </c>
      <c r="O53" t="s">
        <v>400</v>
      </c>
      <c r="P53" t="s">
        <v>361</v>
      </c>
      <c r="Q53" s="20">
        <v>46032.649155092593</v>
      </c>
      <c r="R53" t="s">
        <v>6</v>
      </c>
      <c r="T53" t="s">
        <v>528</v>
      </c>
      <c r="V53" t="s">
        <v>463</v>
      </c>
      <c r="W53">
        <v>52</v>
      </c>
    </row>
    <row r="54" spans="1:23" ht="15" customHeight="1" x14ac:dyDescent="0.25">
      <c r="A54">
        <f t="shared" si="0"/>
        <v>117</v>
      </c>
      <c r="B54" t="s">
        <v>686</v>
      </c>
      <c r="C54" t="s">
        <v>47</v>
      </c>
      <c r="D54">
        <v>89</v>
      </c>
      <c r="E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4" t="str">
        <f ca="1">IF(Tabla142[[#This Row],[frecuencia_new]]="Diaria"," ",RANDBETWEEN(1,6))</f>
        <v xml:space="preserve"> </v>
      </c>
      <c r="G54" t="str">
        <f ca="1">IF(Tabla142[[#This Row],[frecuencia_new]]="Diaria","",IF(Tabla142[[#This Row],[frecuencia_new]]="Semanal","",IF(Tabla142[[#This Row],[frecuencia_new]]="Quincenal",RANDBETWEEN(1,2),RANDBETWEEN(1,4))))</f>
        <v/>
      </c>
      <c r="H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4" t="s">
        <v>377</v>
      </c>
      <c r="K54">
        <f>SUM(MID(Tabla142[[#This Row],[Duración]],1,2)*60,MID(Tabla142[[#This Row],[Duración]],6,2))</f>
        <v>2</v>
      </c>
      <c r="L54" s="4" t="s">
        <v>60</v>
      </c>
      <c r="M54" t="s">
        <v>253</v>
      </c>
      <c r="N54" t="s">
        <v>324</v>
      </c>
      <c r="O54" t="s">
        <v>400</v>
      </c>
      <c r="P54" t="s">
        <v>361</v>
      </c>
      <c r="Q54" s="20">
        <v>46032.649155092593</v>
      </c>
      <c r="R54" t="s">
        <v>6</v>
      </c>
      <c r="T54" t="s">
        <v>528</v>
      </c>
      <c r="V54" t="s">
        <v>464</v>
      </c>
      <c r="W54">
        <v>53</v>
      </c>
    </row>
    <row r="55" spans="1:23" ht="15" customHeight="1" x14ac:dyDescent="0.25">
      <c r="A55">
        <f t="shared" si="0"/>
        <v>218</v>
      </c>
      <c r="B55" t="s">
        <v>687</v>
      </c>
      <c r="C55" t="s">
        <v>47</v>
      </c>
      <c r="D55">
        <v>89</v>
      </c>
      <c r="E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">
        <f ca="1">IF(Tabla142[[#This Row],[frecuencia_new]]="Diaria"," ",RANDBETWEEN(1,6))</f>
        <v>5</v>
      </c>
      <c r="G55" t="str">
        <f ca="1">IF(Tabla142[[#This Row],[frecuencia_new]]="Diaria","",IF(Tabla142[[#This Row],[frecuencia_new]]="Semanal","",IF(Tabla142[[#This Row],[frecuencia_new]]="Quincenal",RANDBETWEEN(1,2),RANDBETWEEN(1,4))))</f>
        <v/>
      </c>
      <c r="H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" t="s">
        <v>218</v>
      </c>
      <c r="K55">
        <f>SUM(MID(Tabla142[[#This Row],[Duración]],1,2)*60,MID(Tabla142[[#This Row],[Duración]],6,2))</f>
        <v>5</v>
      </c>
      <c r="L55" s="4" t="s">
        <v>50</v>
      </c>
      <c r="M55" t="s">
        <v>253</v>
      </c>
      <c r="N55" t="s">
        <v>324</v>
      </c>
      <c r="O55" t="s">
        <v>394</v>
      </c>
      <c r="P55" t="s">
        <v>363</v>
      </c>
      <c r="Q55" s="20">
        <v>46032.649155092593</v>
      </c>
      <c r="R55" t="s">
        <v>8</v>
      </c>
      <c r="T55" t="s">
        <v>629</v>
      </c>
      <c r="V55" t="s">
        <v>465</v>
      </c>
      <c r="W55">
        <v>54</v>
      </c>
    </row>
    <row r="56" spans="1:23" ht="15" customHeight="1" x14ac:dyDescent="0.25">
      <c r="A56">
        <f t="shared" si="0"/>
        <v>218</v>
      </c>
      <c r="B56" t="s">
        <v>688</v>
      </c>
      <c r="C56" t="s">
        <v>47</v>
      </c>
      <c r="D56">
        <v>89</v>
      </c>
      <c r="E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6">
        <f ca="1">IF(Tabla142[[#This Row],[frecuencia_new]]="Diaria"," ",RANDBETWEEN(1,6))</f>
        <v>1</v>
      </c>
      <c r="G56">
        <f ca="1">IF(Tabla142[[#This Row],[frecuencia_new]]="Diaria","",IF(Tabla142[[#This Row],[frecuencia_new]]="Semanal","",IF(Tabla142[[#This Row],[frecuencia_new]]="Quincenal",RANDBETWEEN(1,2),RANDBETWEEN(1,4))))</f>
        <v>3</v>
      </c>
      <c r="H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" t="s">
        <v>220</v>
      </c>
      <c r="K56">
        <f>SUM(MID(Tabla142[[#This Row],[Duración]],1,2)*60,MID(Tabla142[[#This Row],[Duración]],6,2))</f>
        <v>30</v>
      </c>
      <c r="L56" s="4" t="s">
        <v>48</v>
      </c>
      <c r="M56" t="s">
        <v>253</v>
      </c>
      <c r="N56" t="s">
        <v>324</v>
      </c>
      <c r="O56" t="s">
        <v>394</v>
      </c>
      <c r="P56" t="s">
        <v>363</v>
      </c>
      <c r="Q56" s="20">
        <v>46032.649155092593</v>
      </c>
      <c r="R56" t="s">
        <v>7</v>
      </c>
      <c r="T56" t="s">
        <v>629</v>
      </c>
      <c r="V56" t="s">
        <v>466</v>
      </c>
      <c r="W56">
        <v>55</v>
      </c>
    </row>
    <row r="57" spans="1:23" ht="15" customHeight="1" x14ac:dyDescent="0.25">
      <c r="A57">
        <f t="shared" si="0"/>
        <v>218</v>
      </c>
      <c r="B57" t="s">
        <v>689</v>
      </c>
      <c r="C57" t="s">
        <v>47</v>
      </c>
      <c r="D57">
        <v>89</v>
      </c>
      <c r="E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7">
        <f ca="1">IF(Tabla142[[#This Row],[frecuencia_new]]="Diaria"," ",RANDBETWEEN(1,6))</f>
        <v>2</v>
      </c>
      <c r="G57">
        <f ca="1">IF(Tabla142[[#This Row],[frecuencia_new]]="Diaria","",IF(Tabla142[[#This Row],[frecuencia_new]]="Semanal","",IF(Tabla142[[#This Row],[frecuencia_new]]="Quincenal",RANDBETWEEN(1,2),RANDBETWEEN(1,4))))</f>
        <v>1</v>
      </c>
      <c r="H57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57" t="s">
        <v>224</v>
      </c>
      <c r="K57">
        <f>SUM(MID(Tabla142[[#This Row],[Duración]],1,2)*60,MID(Tabla142[[#This Row],[Duración]],6,2))</f>
        <v>60</v>
      </c>
      <c r="L57" s="4" t="s">
        <v>58</v>
      </c>
      <c r="M57" t="s">
        <v>253</v>
      </c>
      <c r="N57" t="s">
        <v>324</v>
      </c>
      <c r="O57" t="s">
        <v>394</v>
      </c>
      <c r="P57" t="s">
        <v>363</v>
      </c>
      <c r="Q57" s="20">
        <v>46032.649155092593</v>
      </c>
      <c r="R57" t="s">
        <v>18</v>
      </c>
      <c r="T57" t="s">
        <v>629</v>
      </c>
      <c r="V57" t="s">
        <v>467</v>
      </c>
      <c r="W57">
        <v>56</v>
      </c>
    </row>
    <row r="58" spans="1:23" ht="15" customHeight="1" x14ac:dyDescent="0.25">
      <c r="A58">
        <f t="shared" si="0"/>
        <v>218</v>
      </c>
      <c r="B58" t="s">
        <v>690</v>
      </c>
      <c r="C58" t="s">
        <v>47</v>
      </c>
      <c r="D58">
        <v>89</v>
      </c>
      <c r="E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8">
        <f ca="1">IF(Tabla142[[#This Row],[frecuencia_new]]="Diaria"," ",RANDBETWEEN(1,6))</f>
        <v>2</v>
      </c>
      <c r="G58">
        <f ca="1">IF(Tabla142[[#This Row],[frecuencia_new]]="Diaria","",IF(Tabla142[[#This Row],[frecuencia_new]]="Semanal","",IF(Tabla142[[#This Row],[frecuencia_new]]="Quincenal",RANDBETWEEN(1,2),RANDBETWEEN(1,4))))</f>
        <v>1</v>
      </c>
      <c r="H5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8" t="s">
        <v>375</v>
      </c>
      <c r="K58">
        <f>SUM(MID(Tabla142[[#This Row],[Duración]],1,2)*60,MID(Tabla142[[#This Row],[Duración]],6,2))</f>
        <v>30</v>
      </c>
      <c r="L58" s="4" t="s">
        <v>48</v>
      </c>
      <c r="M58" t="s">
        <v>253</v>
      </c>
      <c r="N58" t="s">
        <v>324</v>
      </c>
      <c r="O58" t="s">
        <v>394</v>
      </c>
      <c r="P58" t="s">
        <v>363</v>
      </c>
      <c r="Q58" s="20">
        <v>46032.649155092593</v>
      </c>
      <c r="R58" t="s">
        <v>7</v>
      </c>
      <c r="T58" t="s">
        <v>629</v>
      </c>
      <c r="V58" t="s">
        <v>468</v>
      </c>
      <c r="W58">
        <v>57</v>
      </c>
    </row>
    <row r="59" spans="1:23" ht="15" customHeight="1" x14ac:dyDescent="0.25">
      <c r="A59">
        <f t="shared" si="0"/>
        <v>218</v>
      </c>
      <c r="B59" t="s">
        <v>691</v>
      </c>
      <c r="C59" t="s">
        <v>47</v>
      </c>
      <c r="D59">
        <v>89</v>
      </c>
      <c r="E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9">
        <f ca="1">IF(Tabla142[[#This Row],[frecuencia_new]]="Diaria"," ",RANDBETWEEN(1,6))</f>
        <v>1</v>
      </c>
      <c r="G59">
        <f ca="1">IF(Tabla142[[#This Row],[frecuencia_new]]="Diaria","",IF(Tabla142[[#This Row],[frecuencia_new]]="Semanal","",IF(Tabla142[[#This Row],[frecuencia_new]]="Quincenal",RANDBETWEEN(1,2),RANDBETWEEN(1,4))))</f>
        <v>2</v>
      </c>
      <c r="H5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" t="s">
        <v>110</v>
      </c>
      <c r="K59">
        <f>SUM(MID(Tabla142[[#This Row],[Duración]],1,2)*60,MID(Tabla142[[#This Row],[Duración]],6,2))</f>
        <v>10</v>
      </c>
      <c r="L59" s="4" t="s">
        <v>71</v>
      </c>
      <c r="M59" t="s">
        <v>253</v>
      </c>
      <c r="N59" t="s">
        <v>324</v>
      </c>
      <c r="O59" t="s">
        <v>394</v>
      </c>
      <c r="P59" t="s">
        <v>363</v>
      </c>
      <c r="Q59" s="20">
        <v>46032.649155092593</v>
      </c>
      <c r="R59" t="s">
        <v>7</v>
      </c>
      <c r="T59" t="s">
        <v>629</v>
      </c>
      <c r="V59" t="s">
        <v>469</v>
      </c>
      <c r="W59">
        <v>58</v>
      </c>
    </row>
    <row r="60" spans="1:23" ht="15" customHeight="1" x14ac:dyDescent="0.25">
      <c r="A60">
        <f t="shared" si="0"/>
        <v>43</v>
      </c>
      <c r="B60" t="s">
        <v>692</v>
      </c>
      <c r="C60" t="s">
        <v>47</v>
      </c>
      <c r="D60">
        <v>95</v>
      </c>
      <c r="E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0">
        <f ca="1">IF(Tabla142[[#This Row],[frecuencia_new]]="Diaria"," ",RANDBETWEEN(1,6))</f>
        <v>1</v>
      </c>
      <c r="G60">
        <f ca="1">IF(Tabla142[[#This Row],[frecuencia_new]]="Diaria","",IF(Tabla142[[#This Row],[frecuencia_new]]="Semanal","",IF(Tabla142[[#This Row],[frecuencia_new]]="Quincenal",RANDBETWEEN(1,2),RANDBETWEEN(1,4))))</f>
        <v>3</v>
      </c>
      <c r="H60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60" t="s">
        <v>46</v>
      </c>
      <c r="K60">
        <f>SUM(MID(Tabla142[[#This Row],[Duración]],1,2)*60,MID(Tabla142[[#This Row],[Duración]],6,2))</f>
        <v>30</v>
      </c>
      <c r="L60" s="4" t="s">
        <v>48</v>
      </c>
      <c r="M60" t="s">
        <v>253</v>
      </c>
      <c r="N60" t="s">
        <v>324</v>
      </c>
      <c r="O60" t="s">
        <v>384</v>
      </c>
      <c r="P60" t="s">
        <v>360</v>
      </c>
      <c r="Q60" s="20">
        <v>46032.649155092593</v>
      </c>
      <c r="R60" t="s">
        <v>5</v>
      </c>
      <c r="T60" t="s">
        <v>454</v>
      </c>
      <c r="V60" t="s">
        <v>470</v>
      </c>
      <c r="W60">
        <v>59</v>
      </c>
    </row>
    <row r="61" spans="1:23" ht="15" customHeight="1" x14ac:dyDescent="0.25">
      <c r="A61">
        <f t="shared" si="0"/>
        <v>43</v>
      </c>
      <c r="B61" t="s">
        <v>693</v>
      </c>
      <c r="C61" t="s">
        <v>47</v>
      </c>
      <c r="D61">
        <v>95</v>
      </c>
      <c r="E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1">
        <f ca="1">IF(Tabla142[[#This Row],[frecuencia_new]]="Diaria"," ",RANDBETWEEN(1,6))</f>
        <v>5</v>
      </c>
      <c r="G61">
        <f ca="1">IF(Tabla142[[#This Row],[frecuencia_new]]="Diaria","",IF(Tabla142[[#This Row],[frecuencia_new]]="Semanal","",IF(Tabla142[[#This Row],[frecuencia_new]]="Quincenal",RANDBETWEEN(1,2),RANDBETWEEN(1,4))))</f>
        <v>2</v>
      </c>
      <c r="H61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61" t="s">
        <v>53</v>
      </c>
      <c r="K61">
        <f>SUM(MID(Tabla142[[#This Row],[Duración]],1,2)*60,MID(Tabla142[[#This Row],[Duración]],6,2))</f>
        <v>30</v>
      </c>
      <c r="L61" s="4" t="s">
        <v>48</v>
      </c>
      <c r="M61" t="s">
        <v>253</v>
      </c>
      <c r="N61" t="s">
        <v>324</v>
      </c>
      <c r="O61" t="s">
        <v>384</v>
      </c>
      <c r="P61" t="s">
        <v>360</v>
      </c>
      <c r="Q61" s="20">
        <v>46032.649155092593</v>
      </c>
      <c r="R61" t="s">
        <v>5</v>
      </c>
      <c r="T61" t="s">
        <v>454</v>
      </c>
      <c r="V61" t="s">
        <v>471</v>
      </c>
      <c r="W61">
        <v>60</v>
      </c>
    </row>
    <row r="62" spans="1:23" ht="15" customHeight="1" x14ac:dyDescent="0.25">
      <c r="A62">
        <f t="shared" si="0"/>
        <v>43</v>
      </c>
      <c r="B62" t="s">
        <v>694</v>
      </c>
      <c r="C62" t="s">
        <v>47</v>
      </c>
      <c r="D62">
        <v>95</v>
      </c>
      <c r="E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2">
        <f ca="1">IF(Tabla142[[#This Row],[frecuencia_new]]="Diaria"," ",RANDBETWEEN(1,6))</f>
        <v>6</v>
      </c>
      <c r="G62">
        <f ca="1">IF(Tabla142[[#This Row],[frecuencia_new]]="Diaria","",IF(Tabla142[[#This Row],[frecuencia_new]]="Semanal","",IF(Tabla142[[#This Row],[frecuencia_new]]="Quincenal",RANDBETWEEN(1,2),RANDBETWEEN(1,4))))</f>
        <v>3</v>
      </c>
      <c r="H62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62" t="s">
        <v>217</v>
      </c>
      <c r="K62">
        <f>SUM(MID(Tabla142[[#This Row],[Duración]],1,2)*60,MID(Tabla142[[#This Row],[Duración]],6,2))</f>
        <v>30</v>
      </c>
      <c r="L62" s="4" t="s">
        <v>48</v>
      </c>
      <c r="M62" t="s">
        <v>253</v>
      </c>
      <c r="N62" t="s">
        <v>324</v>
      </c>
      <c r="O62" t="s">
        <v>384</v>
      </c>
      <c r="P62" t="s">
        <v>360</v>
      </c>
      <c r="Q62" s="20">
        <v>46032.649155092593</v>
      </c>
      <c r="R62" t="s">
        <v>5</v>
      </c>
      <c r="T62" t="s">
        <v>454</v>
      </c>
      <c r="V62" t="s">
        <v>472</v>
      </c>
      <c r="W62">
        <v>61</v>
      </c>
    </row>
    <row r="63" spans="1:23" ht="15" customHeight="1" x14ac:dyDescent="0.25">
      <c r="A63">
        <f t="shared" si="0"/>
        <v>43</v>
      </c>
      <c r="B63" t="s">
        <v>695</v>
      </c>
      <c r="C63" t="s">
        <v>47</v>
      </c>
      <c r="D63">
        <v>95</v>
      </c>
      <c r="E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3">
        <f ca="1">IF(Tabla142[[#This Row],[frecuencia_new]]="Diaria"," ",RANDBETWEEN(1,6))</f>
        <v>6</v>
      </c>
      <c r="G63">
        <f ca="1">IF(Tabla142[[#This Row],[frecuencia_new]]="Diaria","",IF(Tabla142[[#This Row],[frecuencia_new]]="Semanal","",IF(Tabla142[[#This Row],[frecuencia_new]]="Quincenal",RANDBETWEEN(1,2),RANDBETWEEN(1,4))))</f>
        <v>3</v>
      </c>
      <c r="H63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63" t="s">
        <v>56</v>
      </c>
      <c r="K63">
        <f>SUM(MID(Tabla142[[#This Row],[Duración]],1,2)*60,MID(Tabla142[[#This Row],[Duración]],6,2))</f>
        <v>30</v>
      </c>
      <c r="L63" s="4" t="s">
        <v>48</v>
      </c>
      <c r="M63" t="s">
        <v>253</v>
      </c>
      <c r="N63" t="s">
        <v>324</v>
      </c>
      <c r="O63" t="s">
        <v>384</v>
      </c>
      <c r="P63" t="s">
        <v>360</v>
      </c>
      <c r="Q63" s="20">
        <v>46032.649155092593</v>
      </c>
      <c r="R63" t="s">
        <v>5</v>
      </c>
      <c r="T63" t="s">
        <v>454</v>
      </c>
      <c r="V63" t="s">
        <v>473</v>
      </c>
      <c r="W63">
        <v>62</v>
      </c>
    </row>
    <row r="64" spans="1:23" ht="15" customHeight="1" x14ac:dyDescent="0.25">
      <c r="A64">
        <f t="shared" si="0"/>
        <v>118</v>
      </c>
      <c r="B64" t="s">
        <v>696</v>
      </c>
      <c r="C64" t="s">
        <v>47</v>
      </c>
      <c r="D64">
        <v>95</v>
      </c>
      <c r="E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4">
        <f ca="1">IF(Tabla142[[#This Row],[frecuencia_new]]="Diaria"," ",RANDBETWEEN(1,6))</f>
        <v>4</v>
      </c>
      <c r="G64" t="str">
        <f ca="1">IF(Tabla142[[#This Row],[frecuencia_new]]="Diaria","",IF(Tabla142[[#This Row],[frecuencia_new]]="Semanal","",IF(Tabla142[[#This Row],[frecuencia_new]]="Quincenal",RANDBETWEEN(1,2),RANDBETWEEN(1,4))))</f>
        <v/>
      </c>
      <c r="H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" t="s">
        <v>229</v>
      </c>
      <c r="K64">
        <f>SUM(MID(Tabla142[[#This Row],[Duración]],1,2)*60,MID(Tabla142[[#This Row],[Duración]],6,2))</f>
        <v>20</v>
      </c>
      <c r="L64" s="4" t="s">
        <v>82</v>
      </c>
      <c r="M64" t="s">
        <v>253</v>
      </c>
      <c r="N64" t="s">
        <v>324</v>
      </c>
      <c r="O64" t="s">
        <v>400</v>
      </c>
      <c r="P64" t="s">
        <v>361</v>
      </c>
      <c r="Q64" s="20">
        <v>46032.649155092593</v>
      </c>
      <c r="R64" t="s">
        <v>8</v>
      </c>
      <c r="T64" t="s">
        <v>529</v>
      </c>
      <c r="V64" t="s">
        <v>474</v>
      </c>
      <c r="W64">
        <v>63</v>
      </c>
    </row>
    <row r="65" spans="1:23" ht="15" customHeight="1" x14ac:dyDescent="0.25">
      <c r="A65">
        <f t="shared" si="0"/>
        <v>118</v>
      </c>
      <c r="B65" t="s">
        <v>697</v>
      </c>
      <c r="C65" t="s">
        <v>47</v>
      </c>
      <c r="D65">
        <v>95</v>
      </c>
      <c r="E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5" t="str">
        <f ca="1">IF(Tabla142[[#This Row],[frecuencia_new]]="Diaria"," ",RANDBETWEEN(1,6))</f>
        <v xml:space="preserve"> </v>
      </c>
      <c r="G65" t="str">
        <f ca="1">IF(Tabla142[[#This Row],[frecuencia_new]]="Diaria","",IF(Tabla142[[#This Row],[frecuencia_new]]="Semanal","",IF(Tabla142[[#This Row],[frecuencia_new]]="Quincenal",RANDBETWEEN(1,2),RANDBETWEEN(1,4))))</f>
        <v/>
      </c>
      <c r="H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" t="s">
        <v>231</v>
      </c>
      <c r="K65">
        <f>SUM(MID(Tabla142[[#This Row],[Duración]],1,2)*60,MID(Tabla142[[#This Row],[Duración]],6,2))</f>
        <v>2</v>
      </c>
      <c r="L65" s="4" t="s">
        <v>60</v>
      </c>
      <c r="M65" t="s">
        <v>253</v>
      </c>
      <c r="N65" t="s">
        <v>324</v>
      </c>
      <c r="O65" t="s">
        <v>400</v>
      </c>
      <c r="P65" t="s">
        <v>361</v>
      </c>
      <c r="Q65" s="20">
        <v>46032.649155092593</v>
      </c>
      <c r="R65" t="s">
        <v>6</v>
      </c>
      <c r="T65" t="s">
        <v>529</v>
      </c>
      <c r="V65" t="s">
        <v>475</v>
      </c>
      <c r="W65">
        <v>64</v>
      </c>
    </row>
    <row r="66" spans="1:23" ht="15" customHeight="1" x14ac:dyDescent="0.25">
      <c r="A66">
        <f t="shared" ref="A66:A129" si="1">VLOOKUP(T66,$V$2:$W$222,2,FALSE)</f>
        <v>118</v>
      </c>
      <c r="B66" t="s">
        <v>698</v>
      </c>
      <c r="C66" t="s">
        <v>47</v>
      </c>
      <c r="D66">
        <v>95</v>
      </c>
      <c r="E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6" t="str">
        <f ca="1">IF(Tabla142[[#This Row],[frecuencia_new]]="Diaria"," ",RANDBETWEEN(1,6))</f>
        <v xml:space="preserve"> </v>
      </c>
      <c r="G66" t="str">
        <f ca="1">IF(Tabla142[[#This Row],[frecuencia_new]]="Diaria","",IF(Tabla142[[#This Row],[frecuencia_new]]="Semanal","",IF(Tabla142[[#This Row],[frecuencia_new]]="Quincenal",RANDBETWEEN(1,2),RANDBETWEEN(1,4))))</f>
        <v/>
      </c>
      <c r="H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" t="s">
        <v>232</v>
      </c>
      <c r="K66">
        <f>SUM(MID(Tabla142[[#This Row],[Duración]],1,2)*60,MID(Tabla142[[#This Row],[Duración]],6,2))</f>
        <v>2</v>
      </c>
      <c r="L66" s="4" t="s">
        <v>60</v>
      </c>
      <c r="M66" t="s">
        <v>253</v>
      </c>
      <c r="N66" t="s">
        <v>324</v>
      </c>
      <c r="O66" t="s">
        <v>400</v>
      </c>
      <c r="P66" t="s">
        <v>361</v>
      </c>
      <c r="Q66" s="20">
        <v>46032.649155092593</v>
      </c>
      <c r="R66" t="s">
        <v>6</v>
      </c>
      <c r="T66" t="s">
        <v>529</v>
      </c>
      <c r="V66" t="s">
        <v>476</v>
      </c>
      <c r="W66">
        <v>65</v>
      </c>
    </row>
    <row r="67" spans="1:23" ht="15" customHeight="1" x14ac:dyDescent="0.25">
      <c r="A67">
        <f t="shared" si="1"/>
        <v>118</v>
      </c>
      <c r="B67" t="s">
        <v>699</v>
      </c>
      <c r="C67" t="s">
        <v>47</v>
      </c>
      <c r="D67">
        <v>95</v>
      </c>
      <c r="E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7" t="str">
        <f ca="1">IF(Tabla142[[#This Row],[frecuencia_new]]="Diaria"," ",RANDBETWEEN(1,6))</f>
        <v xml:space="preserve"> </v>
      </c>
      <c r="G67" t="str">
        <f ca="1">IF(Tabla142[[#This Row],[frecuencia_new]]="Diaria","",IF(Tabla142[[#This Row],[frecuencia_new]]="Semanal","",IF(Tabla142[[#This Row],[frecuencia_new]]="Quincenal",RANDBETWEEN(1,2),RANDBETWEEN(1,4))))</f>
        <v/>
      </c>
      <c r="H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" t="s">
        <v>233</v>
      </c>
      <c r="K67">
        <f>SUM(MID(Tabla142[[#This Row],[Duración]],1,2)*60,MID(Tabla142[[#This Row],[Duración]],6,2))</f>
        <v>2</v>
      </c>
      <c r="L67" s="4" t="s">
        <v>60</v>
      </c>
      <c r="M67" t="s">
        <v>253</v>
      </c>
      <c r="N67" t="s">
        <v>324</v>
      </c>
      <c r="O67" t="s">
        <v>400</v>
      </c>
      <c r="P67" t="s">
        <v>361</v>
      </c>
      <c r="Q67" s="20">
        <v>46032.649155092593</v>
      </c>
      <c r="R67" t="s">
        <v>6</v>
      </c>
      <c r="T67" t="s">
        <v>529</v>
      </c>
      <c r="V67" t="s">
        <v>477</v>
      </c>
      <c r="W67">
        <v>66</v>
      </c>
    </row>
    <row r="68" spans="1:23" ht="15" customHeight="1" x14ac:dyDescent="0.25">
      <c r="A68">
        <f t="shared" si="1"/>
        <v>219</v>
      </c>
      <c r="B68" t="s">
        <v>700</v>
      </c>
      <c r="C68" t="s">
        <v>47</v>
      </c>
      <c r="D68">
        <v>95</v>
      </c>
      <c r="E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8">
        <f ca="1">IF(Tabla142[[#This Row],[frecuencia_new]]="Diaria"," ",RANDBETWEEN(1,6))</f>
        <v>2</v>
      </c>
      <c r="G68">
        <f ca="1">IF(Tabla142[[#This Row],[frecuencia_new]]="Diaria","",IF(Tabla142[[#This Row],[frecuencia_new]]="Semanal","",IF(Tabla142[[#This Row],[frecuencia_new]]="Quincenal",RANDBETWEEN(1,2),RANDBETWEEN(1,4))))</f>
        <v>4</v>
      </c>
      <c r="H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8" t="s">
        <v>213</v>
      </c>
      <c r="K68">
        <f>SUM(MID(Tabla142[[#This Row],[Duración]],1,2)*60,MID(Tabla142[[#This Row],[Duración]],6,2))</f>
        <v>20</v>
      </c>
      <c r="L68" s="4" t="s">
        <v>82</v>
      </c>
      <c r="M68" t="s">
        <v>253</v>
      </c>
      <c r="N68" t="s">
        <v>324</v>
      </c>
      <c r="O68" t="s">
        <v>394</v>
      </c>
      <c r="P68" t="s">
        <v>363</v>
      </c>
      <c r="Q68" s="20">
        <v>46032.649155092593</v>
      </c>
      <c r="R68" t="s">
        <v>7</v>
      </c>
      <c r="T68" t="s">
        <v>630</v>
      </c>
      <c r="V68" t="s">
        <v>478</v>
      </c>
      <c r="W68">
        <v>67</v>
      </c>
    </row>
    <row r="69" spans="1:23" ht="15" customHeight="1" x14ac:dyDescent="0.25">
      <c r="A69">
        <f t="shared" si="1"/>
        <v>219</v>
      </c>
      <c r="B69" t="s">
        <v>701</v>
      </c>
      <c r="C69" t="s">
        <v>47</v>
      </c>
      <c r="D69">
        <v>95</v>
      </c>
      <c r="E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9">
        <f ca="1">IF(Tabla142[[#This Row],[frecuencia_new]]="Diaria"," ",RANDBETWEEN(1,6))</f>
        <v>1</v>
      </c>
      <c r="G69">
        <f ca="1">IF(Tabla142[[#This Row],[frecuencia_new]]="Diaria","",IF(Tabla142[[#This Row],[frecuencia_new]]="Semanal","",IF(Tabla142[[#This Row],[frecuencia_new]]="Quincenal",RANDBETWEEN(1,2),RANDBETWEEN(1,4))))</f>
        <v>3</v>
      </c>
      <c r="H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9" t="s">
        <v>230</v>
      </c>
      <c r="K69">
        <f>SUM(MID(Tabla142[[#This Row],[Duración]],1,2)*60,MID(Tabla142[[#This Row],[Duración]],6,2))</f>
        <v>20</v>
      </c>
      <c r="L69" s="4" t="s">
        <v>82</v>
      </c>
      <c r="M69" t="s">
        <v>253</v>
      </c>
      <c r="N69" t="s">
        <v>324</v>
      </c>
      <c r="O69" t="s">
        <v>394</v>
      </c>
      <c r="P69" t="s">
        <v>363</v>
      </c>
      <c r="Q69" s="20">
        <v>46032.649155092593</v>
      </c>
      <c r="R69" t="s">
        <v>7</v>
      </c>
      <c r="T69" t="s">
        <v>630</v>
      </c>
      <c r="V69" t="s">
        <v>479</v>
      </c>
      <c r="W69">
        <v>68</v>
      </c>
    </row>
    <row r="70" spans="1:23" ht="15" customHeight="1" x14ac:dyDescent="0.25">
      <c r="A70">
        <f t="shared" si="1"/>
        <v>219</v>
      </c>
      <c r="B70" t="s">
        <v>702</v>
      </c>
      <c r="C70" t="s">
        <v>47</v>
      </c>
      <c r="D70">
        <v>95</v>
      </c>
      <c r="E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0">
        <f ca="1">IF(Tabla142[[#This Row],[frecuencia_new]]="Diaria"," ",RANDBETWEEN(1,6))</f>
        <v>4</v>
      </c>
      <c r="G70" t="str">
        <f ca="1">IF(Tabla142[[#This Row],[frecuencia_new]]="Diaria","",IF(Tabla142[[#This Row],[frecuencia_new]]="Semanal","",IF(Tabla142[[#This Row],[frecuencia_new]]="Quincenal",RANDBETWEEN(1,2),RANDBETWEEN(1,4))))</f>
        <v/>
      </c>
      <c r="H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" t="s">
        <v>172</v>
      </c>
      <c r="K70">
        <f>SUM(MID(Tabla142[[#This Row],[Duración]],1,2)*60,MID(Tabla142[[#This Row],[Duración]],6,2))</f>
        <v>20</v>
      </c>
      <c r="L70" s="4" t="s">
        <v>82</v>
      </c>
      <c r="M70" t="s">
        <v>253</v>
      </c>
      <c r="N70" t="s">
        <v>324</v>
      </c>
      <c r="O70" t="s">
        <v>394</v>
      </c>
      <c r="P70" t="s">
        <v>363</v>
      </c>
      <c r="Q70" s="20">
        <v>46032.649155092593</v>
      </c>
      <c r="R70" t="s">
        <v>8</v>
      </c>
      <c r="T70" t="s">
        <v>630</v>
      </c>
      <c r="V70" t="s">
        <v>480</v>
      </c>
      <c r="W70">
        <v>69</v>
      </c>
    </row>
    <row r="71" spans="1:23" ht="15" customHeight="1" x14ac:dyDescent="0.25">
      <c r="A71">
        <f t="shared" si="1"/>
        <v>57</v>
      </c>
      <c r="B71" t="s">
        <v>703</v>
      </c>
      <c r="C71" s="18" t="s">
        <v>47</v>
      </c>
      <c r="D71" s="18">
        <v>139</v>
      </c>
      <c r="E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1">
        <f ca="1">IF(Tabla142[[#This Row],[frecuencia_new]]="Diaria"," ",RANDBETWEEN(1,6))</f>
        <v>4</v>
      </c>
      <c r="G71">
        <f ca="1">IF(Tabla142[[#This Row],[frecuencia_new]]="Diaria","",IF(Tabla142[[#This Row],[frecuencia_new]]="Semanal","",IF(Tabla142[[#This Row],[frecuencia_new]]="Quincenal",RANDBETWEEN(1,2),RANDBETWEEN(1,4))))</f>
        <v>2</v>
      </c>
      <c r="H71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71" s="18" t="s">
        <v>46</v>
      </c>
      <c r="K71" s="18">
        <f>SUM(MID(Tabla142[[#This Row],[Duración]],1,2)*60,MID(Tabla142[[#This Row],[Duración]],6,2))</f>
        <v>30</v>
      </c>
      <c r="L71" s="19" t="s">
        <v>48</v>
      </c>
      <c r="M71" s="18" t="s">
        <v>253</v>
      </c>
      <c r="N71" t="s">
        <v>324</v>
      </c>
      <c r="O71" t="s">
        <v>384</v>
      </c>
      <c r="P71" t="s">
        <v>360</v>
      </c>
      <c r="Q71" s="20">
        <v>46032.649155092593</v>
      </c>
      <c r="R71" s="18" t="s">
        <v>5</v>
      </c>
      <c r="T71" t="s">
        <v>468</v>
      </c>
      <c r="V71" t="s">
        <v>481</v>
      </c>
      <c r="W71">
        <v>70</v>
      </c>
    </row>
    <row r="72" spans="1:23" ht="15" customHeight="1" x14ac:dyDescent="0.25">
      <c r="A72">
        <f t="shared" si="1"/>
        <v>57</v>
      </c>
      <c r="B72" t="s">
        <v>704</v>
      </c>
      <c r="C72" s="18" t="s">
        <v>47</v>
      </c>
      <c r="D72" s="18">
        <v>139</v>
      </c>
      <c r="E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2">
        <f ca="1">IF(Tabla142[[#This Row],[frecuencia_new]]="Diaria"," ",RANDBETWEEN(1,6))</f>
        <v>2</v>
      </c>
      <c r="G72">
        <f ca="1">IF(Tabla142[[#This Row],[frecuencia_new]]="Diaria","",IF(Tabla142[[#This Row],[frecuencia_new]]="Semanal","",IF(Tabla142[[#This Row],[frecuencia_new]]="Quincenal",RANDBETWEEN(1,2),RANDBETWEEN(1,4))))</f>
        <v>4</v>
      </c>
      <c r="H72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2" s="18" t="s">
        <v>53</v>
      </c>
      <c r="K72" s="18">
        <f>SUM(MID(Tabla142[[#This Row],[Duración]],1,2)*60,MID(Tabla142[[#This Row],[Duración]],6,2))</f>
        <v>30</v>
      </c>
      <c r="L72" s="19" t="s">
        <v>48</v>
      </c>
      <c r="M72" s="18" t="s">
        <v>253</v>
      </c>
      <c r="N72" t="s">
        <v>324</v>
      </c>
      <c r="O72" t="s">
        <v>384</v>
      </c>
      <c r="P72" t="s">
        <v>360</v>
      </c>
      <c r="Q72" s="20">
        <v>46032.649155092593</v>
      </c>
      <c r="R72" s="18" t="s">
        <v>5</v>
      </c>
      <c r="T72" t="s">
        <v>468</v>
      </c>
      <c r="V72" t="s">
        <v>482</v>
      </c>
      <c r="W72">
        <v>71</v>
      </c>
    </row>
    <row r="73" spans="1:23" ht="15" customHeight="1" x14ac:dyDescent="0.25">
      <c r="A73">
        <f t="shared" si="1"/>
        <v>57</v>
      </c>
      <c r="B73" t="s">
        <v>705</v>
      </c>
      <c r="C73" s="18" t="s">
        <v>47</v>
      </c>
      <c r="D73" s="18">
        <v>139</v>
      </c>
      <c r="E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3">
        <f ca="1">IF(Tabla142[[#This Row],[frecuencia_new]]="Diaria"," ",RANDBETWEEN(1,6))</f>
        <v>6</v>
      </c>
      <c r="G73">
        <f ca="1">IF(Tabla142[[#This Row],[frecuencia_new]]="Diaria","",IF(Tabla142[[#This Row],[frecuencia_new]]="Semanal","",IF(Tabla142[[#This Row],[frecuencia_new]]="Quincenal",RANDBETWEEN(1,2),RANDBETWEEN(1,4))))</f>
        <v>1</v>
      </c>
      <c r="H73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3" s="18" t="s">
        <v>217</v>
      </c>
      <c r="K73" s="18">
        <f>SUM(MID(Tabla142[[#This Row],[Duración]],1,2)*60,MID(Tabla142[[#This Row],[Duración]],6,2))</f>
        <v>30</v>
      </c>
      <c r="L73" s="19" t="s">
        <v>48</v>
      </c>
      <c r="M73" s="18" t="s">
        <v>253</v>
      </c>
      <c r="N73" t="s">
        <v>324</v>
      </c>
      <c r="O73" t="s">
        <v>384</v>
      </c>
      <c r="P73" t="s">
        <v>360</v>
      </c>
      <c r="Q73" s="20">
        <v>46032.649155092593</v>
      </c>
      <c r="R73" s="18" t="s">
        <v>5</v>
      </c>
      <c r="T73" t="s">
        <v>468</v>
      </c>
      <c r="V73" t="s">
        <v>483</v>
      </c>
      <c r="W73">
        <v>72</v>
      </c>
    </row>
    <row r="74" spans="1:23" ht="15" customHeight="1" x14ac:dyDescent="0.25">
      <c r="A74">
        <f t="shared" si="1"/>
        <v>57</v>
      </c>
      <c r="B74" t="s">
        <v>706</v>
      </c>
      <c r="C74" s="18" t="s">
        <v>47</v>
      </c>
      <c r="D74" s="18">
        <v>139</v>
      </c>
      <c r="E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4">
        <f ca="1">IF(Tabla142[[#This Row],[frecuencia_new]]="Diaria"," ",RANDBETWEEN(1,6))</f>
        <v>6</v>
      </c>
      <c r="G74">
        <f ca="1">IF(Tabla142[[#This Row],[frecuencia_new]]="Diaria","",IF(Tabla142[[#This Row],[frecuencia_new]]="Semanal","",IF(Tabla142[[#This Row],[frecuencia_new]]="Quincenal",RANDBETWEEN(1,2),RANDBETWEEN(1,4))))</f>
        <v>2</v>
      </c>
      <c r="H74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74" s="18" t="s">
        <v>56</v>
      </c>
      <c r="K74" s="18">
        <f>SUM(MID(Tabla142[[#This Row],[Duración]],1,2)*60,MID(Tabla142[[#This Row],[Duración]],6,2))</f>
        <v>30</v>
      </c>
      <c r="L74" s="19" t="s">
        <v>48</v>
      </c>
      <c r="M74" s="18" t="s">
        <v>253</v>
      </c>
      <c r="N74" t="s">
        <v>324</v>
      </c>
      <c r="O74" t="s">
        <v>384</v>
      </c>
      <c r="P74" t="s">
        <v>360</v>
      </c>
      <c r="Q74" s="20">
        <v>46032.649155092593</v>
      </c>
      <c r="R74" s="18" t="s">
        <v>5</v>
      </c>
      <c r="T74" t="s">
        <v>468</v>
      </c>
      <c r="V74" t="s">
        <v>484</v>
      </c>
      <c r="W74">
        <v>73</v>
      </c>
    </row>
    <row r="75" spans="1:23" ht="15" customHeight="1" x14ac:dyDescent="0.25">
      <c r="A75">
        <f t="shared" si="1"/>
        <v>119</v>
      </c>
      <c r="B75" t="s">
        <v>707</v>
      </c>
      <c r="C75" s="18" t="s">
        <v>47</v>
      </c>
      <c r="D75" s="18">
        <v>139</v>
      </c>
      <c r="E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5" t="str">
        <f ca="1">IF(Tabla142[[#This Row],[frecuencia_new]]="Diaria"," ",RANDBETWEEN(1,6))</f>
        <v xml:space="preserve"> </v>
      </c>
      <c r="G75" t="str">
        <f ca="1">IF(Tabla142[[#This Row],[frecuencia_new]]="Diaria","",IF(Tabla142[[#This Row],[frecuencia_new]]="Semanal","",IF(Tabla142[[#This Row],[frecuencia_new]]="Quincenal",RANDBETWEEN(1,2),RANDBETWEEN(1,4))))</f>
        <v/>
      </c>
      <c r="H7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5" s="18" t="s">
        <v>216</v>
      </c>
      <c r="K75" s="18">
        <f>SUM(MID(Tabla142[[#This Row],[Duración]],1,2)*60,MID(Tabla142[[#This Row],[Duración]],6,2))</f>
        <v>5</v>
      </c>
      <c r="L75" s="19" t="s">
        <v>50</v>
      </c>
      <c r="M75" s="18" t="s">
        <v>253</v>
      </c>
      <c r="N75" t="s">
        <v>324</v>
      </c>
      <c r="O75" t="s">
        <v>400</v>
      </c>
      <c r="P75" t="s">
        <v>361</v>
      </c>
      <c r="Q75" s="20">
        <v>46032.649155092593</v>
      </c>
      <c r="R75" s="18" t="s">
        <v>6</v>
      </c>
      <c r="T75" t="s">
        <v>530</v>
      </c>
      <c r="V75" t="s">
        <v>485</v>
      </c>
      <c r="W75">
        <v>74</v>
      </c>
    </row>
    <row r="76" spans="1:23" ht="15" customHeight="1" x14ac:dyDescent="0.25">
      <c r="A76">
        <f t="shared" si="1"/>
        <v>220</v>
      </c>
      <c r="B76" t="s">
        <v>708</v>
      </c>
      <c r="C76" s="18" t="s">
        <v>47</v>
      </c>
      <c r="D76" s="18">
        <v>139</v>
      </c>
      <c r="E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6">
        <f ca="1">IF(Tabla142[[#This Row],[frecuencia_new]]="Diaria"," ",RANDBETWEEN(1,6))</f>
        <v>5</v>
      </c>
      <c r="G76">
        <f ca="1">IF(Tabla142[[#This Row],[frecuencia_new]]="Diaria","",IF(Tabla142[[#This Row],[frecuencia_new]]="Semanal","",IF(Tabla142[[#This Row],[frecuencia_new]]="Quincenal",RANDBETWEEN(1,2),RANDBETWEEN(1,4))))</f>
        <v>3</v>
      </c>
      <c r="H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6" s="18" t="s">
        <v>213</v>
      </c>
      <c r="K76" s="18">
        <f>SUM(MID(Tabla142[[#This Row],[Duración]],1,2)*60,MID(Tabla142[[#This Row],[Duración]],6,2))</f>
        <v>10</v>
      </c>
      <c r="L76" s="19" t="s">
        <v>71</v>
      </c>
      <c r="M76" s="18" t="s">
        <v>253</v>
      </c>
      <c r="N76" t="s">
        <v>324</v>
      </c>
      <c r="O76" t="s">
        <v>394</v>
      </c>
      <c r="P76" t="s">
        <v>363</v>
      </c>
      <c r="Q76" s="20">
        <v>46032.649155092593</v>
      </c>
      <c r="R76" s="18" t="s">
        <v>7</v>
      </c>
      <c r="T76" t="s">
        <v>631</v>
      </c>
      <c r="V76" t="s">
        <v>486</v>
      </c>
      <c r="W76">
        <v>75</v>
      </c>
    </row>
    <row r="77" spans="1:23" ht="15" customHeight="1" x14ac:dyDescent="0.25">
      <c r="A77">
        <f t="shared" si="1"/>
        <v>220</v>
      </c>
      <c r="B77" t="s">
        <v>709</v>
      </c>
      <c r="C77" s="18" t="s">
        <v>47</v>
      </c>
      <c r="D77" s="18">
        <v>139</v>
      </c>
      <c r="E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7">
        <f ca="1">IF(Tabla142[[#This Row],[frecuencia_new]]="Diaria"," ",RANDBETWEEN(1,6))</f>
        <v>6</v>
      </c>
      <c r="G77">
        <f ca="1">IF(Tabla142[[#This Row],[frecuencia_new]]="Diaria","",IF(Tabla142[[#This Row],[frecuencia_new]]="Semanal","",IF(Tabla142[[#This Row],[frecuencia_new]]="Quincenal",RANDBETWEEN(1,2),RANDBETWEEN(1,4))))</f>
        <v>1</v>
      </c>
      <c r="H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" s="18" t="s">
        <v>214</v>
      </c>
      <c r="K77" s="18">
        <f>SUM(MID(Tabla142[[#This Row],[Duración]],1,2)*60,MID(Tabla142[[#This Row],[Duración]],6,2))</f>
        <v>10</v>
      </c>
      <c r="L77" s="19" t="s">
        <v>71</v>
      </c>
      <c r="M77" s="18" t="s">
        <v>253</v>
      </c>
      <c r="N77" t="s">
        <v>324</v>
      </c>
      <c r="O77" t="s">
        <v>394</v>
      </c>
      <c r="P77" t="s">
        <v>363</v>
      </c>
      <c r="Q77" s="20">
        <v>46032.649155092593</v>
      </c>
      <c r="R77" s="18" t="s">
        <v>7</v>
      </c>
      <c r="T77" t="s">
        <v>631</v>
      </c>
      <c r="V77" t="s">
        <v>487</v>
      </c>
      <c r="W77">
        <v>76</v>
      </c>
    </row>
    <row r="78" spans="1:23" ht="15" customHeight="1" x14ac:dyDescent="0.25">
      <c r="A78">
        <f t="shared" si="1"/>
        <v>220</v>
      </c>
      <c r="B78" t="s">
        <v>710</v>
      </c>
      <c r="C78" s="18" t="s">
        <v>47</v>
      </c>
      <c r="D78" s="18">
        <v>139</v>
      </c>
      <c r="E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8">
        <f ca="1">IF(Tabla142[[#This Row],[frecuencia_new]]="Diaria"," ",RANDBETWEEN(1,6))</f>
        <v>5</v>
      </c>
      <c r="G78">
        <f ca="1">IF(Tabla142[[#This Row],[frecuencia_new]]="Diaria","",IF(Tabla142[[#This Row],[frecuencia_new]]="Semanal","",IF(Tabla142[[#This Row],[frecuencia_new]]="Quincenal",RANDBETWEEN(1,2),RANDBETWEEN(1,4))))</f>
        <v>4</v>
      </c>
      <c r="H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" s="18" t="s">
        <v>215</v>
      </c>
      <c r="K78" s="18">
        <f>SUM(MID(Tabla142[[#This Row],[Duración]],1,2)*60,MID(Tabla142[[#This Row],[Duración]],6,2))</f>
        <v>10</v>
      </c>
      <c r="L78" s="19" t="s">
        <v>71</v>
      </c>
      <c r="M78" s="18" t="s">
        <v>253</v>
      </c>
      <c r="N78" t="s">
        <v>324</v>
      </c>
      <c r="O78" t="s">
        <v>394</v>
      </c>
      <c r="P78" t="s">
        <v>363</v>
      </c>
      <c r="Q78" s="20">
        <v>46032.649155092593</v>
      </c>
      <c r="R78" s="18" t="s">
        <v>7</v>
      </c>
      <c r="T78" t="s">
        <v>631</v>
      </c>
      <c r="V78" t="s">
        <v>488</v>
      </c>
      <c r="W78">
        <v>77</v>
      </c>
    </row>
    <row r="79" spans="1:23" ht="15" customHeight="1" x14ac:dyDescent="0.25">
      <c r="A79">
        <f t="shared" si="1"/>
        <v>220</v>
      </c>
      <c r="B79" t="s">
        <v>711</v>
      </c>
      <c r="C79" s="18" t="s">
        <v>47</v>
      </c>
      <c r="D79" s="18">
        <v>139</v>
      </c>
      <c r="E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9">
        <f ca="1">IF(Tabla142[[#This Row],[frecuencia_new]]="Diaria"," ",RANDBETWEEN(1,6))</f>
        <v>5</v>
      </c>
      <c r="G79" t="str">
        <f ca="1">IF(Tabla142[[#This Row],[frecuencia_new]]="Diaria","",IF(Tabla142[[#This Row],[frecuencia_new]]="Semanal","",IF(Tabla142[[#This Row],[frecuencia_new]]="Quincenal",RANDBETWEEN(1,2),RANDBETWEEN(1,4))))</f>
        <v/>
      </c>
      <c r="H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9" s="18" t="s">
        <v>172</v>
      </c>
      <c r="K79" s="18">
        <f>SUM(MID(Tabla142[[#This Row],[Duración]],1,2)*60,MID(Tabla142[[#This Row],[Duración]],6,2))</f>
        <v>5</v>
      </c>
      <c r="L79" s="19" t="s">
        <v>50</v>
      </c>
      <c r="M79" s="18" t="s">
        <v>253</v>
      </c>
      <c r="N79" t="s">
        <v>324</v>
      </c>
      <c r="O79" t="s">
        <v>394</v>
      </c>
      <c r="P79" t="s">
        <v>363</v>
      </c>
      <c r="Q79" s="20">
        <v>46032.649155092593</v>
      </c>
      <c r="R79" s="18" t="s">
        <v>8</v>
      </c>
      <c r="T79" t="s">
        <v>631</v>
      </c>
      <c r="V79" t="s">
        <v>489</v>
      </c>
      <c r="W79">
        <v>78</v>
      </c>
    </row>
    <row r="80" spans="1:23" ht="15" customHeight="1" x14ac:dyDescent="0.25">
      <c r="A80">
        <f t="shared" si="1"/>
        <v>60</v>
      </c>
      <c r="B80" t="s">
        <v>712</v>
      </c>
      <c r="C80" s="18" t="s">
        <v>47</v>
      </c>
      <c r="D80" s="18">
        <v>156</v>
      </c>
      <c r="E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">
        <f ca="1">IF(Tabla142[[#This Row],[frecuencia_new]]="Diaria"," ",RANDBETWEEN(1,6))</f>
        <v>4</v>
      </c>
      <c r="G80">
        <f ca="1">IF(Tabla142[[#This Row],[frecuencia_new]]="Diaria","",IF(Tabla142[[#This Row],[frecuencia_new]]="Semanal","",IF(Tabla142[[#This Row],[frecuencia_new]]="Quincenal",RANDBETWEEN(1,2),RANDBETWEEN(1,4))))</f>
        <v>1</v>
      </c>
      <c r="H80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80" s="18" t="s">
        <v>46</v>
      </c>
      <c r="K80" s="18">
        <f>SUM(MID(Tabla142[[#This Row],[Duración]],1,2)*60,MID(Tabla142[[#This Row],[Duración]],6,2))</f>
        <v>30</v>
      </c>
      <c r="L80" s="19" t="s">
        <v>48</v>
      </c>
      <c r="M80" s="18" t="s">
        <v>253</v>
      </c>
      <c r="N80" t="s">
        <v>324</v>
      </c>
      <c r="O80" t="s">
        <v>384</v>
      </c>
      <c r="P80" t="s">
        <v>360</v>
      </c>
      <c r="Q80" s="20">
        <v>46032.649155092593</v>
      </c>
      <c r="R80" s="18" t="s">
        <v>5</v>
      </c>
      <c r="T80" t="s">
        <v>471</v>
      </c>
      <c r="V80" t="s">
        <v>490</v>
      </c>
      <c r="W80">
        <v>79</v>
      </c>
    </row>
    <row r="81" spans="1:23" ht="15" customHeight="1" x14ac:dyDescent="0.25">
      <c r="A81">
        <f t="shared" si="1"/>
        <v>60</v>
      </c>
      <c r="B81" t="s">
        <v>713</v>
      </c>
      <c r="C81" s="18" t="s">
        <v>47</v>
      </c>
      <c r="D81" s="18">
        <v>156</v>
      </c>
      <c r="E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1">
        <f ca="1">IF(Tabla142[[#This Row],[frecuencia_new]]="Diaria"," ",RANDBETWEEN(1,6))</f>
        <v>3</v>
      </c>
      <c r="G81">
        <f ca="1">IF(Tabla142[[#This Row],[frecuencia_new]]="Diaria","",IF(Tabla142[[#This Row],[frecuencia_new]]="Semanal","",IF(Tabla142[[#This Row],[frecuencia_new]]="Quincenal",RANDBETWEEN(1,2),RANDBETWEEN(1,4))))</f>
        <v>2</v>
      </c>
      <c r="H8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81" s="18" t="s">
        <v>53</v>
      </c>
      <c r="K81" s="18">
        <f>SUM(MID(Tabla142[[#This Row],[Duración]],1,2)*60,MID(Tabla142[[#This Row],[Duración]],6,2))</f>
        <v>30</v>
      </c>
      <c r="L81" s="19" t="s">
        <v>48</v>
      </c>
      <c r="M81" s="18" t="s">
        <v>253</v>
      </c>
      <c r="N81" t="s">
        <v>324</v>
      </c>
      <c r="O81" t="s">
        <v>384</v>
      </c>
      <c r="P81" t="s">
        <v>360</v>
      </c>
      <c r="Q81" s="20">
        <v>46032.649155092593</v>
      </c>
      <c r="R81" s="18" t="s">
        <v>5</v>
      </c>
      <c r="T81" t="s">
        <v>471</v>
      </c>
      <c r="V81" t="s">
        <v>491</v>
      </c>
      <c r="W81">
        <v>80</v>
      </c>
    </row>
    <row r="82" spans="1:23" ht="15" customHeight="1" x14ac:dyDescent="0.25">
      <c r="A82">
        <f t="shared" si="1"/>
        <v>60</v>
      </c>
      <c r="B82" t="s">
        <v>714</v>
      </c>
      <c r="C82" s="18" t="s">
        <v>47</v>
      </c>
      <c r="D82" s="18">
        <v>156</v>
      </c>
      <c r="E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2">
        <f ca="1">IF(Tabla142[[#This Row],[frecuencia_new]]="Diaria"," ",RANDBETWEEN(1,6))</f>
        <v>6</v>
      </c>
      <c r="G82">
        <f ca="1">IF(Tabla142[[#This Row],[frecuencia_new]]="Diaria","",IF(Tabla142[[#This Row],[frecuencia_new]]="Semanal","",IF(Tabla142[[#This Row],[frecuencia_new]]="Quincenal",RANDBETWEEN(1,2),RANDBETWEEN(1,4))))</f>
        <v>3</v>
      </c>
      <c r="H82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82" s="18" t="s">
        <v>217</v>
      </c>
      <c r="K82" s="18">
        <f>SUM(MID(Tabla142[[#This Row],[Duración]],1,2)*60,MID(Tabla142[[#This Row],[Duración]],6,2))</f>
        <v>30</v>
      </c>
      <c r="L82" s="19" t="s">
        <v>48</v>
      </c>
      <c r="M82" s="18" t="s">
        <v>253</v>
      </c>
      <c r="N82" t="s">
        <v>324</v>
      </c>
      <c r="O82" t="s">
        <v>384</v>
      </c>
      <c r="P82" t="s">
        <v>360</v>
      </c>
      <c r="Q82" s="20">
        <v>46032.649155092593</v>
      </c>
      <c r="R82" s="18" t="s">
        <v>5</v>
      </c>
      <c r="T82" t="s">
        <v>471</v>
      </c>
      <c r="V82" t="s">
        <v>492</v>
      </c>
      <c r="W82">
        <v>81</v>
      </c>
    </row>
    <row r="83" spans="1:23" ht="15" customHeight="1" x14ac:dyDescent="0.25">
      <c r="A83">
        <f t="shared" si="1"/>
        <v>60</v>
      </c>
      <c r="B83" t="s">
        <v>715</v>
      </c>
      <c r="C83" s="18" t="s">
        <v>47</v>
      </c>
      <c r="D83" s="18">
        <v>156</v>
      </c>
      <c r="E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3">
        <f ca="1">IF(Tabla142[[#This Row],[frecuencia_new]]="Diaria"," ",RANDBETWEEN(1,6))</f>
        <v>1</v>
      </c>
      <c r="G83">
        <f ca="1">IF(Tabla142[[#This Row],[frecuencia_new]]="Diaria","",IF(Tabla142[[#This Row],[frecuencia_new]]="Semanal","",IF(Tabla142[[#This Row],[frecuencia_new]]="Quincenal",RANDBETWEEN(1,2),RANDBETWEEN(1,4))))</f>
        <v>4</v>
      </c>
      <c r="H83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83" s="18" t="s">
        <v>56</v>
      </c>
      <c r="K83" s="18">
        <f>SUM(MID(Tabla142[[#This Row],[Duración]],1,2)*60,MID(Tabla142[[#This Row],[Duración]],6,2))</f>
        <v>30</v>
      </c>
      <c r="L83" s="19" t="s">
        <v>48</v>
      </c>
      <c r="M83" s="18" t="s">
        <v>253</v>
      </c>
      <c r="N83" t="s">
        <v>324</v>
      </c>
      <c r="O83" t="s">
        <v>384</v>
      </c>
      <c r="P83" t="s">
        <v>360</v>
      </c>
      <c r="Q83" s="20">
        <v>46032.649155092593</v>
      </c>
      <c r="R83" s="18" t="s">
        <v>5</v>
      </c>
      <c r="T83" t="s">
        <v>471</v>
      </c>
      <c r="V83" t="s">
        <v>493</v>
      </c>
      <c r="W83">
        <v>82</v>
      </c>
    </row>
    <row r="84" spans="1:23" ht="15" customHeight="1" x14ac:dyDescent="0.25">
      <c r="A84">
        <f t="shared" si="1"/>
        <v>120</v>
      </c>
      <c r="B84" t="s">
        <v>716</v>
      </c>
      <c r="C84" s="18" t="s">
        <v>47</v>
      </c>
      <c r="D84" s="18">
        <v>156</v>
      </c>
      <c r="E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4" t="str">
        <f ca="1">IF(Tabla142[[#This Row],[frecuencia_new]]="Diaria"," ",RANDBETWEEN(1,6))</f>
        <v xml:space="preserve"> </v>
      </c>
      <c r="G84" t="str">
        <f ca="1">IF(Tabla142[[#This Row],[frecuencia_new]]="Diaria","",IF(Tabla142[[#This Row],[frecuencia_new]]="Semanal","",IF(Tabla142[[#This Row],[frecuencia_new]]="Quincenal",RANDBETWEEN(1,2),RANDBETWEEN(1,4))))</f>
        <v/>
      </c>
      <c r="H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4" s="18" t="s">
        <v>216</v>
      </c>
      <c r="K84" s="18">
        <f>SUM(MID(Tabla142[[#This Row],[Duración]],1,2)*60,MID(Tabla142[[#This Row],[Duración]],6,2))</f>
        <v>5</v>
      </c>
      <c r="L84" s="19" t="s">
        <v>50</v>
      </c>
      <c r="M84" s="18" t="s">
        <v>253</v>
      </c>
      <c r="N84" t="s">
        <v>324</v>
      </c>
      <c r="O84" t="s">
        <v>400</v>
      </c>
      <c r="P84" t="s">
        <v>361</v>
      </c>
      <c r="Q84" s="20">
        <v>46032.649155092593</v>
      </c>
      <c r="R84" s="18" t="s">
        <v>6</v>
      </c>
      <c r="T84" t="s">
        <v>531</v>
      </c>
      <c r="V84" t="s">
        <v>494</v>
      </c>
      <c r="W84">
        <v>83</v>
      </c>
    </row>
    <row r="85" spans="1:23" ht="15" customHeight="1" x14ac:dyDescent="0.25">
      <c r="A85">
        <f t="shared" si="1"/>
        <v>221</v>
      </c>
      <c r="B85" t="s">
        <v>717</v>
      </c>
      <c r="C85" s="18" t="s">
        <v>47</v>
      </c>
      <c r="D85">
        <v>156</v>
      </c>
      <c r="E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5">
        <f ca="1">IF(Tabla142[[#This Row],[frecuencia_new]]="Diaria"," ",RANDBETWEEN(1,6))</f>
        <v>1</v>
      </c>
      <c r="G85">
        <f ca="1">IF(Tabla142[[#This Row],[frecuencia_new]]="Diaria","",IF(Tabla142[[#This Row],[frecuencia_new]]="Semanal","",IF(Tabla142[[#This Row],[frecuencia_new]]="Quincenal",RANDBETWEEN(1,2),RANDBETWEEN(1,4))))</f>
        <v>4</v>
      </c>
      <c r="H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" t="s">
        <v>213</v>
      </c>
      <c r="K85">
        <f>SUM(MID(Tabla142[[#This Row],[Duración]],1,2)*60,MID(Tabla142[[#This Row],[Duración]],6,2))</f>
        <v>10</v>
      </c>
      <c r="L85" s="4" t="s">
        <v>71</v>
      </c>
      <c r="M85" s="18" t="s">
        <v>253</v>
      </c>
      <c r="N85" t="s">
        <v>324</v>
      </c>
      <c r="O85" t="s">
        <v>394</v>
      </c>
      <c r="P85" t="s">
        <v>363</v>
      </c>
      <c r="Q85" s="20">
        <v>46032.649155092593</v>
      </c>
      <c r="R85" t="s">
        <v>7</v>
      </c>
      <c r="T85" t="s">
        <v>632</v>
      </c>
      <c r="V85" t="s">
        <v>495</v>
      </c>
      <c r="W85">
        <v>84</v>
      </c>
    </row>
    <row r="86" spans="1:23" ht="15" customHeight="1" x14ac:dyDescent="0.25">
      <c r="A86">
        <f t="shared" si="1"/>
        <v>221</v>
      </c>
      <c r="B86" t="s">
        <v>718</v>
      </c>
      <c r="C86" s="18" t="s">
        <v>47</v>
      </c>
      <c r="D86">
        <v>156</v>
      </c>
      <c r="E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6">
        <f ca="1">IF(Tabla142[[#This Row],[frecuencia_new]]="Diaria"," ",RANDBETWEEN(1,6))</f>
        <v>1</v>
      </c>
      <c r="G86" t="str">
        <f ca="1">IF(Tabla142[[#This Row],[frecuencia_new]]="Diaria","",IF(Tabla142[[#This Row],[frecuencia_new]]="Semanal","",IF(Tabla142[[#This Row],[frecuencia_new]]="Quincenal",RANDBETWEEN(1,2),RANDBETWEEN(1,4))))</f>
        <v/>
      </c>
      <c r="H8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" t="s">
        <v>172</v>
      </c>
      <c r="K86">
        <f>SUM(MID(Tabla142[[#This Row],[Duración]],1,2)*60,MID(Tabla142[[#This Row],[Duración]],6,2))</f>
        <v>5</v>
      </c>
      <c r="L86" s="4" t="s">
        <v>50</v>
      </c>
      <c r="M86" s="18" t="s">
        <v>253</v>
      </c>
      <c r="N86" t="s">
        <v>324</v>
      </c>
      <c r="O86" t="s">
        <v>394</v>
      </c>
      <c r="P86" t="s">
        <v>363</v>
      </c>
      <c r="Q86" s="20">
        <v>46032.649155092593</v>
      </c>
      <c r="R86" t="s">
        <v>8</v>
      </c>
      <c r="T86" t="s">
        <v>632</v>
      </c>
      <c r="V86" t="s">
        <v>496</v>
      </c>
      <c r="W86">
        <v>85</v>
      </c>
    </row>
    <row r="87" spans="1:23" ht="15" customHeight="1" x14ac:dyDescent="0.25">
      <c r="A87">
        <f t="shared" si="1"/>
        <v>99</v>
      </c>
      <c r="B87" t="s">
        <v>719</v>
      </c>
      <c r="C87" t="s">
        <v>47</v>
      </c>
      <c r="D87">
        <v>24</v>
      </c>
      <c r="E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7" t="str">
        <f ca="1">IF(Tabla142[[#This Row],[frecuencia_new]]="Diaria"," ",RANDBETWEEN(1,6))</f>
        <v xml:space="preserve"> </v>
      </c>
      <c r="G87" t="str">
        <f ca="1">IF(Tabla142[[#This Row],[frecuencia_new]]="Diaria","",IF(Tabla142[[#This Row],[frecuencia_new]]="Semanal","",IF(Tabla142[[#This Row],[frecuencia_new]]="Quincenal",RANDBETWEEN(1,2),RANDBETWEEN(1,4))))</f>
        <v/>
      </c>
      <c r="H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" t="s">
        <v>206</v>
      </c>
      <c r="K87">
        <f>SUM(MID(Tabla142[[#This Row],[Duración]],1,2)*60,MID(Tabla142[[#This Row],[Duración]],6,2))</f>
        <v>2</v>
      </c>
      <c r="L87" s="4" t="s">
        <v>60</v>
      </c>
      <c r="M87" t="s">
        <v>253</v>
      </c>
      <c r="N87" t="s">
        <v>255</v>
      </c>
      <c r="O87" t="s">
        <v>401</v>
      </c>
      <c r="P87" t="s">
        <v>361</v>
      </c>
      <c r="Q87" s="20">
        <v>46032.649155092593</v>
      </c>
      <c r="R87" t="s">
        <v>6</v>
      </c>
      <c r="T87" t="s">
        <v>510</v>
      </c>
      <c r="V87" t="s">
        <v>497</v>
      </c>
      <c r="W87">
        <v>86</v>
      </c>
    </row>
    <row r="88" spans="1:23" ht="15" customHeight="1" x14ac:dyDescent="0.25">
      <c r="A88">
        <f t="shared" si="1"/>
        <v>99</v>
      </c>
      <c r="B88" t="s">
        <v>720</v>
      </c>
      <c r="C88" t="s">
        <v>47</v>
      </c>
      <c r="D88">
        <v>24</v>
      </c>
      <c r="E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8" t="str">
        <f ca="1">IF(Tabla142[[#This Row],[frecuencia_new]]="Diaria"," ",RANDBETWEEN(1,6))</f>
        <v xml:space="preserve"> </v>
      </c>
      <c r="G88" t="str">
        <f ca="1">IF(Tabla142[[#This Row],[frecuencia_new]]="Diaria","",IF(Tabla142[[#This Row],[frecuencia_new]]="Semanal","",IF(Tabla142[[#This Row],[frecuencia_new]]="Quincenal",RANDBETWEEN(1,2),RANDBETWEEN(1,4))))</f>
        <v/>
      </c>
      <c r="H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" t="s">
        <v>207</v>
      </c>
      <c r="K88">
        <f>SUM(MID(Tabla142[[#This Row],[Duración]],1,2)*60,MID(Tabla142[[#This Row],[Duración]],6,2))</f>
        <v>2</v>
      </c>
      <c r="L88" s="4" t="s">
        <v>60</v>
      </c>
      <c r="M88" t="s">
        <v>253</v>
      </c>
      <c r="N88" t="s">
        <v>255</v>
      </c>
      <c r="O88" t="s">
        <v>401</v>
      </c>
      <c r="P88" t="s">
        <v>361</v>
      </c>
      <c r="Q88" s="20">
        <v>46032.649155092593</v>
      </c>
      <c r="R88" t="s">
        <v>6</v>
      </c>
      <c r="T88" t="s">
        <v>510</v>
      </c>
      <c r="V88" t="s">
        <v>498</v>
      </c>
      <c r="W88">
        <v>87</v>
      </c>
    </row>
    <row r="89" spans="1:23" ht="15" customHeight="1" x14ac:dyDescent="0.25">
      <c r="A89">
        <f t="shared" si="1"/>
        <v>99</v>
      </c>
      <c r="B89" t="s">
        <v>721</v>
      </c>
      <c r="C89" t="s">
        <v>47</v>
      </c>
      <c r="D89">
        <v>24</v>
      </c>
      <c r="E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9" t="str">
        <f ca="1">IF(Tabla142[[#This Row],[frecuencia_new]]="Diaria"," ",RANDBETWEEN(1,6))</f>
        <v xml:space="preserve"> </v>
      </c>
      <c r="G89" t="str">
        <f ca="1">IF(Tabla142[[#This Row],[frecuencia_new]]="Diaria","",IF(Tabla142[[#This Row],[frecuencia_new]]="Semanal","",IF(Tabla142[[#This Row],[frecuencia_new]]="Quincenal",RANDBETWEEN(1,2),RANDBETWEEN(1,4))))</f>
        <v/>
      </c>
      <c r="H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9" t="s">
        <v>206</v>
      </c>
      <c r="K89">
        <f>SUM(MID(Tabla142[[#This Row],[Duración]],1,2)*60,MID(Tabla142[[#This Row],[Duración]],6,2))</f>
        <v>2</v>
      </c>
      <c r="L89" s="4" t="s">
        <v>60</v>
      </c>
      <c r="M89" t="s">
        <v>253</v>
      </c>
      <c r="N89" t="s">
        <v>255</v>
      </c>
      <c r="O89" t="s">
        <v>401</v>
      </c>
      <c r="P89" t="s">
        <v>361</v>
      </c>
      <c r="Q89" s="20">
        <v>46032.649155092593</v>
      </c>
      <c r="R89" t="s">
        <v>6</v>
      </c>
      <c r="T89" t="s">
        <v>510</v>
      </c>
      <c r="V89" t="s">
        <v>499</v>
      </c>
      <c r="W89">
        <v>88</v>
      </c>
    </row>
    <row r="90" spans="1:23" ht="15" customHeight="1" x14ac:dyDescent="0.25">
      <c r="A90">
        <f t="shared" si="1"/>
        <v>99</v>
      </c>
      <c r="B90" t="s">
        <v>722</v>
      </c>
      <c r="C90" t="s">
        <v>47</v>
      </c>
      <c r="D90">
        <v>24</v>
      </c>
      <c r="E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0" t="str">
        <f ca="1">IF(Tabla142[[#This Row],[frecuencia_new]]="Diaria"," ",RANDBETWEEN(1,6))</f>
        <v xml:space="preserve"> </v>
      </c>
      <c r="G90" t="str">
        <f ca="1">IF(Tabla142[[#This Row],[frecuencia_new]]="Diaria","",IF(Tabla142[[#This Row],[frecuencia_new]]="Semanal","",IF(Tabla142[[#This Row],[frecuencia_new]]="Quincenal",RANDBETWEEN(1,2),RANDBETWEEN(1,4))))</f>
        <v/>
      </c>
      <c r="H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" t="s">
        <v>207</v>
      </c>
      <c r="K90">
        <f>SUM(MID(Tabla142[[#This Row],[Duración]],1,2)*60,MID(Tabla142[[#This Row],[Duración]],6,2))</f>
        <v>2</v>
      </c>
      <c r="L90" s="4" t="s">
        <v>60</v>
      </c>
      <c r="M90" t="s">
        <v>253</v>
      </c>
      <c r="N90" t="s">
        <v>255</v>
      </c>
      <c r="O90" t="s">
        <v>401</v>
      </c>
      <c r="P90" t="s">
        <v>361</v>
      </c>
      <c r="Q90" s="20">
        <v>46032.649155092593</v>
      </c>
      <c r="R90" t="s">
        <v>6</v>
      </c>
      <c r="T90" t="s">
        <v>510</v>
      </c>
      <c r="V90" t="s">
        <v>500</v>
      </c>
      <c r="W90">
        <v>89</v>
      </c>
    </row>
    <row r="91" spans="1:23" ht="15" customHeight="1" x14ac:dyDescent="0.25">
      <c r="A91">
        <f t="shared" si="1"/>
        <v>99</v>
      </c>
      <c r="B91" t="s">
        <v>723</v>
      </c>
      <c r="C91" t="s">
        <v>47</v>
      </c>
      <c r="D91">
        <v>24</v>
      </c>
      <c r="E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1" t="str">
        <f ca="1">IF(Tabla142[[#This Row],[frecuencia_new]]="Diaria"," ",RANDBETWEEN(1,6))</f>
        <v xml:space="preserve"> </v>
      </c>
      <c r="G91" t="str">
        <f ca="1">IF(Tabla142[[#This Row],[frecuencia_new]]="Diaria","",IF(Tabla142[[#This Row],[frecuencia_new]]="Semanal","",IF(Tabla142[[#This Row],[frecuencia_new]]="Quincenal",RANDBETWEEN(1,2),RANDBETWEEN(1,4))))</f>
        <v/>
      </c>
      <c r="H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1" t="s">
        <v>227</v>
      </c>
      <c r="K91">
        <f>SUM(MID(Tabla142[[#This Row],[Duración]],1,2)*60,MID(Tabla142[[#This Row],[Duración]],6,2))</f>
        <v>2</v>
      </c>
      <c r="L91" s="4" t="s">
        <v>60</v>
      </c>
      <c r="M91" t="s">
        <v>253</v>
      </c>
      <c r="N91" t="s">
        <v>255</v>
      </c>
      <c r="O91" t="s">
        <v>401</v>
      </c>
      <c r="P91" t="s">
        <v>361</v>
      </c>
      <c r="Q91" s="20">
        <v>46032.649155092593</v>
      </c>
      <c r="R91" t="s">
        <v>6</v>
      </c>
      <c r="T91" t="s">
        <v>510</v>
      </c>
      <c r="V91" t="s">
        <v>501</v>
      </c>
      <c r="W91">
        <v>90</v>
      </c>
    </row>
    <row r="92" spans="1:23" ht="15" customHeight="1" x14ac:dyDescent="0.25">
      <c r="A92">
        <f t="shared" si="1"/>
        <v>107</v>
      </c>
      <c r="B92" t="s">
        <v>724</v>
      </c>
      <c r="C92" t="s">
        <v>47</v>
      </c>
      <c r="D92">
        <v>24</v>
      </c>
      <c r="E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2">
        <f ca="1">IF(Tabla142[[#This Row],[frecuencia_new]]="Diaria"," ",RANDBETWEEN(1,6))</f>
        <v>4</v>
      </c>
      <c r="G92" t="str">
        <f ca="1">IF(Tabla142[[#This Row],[frecuencia_new]]="Diaria","",IF(Tabla142[[#This Row],[frecuencia_new]]="Semanal","",IF(Tabla142[[#This Row],[frecuencia_new]]="Quincenal",RANDBETWEEN(1,2),RANDBETWEEN(1,4))))</f>
        <v/>
      </c>
      <c r="H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2" t="s">
        <v>204</v>
      </c>
      <c r="K92">
        <f>SUM(MID(Tabla142[[#This Row],[Duración]],1,2)*60,MID(Tabla142[[#This Row],[Duración]],6,2))</f>
        <v>30</v>
      </c>
      <c r="L92" s="4" t="s">
        <v>48</v>
      </c>
      <c r="M92" t="s">
        <v>253</v>
      </c>
      <c r="N92" t="s">
        <v>255</v>
      </c>
      <c r="O92" t="s">
        <v>392</v>
      </c>
      <c r="P92" t="s">
        <v>363</v>
      </c>
      <c r="Q92" s="20">
        <v>46032.649155092593</v>
      </c>
      <c r="R92" t="s">
        <v>8</v>
      </c>
      <c r="T92" t="s">
        <v>518</v>
      </c>
      <c r="V92" t="s">
        <v>502</v>
      </c>
      <c r="W92">
        <v>91</v>
      </c>
    </row>
    <row r="93" spans="1:23" ht="15" customHeight="1" x14ac:dyDescent="0.25">
      <c r="A93">
        <f t="shared" si="1"/>
        <v>107</v>
      </c>
      <c r="B93" t="s">
        <v>725</v>
      </c>
      <c r="C93" t="s">
        <v>47</v>
      </c>
      <c r="D93">
        <v>24</v>
      </c>
      <c r="E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93">
        <f ca="1">IF(Tabla142[[#This Row],[frecuencia_new]]="Diaria"," ",RANDBETWEEN(1,6))</f>
        <v>4</v>
      </c>
      <c r="G93">
        <f ca="1">IF(Tabla142[[#This Row],[frecuencia_new]]="Diaria","",IF(Tabla142[[#This Row],[frecuencia_new]]="Semanal","",IF(Tabla142[[#This Row],[frecuencia_new]]="Quincenal",RANDBETWEEN(1,2),RANDBETWEEN(1,4))))</f>
        <v>1</v>
      </c>
      <c r="H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3" t="s">
        <v>205</v>
      </c>
      <c r="K93">
        <f>SUM(MID(Tabla142[[#This Row],[Duración]],1,2)*60,MID(Tabla142[[#This Row],[Duración]],6,2))</f>
        <v>20</v>
      </c>
      <c r="L93" s="4" t="s">
        <v>82</v>
      </c>
      <c r="M93" t="s">
        <v>253</v>
      </c>
      <c r="N93" t="s">
        <v>255</v>
      </c>
      <c r="O93" t="s">
        <v>392</v>
      </c>
      <c r="P93" t="s">
        <v>363</v>
      </c>
      <c r="Q93" s="20">
        <v>46032.649155092593</v>
      </c>
      <c r="R93" t="s">
        <v>1846</v>
      </c>
      <c r="T93" t="s">
        <v>518</v>
      </c>
      <c r="V93" t="s">
        <v>503</v>
      </c>
      <c r="W93">
        <v>92</v>
      </c>
    </row>
    <row r="94" spans="1:23" ht="15" customHeight="1" x14ac:dyDescent="0.25">
      <c r="A94">
        <f t="shared" si="1"/>
        <v>107</v>
      </c>
      <c r="B94" t="s">
        <v>726</v>
      </c>
      <c r="C94" t="s">
        <v>47</v>
      </c>
      <c r="D94">
        <v>24</v>
      </c>
      <c r="E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4">
        <f ca="1">IF(Tabla142[[#This Row],[frecuencia_new]]="Diaria"," ",RANDBETWEEN(1,6))</f>
        <v>2</v>
      </c>
      <c r="G94">
        <f ca="1">IF(Tabla142[[#This Row],[frecuencia_new]]="Diaria","",IF(Tabla142[[#This Row],[frecuencia_new]]="Semanal","",IF(Tabla142[[#This Row],[frecuencia_new]]="Quincenal",RANDBETWEEN(1,2),RANDBETWEEN(1,4))))</f>
        <v>2</v>
      </c>
      <c r="H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4" t="s">
        <v>208</v>
      </c>
      <c r="K94">
        <f>SUM(MID(Tabla142[[#This Row],[Duración]],1,2)*60,MID(Tabla142[[#This Row],[Duración]],6,2))</f>
        <v>25</v>
      </c>
      <c r="L94" s="4" t="s">
        <v>184</v>
      </c>
      <c r="M94" t="s">
        <v>253</v>
      </c>
      <c r="N94" t="s">
        <v>255</v>
      </c>
      <c r="O94" t="s">
        <v>392</v>
      </c>
      <c r="P94" t="s">
        <v>363</v>
      </c>
      <c r="Q94" s="20">
        <v>46032.649155092593</v>
      </c>
      <c r="R94" t="s">
        <v>7</v>
      </c>
      <c r="T94" t="s">
        <v>518</v>
      </c>
      <c r="V94" t="s">
        <v>504</v>
      </c>
      <c r="W94">
        <v>93</v>
      </c>
    </row>
    <row r="95" spans="1:23" ht="15" customHeight="1" x14ac:dyDescent="0.25">
      <c r="A95">
        <f t="shared" si="1"/>
        <v>107</v>
      </c>
      <c r="B95" t="s">
        <v>727</v>
      </c>
      <c r="C95" t="s">
        <v>47</v>
      </c>
      <c r="D95">
        <v>24</v>
      </c>
      <c r="E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95">
        <f ca="1">IF(Tabla142[[#This Row],[frecuencia_new]]="Diaria"," ",RANDBETWEEN(1,6))</f>
        <v>3</v>
      </c>
      <c r="G95">
        <f ca="1">IF(Tabla142[[#This Row],[frecuencia_new]]="Diaria","",IF(Tabla142[[#This Row],[frecuencia_new]]="Semanal","",IF(Tabla142[[#This Row],[frecuencia_new]]="Quincenal",RANDBETWEEN(1,2),RANDBETWEEN(1,4))))</f>
        <v>1</v>
      </c>
      <c r="H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" t="s">
        <v>211</v>
      </c>
      <c r="K95">
        <f>SUM(MID(Tabla142[[#This Row],[Duración]],1,2)*60,MID(Tabla142[[#This Row],[Duración]],6,2))</f>
        <v>20</v>
      </c>
      <c r="L95" s="4" t="s">
        <v>82</v>
      </c>
      <c r="M95" t="s">
        <v>253</v>
      </c>
      <c r="N95" t="s">
        <v>255</v>
      </c>
      <c r="O95" t="s">
        <v>392</v>
      </c>
      <c r="P95" t="s">
        <v>363</v>
      </c>
      <c r="Q95" s="20">
        <v>46032.649155092593</v>
      </c>
      <c r="R95" t="s">
        <v>1846</v>
      </c>
      <c r="T95" t="s">
        <v>518</v>
      </c>
      <c r="V95" t="s">
        <v>505</v>
      </c>
      <c r="W95">
        <v>94</v>
      </c>
    </row>
    <row r="96" spans="1:23" ht="15" customHeight="1" x14ac:dyDescent="0.25">
      <c r="A96">
        <f t="shared" si="1"/>
        <v>107</v>
      </c>
      <c r="B96" t="s">
        <v>728</v>
      </c>
      <c r="C96" t="s">
        <v>47</v>
      </c>
      <c r="D96">
        <v>24</v>
      </c>
      <c r="E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6">
        <f ca="1">IF(Tabla142[[#This Row],[frecuencia_new]]="Diaria"," ",RANDBETWEEN(1,6))</f>
        <v>2</v>
      </c>
      <c r="G96">
        <f ca="1">IF(Tabla142[[#This Row],[frecuencia_new]]="Diaria","",IF(Tabla142[[#This Row],[frecuencia_new]]="Semanal","",IF(Tabla142[[#This Row],[frecuencia_new]]="Quincenal",RANDBETWEEN(1,2),RANDBETWEEN(1,4))))</f>
        <v>2</v>
      </c>
      <c r="H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6" t="s">
        <v>212</v>
      </c>
      <c r="K96">
        <f>SUM(MID(Tabla142[[#This Row],[Duración]],1,2)*60,MID(Tabla142[[#This Row],[Duración]],6,2))</f>
        <v>10</v>
      </c>
      <c r="L96" s="4" t="s">
        <v>71</v>
      </c>
      <c r="M96" t="s">
        <v>253</v>
      </c>
      <c r="N96" t="s">
        <v>255</v>
      </c>
      <c r="O96" t="s">
        <v>392</v>
      </c>
      <c r="P96" t="s">
        <v>363</v>
      </c>
      <c r="Q96" s="20">
        <v>46032.649155092593</v>
      </c>
      <c r="R96" t="s">
        <v>7</v>
      </c>
      <c r="T96" t="s">
        <v>518</v>
      </c>
      <c r="V96" t="s">
        <v>506</v>
      </c>
      <c r="W96">
        <v>95</v>
      </c>
    </row>
    <row r="97" spans="1:23" ht="15" customHeight="1" x14ac:dyDescent="0.25">
      <c r="A97">
        <f t="shared" si="1"/>
        <v>107</v>
      </c>
      <c r="B97" t="s">
        <v>729</v>
      </c>
      <c r="C97" t="s">
        <v>47</v>
      </c>
      <c r="D97">
        <v>24</v>
      </c>
      <c r="E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7">
        <f ca="1">IF(Tabla142[[#This Row],[frecuencia_new]]="Diaria"," ",RANDBETWEEN(1,6))</f>
        <v>1</v>
      </c>
      <c r="G97" t="str">
        <f ca="1">IF(Tabla142[[#This Row],[frecuencia_new]]="Diaria","",IF(Tabla142[[#This Row],[frecuencia_new]]="Semanal","",IF(Tabla142[[#This Row],[frecuencia_new]]="Quincenal",RANDBETWEEN(1,2),RANDBETWEEN(1,4))))</f>
        <v/>
      </c>
      <c r="H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7" t="s">
        <v>204</v>
      </c>
      <c r="K97">
        <f>SUM(MID(Tabla142[[#This Row],[Duración]],1,2)*60,MID(Tabla142[[#This Row],[Duración]],6,2))</f>
        <v>30</v>
      </c>
      <c r="L97" s="4" t="s">
        <v>48</v>
      </c>
      <c r="M97" t="s">
        <v>253</v>
      </c>
      <c r="N97" t="s">
        <v>255</v>
      </c>
      <c r="O97" t="s">
        <v>392</v>
      </c>
      <c r="P97" t="s">
        <v>363</v>
      </c>
      <c r="Q97" s="20">
        <v>46032.649155092593</v>
      </c>
      <c r="R97" t="s">
        <v>8</v>
      </c>
      <c r="T97" t="s">
        <v>518</v>
      </c>
      <c r="V97" t="s">
        <v>507</v>
      </c>
      <c r="W97">
        <v>96</v>
      </c>
    </row>
    <row r="98" spans="1:23" ht="15" customHeight="1" x14ac:dyDescent="0.25">
      <c r="A98">
        <f t="shared" si="1"/>
        <v>107</v>
      </c>
      <c r="B98" t="s">
        <v>730</v>
      </c>
      <c r="C98" t="s">
        <v>47</v>
      </c>
      <c r="D98">
        <v>24</v>
      </c>
      <c r="E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98">
        <f ca="1">IF(Tabla142[[#This Row],[frecuencia_new]]="Diaria"," ",RANDBETWEEN(1,6))</f>
        <v>5</v>
      </c>
      <c r="G98">
        <f ca="1">IF(Tabla142[[#This Row],[frecuencia_new]]="Diaria","",IF(Tabla142[[#This Row],[frecuencia_new]]="Semanal","",IF(Tabla142[[#This Row],[frecuencia_new]]="Quincenal",RANDBETWEEN(1,2),RANDBETWEEN(1,4))))</f>
        <v>1</v>
      </c>
      <c r="H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8" t="s">
        <v>205</v>
      </c>
      <c r="K98">
        <f>SUM(MID(Tabla142[[#This Row],[Duración]],1,2)*60,MID(Tabla142[[#This Row],[Duración]],6,2))</f>
        <v>20</v>
      </c>
      <c r="L98" s="4" t="s">
        <v>82</v>
      </c>
      <c r="M98" t="s">
        <v>253</v>
      </c>
      <c r="N98" t="s">
        <v>255</v>
      </c>
      <c r="O98" t="s">
        <v>392</v>
      </c>
      <c r="P98" t="s">
        <v>363</v>
      </c>
      <c r="Q98" s="20">
        <v>46032.649155092593</v>
      </c>
      <c r="R98" t="s">
        <v>1846</v>
      </c>
      <c r="T98" t="s">
        <v>518</v>
      </c>
      <c r="V98" t="s">
        <v>508</v>
      </c>
      <c r="W98">
        <v>97</v>
      </c>
    </row>
    <row r="99" spans="1:23" ht="15" customHeight="1" x14ac:dyDescent="0.25">
      <c r="A99">
        <f t="shared" si="1"/>
        <v>107</v>
      </c>
      <c r="B99" t="s">
        <v>731</v>
      </c>
      <c r="C99" t="s">
        <v>47</v>
      </c>
      <c r="D99">
        <v>24</v>
      </c>
      <c r="E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9">
        <f ca="1">IF(Tabla142[[#This Row],[frecuencia_new]]="Diaria"," ",RANDBETWEEN(1,6))</f>
        <v>4</v>
      </c>
      <c r="G99">
        <f ca="1">IF(Tabla142[[#This Row],[frecuencia_new]]="Diaria","",IF(Tabla142[[#This Row],[frecuencia_new]]="Semanal","",IF(Tabla142[[#This Row],[frecuencia_new]]="Quincenal",RANDBETWEEN(1,2),RANDBETWEEN(1,4))))</f>
        <v>3</v>
      </c>
      <c r="H9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" t="s">
        <v>208</v>
      </c>
      <c r="K99">
        <f>SUM(MID(Tabla142[[#This Row],[Duración]],1,2)*60,MID(Tabla142[[#This Row],[Duración]],6,2))</f>
        <v>25</v>
      </c>
      <c r="L99" s="4" t="s">
        <v>184</v>
      </c>
      <c r="M99" t="s">
        <v>253</v>
      </c>
      <c r="N99" t="s">
        <v>255</v>
      </c>
      <c r="O99" t="s">
        <v>392</v>
      </c>
      <c r="P99" t="s">
        <v>363</v>
      </c>
      <c r="Q99" s="20">
        <v>46032.649155092593</v>
      </c>
      <c r="R99" t="s">
        <v>7</v>
      </c>
      <c r="T99" t="s">
        <v>518</v>
      </c>
      <c r="V99" t="s">
        <v>509</v>
      </c>
      <c r="W99">
        <v>98</v>
      </c>
    </row>
    <row r="100" spans="1:23" ht="15" customHeight="1" x14ac:dyDescent="0.25">
      <c r="A100">
        <f t="shared" si="1"/>
        <v>107</v>
      </c>
      <c r="B100" t="s">
        <v>732</v>
      </c>
      <c r="C100" t="s">
        <v>47</v>
      </c>
      <c r="D100">
        <v>24</v>
      </c>
      <c r="E1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00">
        <f ca="1">IF(Tabla142[[#This Row],[frecuencia_new]]="Diaria"," ",RANDBETWEEN(1,6))</f>
        <v>6</v>
      </c>
      <c r="G100">
        <f ca="1">IF(Tabla142[[#This Row],[frecuencia_new]]="Diaria","",IF(Tabla142[[#This Row],[frecuencia_new]]="Semanal","",IF(Tabla142[[#This Row],[frecuencia_new]]="Quincenal",RANDBETWEEN(1,2),RANDBETWEEN(1,4))))</f>
        <v>1</v>
      </c>
      <c r="H10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" t="s">
        <v>211</v>
      </c>
      <c r="K100">
        <f>SUM(MID(Tabla142[[#This Row],[Duración]],1,2)*60,MID(Tabla142[[#This Row],[Duración]],6,2))</f>
        <v>20</v>
      </c>
      <c r="L100" s="4" t="s">
        <v>82</v>
      </c>
      <c r="M100" t="s">
        <v>253</v>
      </c>
      <c r="N100" t="s">
        <v>255</v>
      </c>
      <c r="O100" t="s">
        <v>392</v>
      </c>
      <c r="P100" t="s">
        <v>363</v>
      </c>
      <c r="Q100" s="20">
        <v>46032.649155092593</v>
      </c>
      <c r="R100" t="s">
        <v>1846</v>
      </c>
      <c r="T100" t="s">
        <v>518</v>
      </c>
      <c r="V100" t="s">
        <v>510</v>
      </c>
      <c r="W100">
        <v>99</v>
      </c>
    </row>
    <row r="101" spans="1:23" ht="15" customHeight="1" x14ac:dyDescent="0.25">
      <c r="A101">
        <f t="shared" si="1"/>
        <v>107</v>
      </c>
      <c r="B101" t="s">
        <v>733</v>
      </c>
      <c r="C101" t="s">
        <v>47</v>
      </c>
      <c r="D101">
        <v>24</v>
      </c>
      <c r="E1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1">
        <f ca="1">IF(Tabla142[[#This Row],[frecuencia_new]]="Diaria"," ",RANDBETWEEN(1,6))</f>
        <v>3</v>
      </c>
      <c r="G101">
        <f ca="1">IF(Tabla142[[#This Row],[frecuencia_new]]="Diaria","",IF(Tabla142[[#This Row],[frecuencia_new]]="Semanal","",IF(Tabla142[[#This Row],[frecuencia_new]]="Quincenal",RANDBETWEEN(1,2),RANDBETWEEN(1,4))))</f>
        <v>2</v>
      </c>
      <c r="H1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" t="s">
        <v>212</v>
      </c>
      <c r="K101">
        <f>SUM(MID(Tabla142[[#This Row],[Duración]],1,2)*60,MID(Tabla142[[#This Row],[Duración]],6,2))</f>
        <v>10</v>
      </c>
      <c r="L101" s="4" t="s">
        <v>71</v>
      </c>
      <c r="M101" t="s">
        <v>253</v>
      </c>
      <c r="N101" t="s">
        <v>255</v>
      </c>
      <c r="O101" t="s">
        <v>392</v>
      </c>
      <c r="P101" t="s">
        <v>363</v>
      </c>
      <c r="Q101" s="20">
        <v>46032.649155092593</v>
      </c>
      <c r="R101" t="s">
        <v>7</v>
      </c>
      <c r="T101" t="s">
        <v>518</v>
      </c>
      <c r="V101" t="s">
        <v>511</v>
      </c>
      <c r="W101">
        <v>100</v>
      </c>
    </row>
    <row r="102" spans="1:23" ht="15" customHeight="1" x14ac:dyDescent="0.25">
      <c r="A102">
        <f t="shared" si="1"/>
        <v>107</v>
      </c>
      <c r="B102" t="s">
        <v>734</v>
      </c>
      <c r="C102" t="s">
        <v>47</v>
      </c>
      <c r="D102">
        <v>24</v>
      </c>
      <c r="E1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02">
        <f ca="1">IF(Tabla142[[#This Row],[frecuencia_new]]="Diaria"," ",RANDBETWEEN(1,6))</f>
        <v>2</v>
      </c>
      <c r="G102">
        <f ca="1">IF(Tabla142[[#This Row],[frecuencia_new]]="Diaria","",IF(Tabla142[[#This Row],[frecuencia_new]]="Semanal","",IF(Tabla142[[#This Row],[frecuencia_new]]="Quincenal",RANDBETWEEN(1,2),RANDBETWEEN(1,4))))</f>
        <v>2</v>
      </c>
      <c r="H10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" t="s">
        <v>223</v>
      </c>
      <c r="K102">
        <f>SUM(MID(Tabla142[[#This Row],[Duración]],1,2)*60,MID(Tabla142[[#This Row],[Duración]],6,2))</f>
        <v>60</v>
      </c>
      <c r="L102" s="4" t="s">
        <v>58</v>
      </c>
      <c r="M102" t="s">
        <v>253</v>
      </c>
      <c r="N102" t="s">
        <v>255</v>
      </c>
      <c r="O102" t="s">
        <v>392</v>
      </c>
      <c r="P102" t="s">
        <v>363</v>
      </c>
      <c r="Q102" s="20">
        <v>46032.649155092593</v>
      </c>
      <c r="R102" t="s">
        <v>1846</v>
      </c>
      <c r="T102" t="s">
        <v>518</v>
      </c>
      <c r="V102" t="s">
        <v>512</v>
      </c>
      <c r="W102">
        <v>101</v>
      </c>
    </row>
    <row r="103" spans="1:23" ht="15" customHeight="1" x14ac:dyDescent="0.25">
      <c r="A103">
        <f t="shared" si="1"/>
        <v>107</v>
      </c>
      <c r="B103" t="s">
        <v>735</v>
      </c>
      <c r="C103" t="s">
        <v>47</v>
      </c>
      <c r="D103">
        <v>24</v>
      </c>
      <c r="E1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3">
        <f ca="1">IF(Tabla142[[#This Row],[frecuencia_new]]="Diaria"," ",RANDBETWEEN(1,6))</f>
        <v>3</v>
      </c>
      <c r="G103" t="str">
        <f ca="1">IF(Tabla142[[#This Row],[frecuencia_new]]="Diaria","",IF(Tabla142[[#This Row],[frecuencia_new]]="Semanal","",IF(Tabla142[[#This Row],[frecuencia_new]]="Quincenal",RANDBETWEEN(1,2),RANDBETWEEN(1,4))))</f>
        <v/>
      </c>
      <c r="H1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3" t="s">
        <v>218</v>
      </c>
      <c r="K103">
        <f>SUM(MID(Tabla142[[#This Row],[Duración]],1,2)*60,MID(Tabla142[[#This Row],[Duración]],6,2))</f>
        <v>10</v>
      </c>
      <c r="L103" s="4" t="s">
        <v>71</v>
      </c>
      <c r="M103" t="s">
        <v>253</v>
      </c>
      <c r="N103" t="s">
        <v>255</v>
      </c>
      <c r="O103" t="s">
        <v>392</v>
      </c>
      <c r="P103" t="s">
        <v>363</v>
      </c>
      <c r="Q103" s="20">
        <v>46032.649155092593</v>
      </c>
      <c r="R103" t="s">
        <v>8</v>
      </c>
      <c r="T103" t="s">
        <v>518</v>
      </c>
      <c r="V103" t="s">
        <v>513</v>
      </c>
      <c r="W103">
        <v>102</v>
      </c>
    </row>
    <row r="104" spans="1:23" ht="15" customHeight="1" x14ac:dyDescent="0.25">
      <c r="A104">
        <f t="shared" si="1"/>
        <v>107</v>
      </c>
      <c r="B104" t="s">
        <v>736</v>
      </c>
      <c r="C104" t="s">
        <v>47</v>
      </c>
      <c r="D104">
        <v>24</v>
      </c>
      <c r="E1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4">
        <f ca="1">IF(Tabla142[[#This Row],[frecuencia_new]]="Diaria"," ",RANDBETWEEN(1,6))</f>
        <v>4</v>
      </c>
      <c r="G104">
        <f ca="1">IF(Tabla142[[#This Row],[frecuencia_new]]="Diaria","",IF(Tabla142[[#This Row],[frecuencia_new]]="Semanal","",IF(Tabla142[[#This Row],[frecuencia_new]]="Quincenal",RANDBETWEEN(1,2),RANDBETWEEN(1,4))))</f>
        <v>2</v>
      </c>
      <c r="H104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4" t="s">
        <v>224</v>
      </c>
      <c r="K104">
        <f>SUM(MID(Tabla142[[#This Row],[Duración]],1,2)*60,MID(Tabla142[[#This Row],[Duración]],6,2))</f>
        <v>60</v>
      </c>
      <c r="L104" s="4" t="s">
        <v>58</v>
      </c>
      <c r="M104" t="s">
        <v>253</v>
      </c>
      <c r="N104" t="s">
        <v>255</v>
      </c>
      <c r="O104" t="s">
        <v>392</v>
      </c>
      <c r="P104" t="s">
        <v>363</v>
      </c>
      <c r="Q104" s="20">
        <v>46032.649155092593</v>
      </c>
      <c r="R104" t="s">
        <v>18</v>
      </c>
      <c r="T104" t="s">
        <v>518</v>
      </c>
      <c r="V104" t="s">
        <v>514</v>
      </c>
      <c r="W104">
        <v>103</v>
      </c>
    </row>
    <row r="105" spans="1:23" ht="15" customHeight="1" x14ac:dyDescent="0.25">
      <c r="A105">
        <f t="shared" si="1"/>
        <v>107</v>
      </c>
      <c r="B105" t="s">
        <v>737</v>
      </c>
      <c r="C105" t="s">
        <v>47</v>
      </c>
      <c r="D105">
        <v>24</v>
      </c>
      <c r="E1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05">
        <f ca="1">IF(Tabla142[[#This Row],[frecuencia_new]]="Diaria"," ",RANDBETWEEN(1,6))</f>
        <v>5</v>
      </c>
      <c r="G105">
        <f ca="1">IF(Tabla142[[#This Row],[frecuencia_new]]="Diaria","",IF(Tabla142[[#This Row],[frecuencia_new]]="Semanal","",IF(Tabla142[[#This Row],[frecuencia_new]]="Quincenal",RANDBETWEEN(1,2),RANDBETWEEN(1,4))))</f>
        <v>1</v>
      </c>
      <c r="H1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5" t="s">
        <v>225</v>
      </c>
      <c r="K105">
        <f>SUM(MID(Tabla142[[#This Row],[Duración]],1,2)*60,MID(Tabla142[[#This Row],[Duración]],6,2))</f>
        <v>60</v>
      </c>
      <c r="L105" s="4" t="s">
        <v>58</v>
      </c>
      <c r="M105" t="s">
        <v>253</v>
      </c>
      <c r="N105" t="s">
        <v>255</v>
      </c>
      <c r="O105" t="s">
        <v>392</v>
      </c>
      <c r="P105" t="s">
        <v>363</v>
      </c>
      <c r="Q105" s="20">
        <v>46032.649155092593</v>
      </c>
      <c r="R105" t="s">
        <v>1846</v>
      </c>
      <c r="T105" t="s">
        <v>518</v>
      </c>
      <c r="V105" t="s">
        <v>515</v>
      </c>
      <c r="W105">
        <v>104</v>
      </c>
    </row>
    <row r="106" spans="1:23" ht="15" customHeight="1" x14ac:dyDescent="0.25">
      <c r="A106">
        <f t="shared" si="1"/>
        <v>107</v>
      </c>
      <c r="B106" t="s">
        <v>738</v>
      </c>
      <c r="C106" t="s">
        <v>47</v>
      </c>
      <c r="D106">
        <v>24</v>
      </c>
      <c r="E1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06">
        <f ca="1">IF(Tabla142[[#This Row],[frecuencia_new]]="Diaria"," ",RANDBETWEEN(1,6))</f>
        <v>1</v>
      </c>
      <c r="G106">
        <f ca="1">IF(Tabla142[[#This Row],[frecuencia_new]]="Diaria","",IF(Tabla142[[#This Row],[frecuencia_new]]="Semanal","",IF(Tabla142[[#This Row],[frecuencia_new]]="Quincenal",RANDBETWEEN(1,2),RANDBETWEEN(1,4))))</f>
        <v>2</v>
      </c>
      <c r="H1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6" t="s">
        <v>226</v>
      </c>
      <c r="K106">
        <f>SUM(MID(Tabla142[[#This Row],[Duración]],1,2)*60,MID(Tabla142[[#This Row],[Duración]],6,2))</f>
        <v>60</v>
      </c>
      <c r="L106" s="4" t="s">
        <v>58</v>
      </c>
      <c r="M106" t="s">
        <v>253</v>
      </c>
      <c r="N106" t="s">
        <v>255</v>
      </c>
      <c r="O106" t="s">
        <v>392</v>
      </c>
      <c r="P106" t="s">
        <v>363</v>
      </c>
      <c r="Q106" s="20">
        <v>46032.649155092593</v>
      </c>
      <c r="R106" t="s">
        <v>1846</v>
      </c>
      <c r="T106" t="s">
        <v>518</v>
      </c>
      <c r="V106" t="s">
        <v>516</v>
      </c>
      <c r="W106">
        <v>105</v>
      </c>
    </row>
    <row r="107" spans="1:23" ht="15" customHeight="1" x14ac:dyDescent="0.25">
      <c r="A107">
        <f t="shared" si="1"/>
        <v>107</v>
      </c>
      <c r="B107" t="s">
        <v>739</v>
      </c>
      <c r="C107" t="s">
        <v>47</v>
      </c>
      <c r="D107">
        <v>24</v>
      </c>
      <c r="E1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07">
        <f ca="1">IF(Tabla142[[#This Row],[frecuencia_new]]="Diaria"," ",RANDBETWEEN(1,6))</f>
        <v>4</v>
      </c>
      <c r="G107">
        <f ca="1">IF(Tabla142[[#This Row],[frecuencia_new]]="Diaria","",IF(Tabla142[[#This Row],[frecuencia_new]]="Semanal","",IF(Tabla142[[#This Row],[frecuencia_new]]="Quincenal",RANDBETWEEN(1,2),RANDBETWEEN(1,4))))</f>
        <v>1</v>
      </c>
      <c r="H1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7" t="s">
        <v>228</v>
      </c>
      <c r="K107">
        <f>SUM(MID(Tabla142[[#This Row],[Duración]],1,2)*60,MID(Tabla142[[#This Row],[Duración]],6,2))</f>
        <v>60</v>
      </c>
      <c r="L107" s="4" t="s">
        <v>58</v>
      </c>
      <c r="M107" t="s">
        <v>253</v>
      </c>
      <c r="N107" t="s">
        <v>255</v>
      </c>
      <c r="O107" t="s">
        <v>392</v>
      </c>
      <c r="P107" t="s">
        <v>363</v>
      </c>
      <c r="Q107" s="20">
        <v>46032.649155092593</v>
      </c>
      <c r="R107" t="s">
        <v>1846</v>
      </c>
      <c r="T107" t="s">
        <v>518</v>
      </c>
      <c r="V107" t="s">
        <v>517</v>
      </c>
      <c r="W107">
        <v>106</v>
      </c>
    </row>
    <row r="108" spans="1:23" ht="15" customHeight="1" x14ac:dyDescent="0.25">
      <c r="A108">
        <f t="shared" si="1"/>
        <v>129</v>
      </c>
      <c r="B108" t="s">
        <v>740</v>
      </c>
      <c r="C108" t="s">
        <v>47</v>
      </c>
      <c r="D108">
        <v>24</v>
      </c>
      <c r="E1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8">
        <f ca="1">IF(Tabla142[[#This Row],[frecuencia_new]]="Diaria"," ",RANDBETWEEN(1,6))</f>
        <v>1</v>
      </c>
      <c r="G108">
        <f ca="1">IF(Tabla142[[#This Row],[frecuencia_new]]="Diaria","",IF(Tabla142[[#This Row],[frecuencia_new]]="Semanal","",IF(Tabla142[[#This Row],[frecuencia_new]]="Quincenal",RANDBETWEEN(1,2),RANDBETWEEN(1,4))))</f>
        <v>1</v>
      </c>
      <c r="H108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08" t="s">
        <v>46</v>
      </c>
      <c r="K108">
        <f>SUM(MID(Tabla142[[#This Row],[Duración]],1,2)*60,MID(Tabla142[[#This Row],[Duración]],6,2))</f>
        <v>60</v>
      </c>
      <c r="L108" s="4" t="s">
        <v>58</v>
      </c>
      <c r="M108" t="s">
        <v>253</v>
      </c>
      <c r="N108" t="s">
        <v>255</v>
      </c>
      <c r="O108" t="s">
        <v>380</v>
      </c>
      <c r="P108" t="s">
        <v>360</v>
      </c>
      <c r="Q108" s="20">
        <v>46032.649155092593</v>
      </c>
      <c r="R108" t="s">
        <v>5</v>
      </c>
      <c r="T108" t="s">
        <v>540</v>
      </c>
      <c r="V108" t="s">
        <v>518</v>
      </c>
      <c r="W108">
        <v>107</v>
      </c>
    </row>
    <row r="109" spans="1:23" ht="15" customHeight="1" x14ac:dyDescent="0.25">
      <c r="A109">
        <f t="shared" si="1"/>
        <v>129</v>
      </c>
      <c r="B109" t="s">
        <v>741</v>
      </c>
      <c r="C109" t="s">
        <v>47</v>
      </c>
      <c r="D109">
        <v>24</v>
      </c>
      <c r="E1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9">
        <f ca="1">IF(Tabla142[[#This Row],[frecuencia_new]]="Diaria"," ",RANDBETWEEN(1,6))</f>
        <v>5</v>
      </c>
      <c r="G109">
        <f ca="1">IF(Tabla142[[#This Row],[frecuencia_new]]="Diaria","",IF(Tabla142[[#This Row],[frecuencia_new]]="Semanal","",IF(Tabla142[[#This Row],[frecuencia_new]]="Quincenal",RANDBETWEEN(1,2),RANDBETWEEN(1,4))))</f>
        <v>3</v>
      </c>
      <c r="H109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09" t="s">
        <v>52</v>
      </c>
      <c r="K109">
        <f>SUM(MID(Tabla142[[#This Row],[Duración]],1,2)*60,MID(Tabla142[[#This Row],[Duración]],6,2))</f>
        <v>60</v>
      </c>
      <c r="L109" s="4" t="s">
        <v>58</v>
      </c>
      <c r="M109" t="s">
        <v>253</v>
      </c>
      <c r="N109" t="s">
        <v>255</v>
      </c>
      <c r="O109" t="s">
        <v>380</v>
      </c>
      <c r="P109" t="s">
        <v>360</v>
      </c>
      <c r="Q109" s="20">
        <v>46032.649155092593</v>
      </c>
      <c r="R109" t="s">
        <v>5</v>
      </c>
      <c r="T109" t="s">
        <v>540</v>
      </c>
      <c r="V109" t="s">
        <v>519</v>
      </c>
      <c r="W109">
        <v>108</v>
      </c>
    </row>
    <row r="110" spans="1:23" ht="15" customHeight="1" x14ac:dyDescent="0.25">
      <c r="A110">
        <f t="shared" si="1"/>
        <v>129</v>
      </c>
      <c r="B110" t="s">
        <v>742</v>
      </c>
      <c r="C110" t="s">
        <v>47</v>
      </c>
      <c r="D110">
        <v>24</v>
      </c>
      <c r="E1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">
        <f ca="1">IF(Tabla142[[#This Row],[frecuencia_new]]="Diaria"," ",RANDBETWEEN(1,6))</f>
        <v>2</v>
      </c>
      <c r="G110">
        <f ca="1">IF(Tabla142[[#This Row],[frecuencia_new]]="Diaria","",IF(Tabla142[[#This Row],[frecuencia_new]]="Semanal","",IF(Tabla142[[#This Row],[frecuencia_new]]="Quincenal",RANDBETWEEN(1,2),RANDBETWEEN(1,4))))</f>
        <v>2</v>
      </c>
      <c r="H110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10" t="s">
        <v>53</v>
      </c>
      <c r="K110">
        <f>SUM(MID(Tabla142[[#This Row],[Duración]],1,2)*60,MID(Tabla142[[#This Row],[Duración]],6,2))</f>
        <v>60</v>
      </c>
      <c r="L110" s="4" t="s">
        <v>58</v>
      </c>
      <c r="M110" t="s">
        <v>253</v>
      </c>
      <c r="N110" t="s">
        <v>255</v>
      </c>
      <c r="O110" t="s">
        <v>380</v>
      </c>
      <c r="P110" t="s">
        <v>360</v>
      </c>
      <c r="Q110" s="20">
        <v>46032.649155092593</v>
      </c>
      <c r="R110" t="s">
        <v>5</v>
      </c>
      <c r="T110" t="s">
        <v>540</v>
      </c>
      <c r="V110" t="s">
        <v>520</v>
      </c>
      <c r="W110">
        <v>109</v>
      </c>
    </row>
    <row r="111" spans="1:23" ht="15" customHeight="1" x14ac:dyDescent="0.25">
      <c r="A111">
        <f t="shared" si="1"/>
        <v>129</v>
      </c>
      <c r="B111" t="s">
        <v>743</v>
      </c>
      <c r="C111" t="s">
        <v>47</v>
      </c>
      <c r="D111">
        <v>24</v>
      </c>
      <c r="E1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1">
        <f ca="1">IF(Tabla142[[#This Row],[frecuencia_new]]="Diaria"," ",RANDBETWEEN(1,6))</f>
        <v>4</v>
      </c>
      <c r="G111">
        <f ca="1">IF(Tabla142[[#This Row],[frecuencia_new]]="Diaria","",IF(Tabla142[[#This Row],[frecuencia_new]]="Semanal","",IF(Tabla142[[#This Row],[frecuencia_new]]="Quincenal",RANDBETWEEN(1,2),RANDBETWEEN(1,4))))</f>
        <v>4</v>
      </c>
      <c r="H111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1" t="s">
        <v>209</v>
      </c>
      <c r="K111">
        <f>SUM(MID(Tabla142[[#This Row],[Duración]],1,2)*60,MID(Tabla142[[#This Row],[Duración]],6,2))</f>
        <v>80</v>
      </c>
      <c r="L111" s="4" t="s">
        <v>210</v>
      </c>
      <c r="M111" t="s">
        <v>253</v>
      </c>
      <c r="N111" t="s">
        <v>255</v>
      </c>
      <c r="O111" t="s">
        <v>380</v>
      </c>
      <c r="P111" t="s">
        <v>360</v>
      </c>
      <c r="Q111" s="20">
        <v>46032.649155092593</v>
      </c>
      <c r="R111" t="s">
        <v>5</v>
      </c>
      <c r="T111" t="s">
        <v>540</v>
      </c>
      <c r="V111" t="s">
        <v>521</v>
      </c>
      <c r="W111">
        <v>110</v>
      </c>
    </row>
    <row r="112" spans="1:23" ht="15" customHeight="1" x14ac:dyDescent="0.25">
      <c r="A112">
        <f t="shared" si="1"/>
        <v>129</v>
      </c>
      <c r="B112" t="s">
        <v>744</v>
      </c>
      <c r="C112" t="s">
        <v>47</v>
      </c>
      <c r="D112">
        <v>24</v>
      </c>
      <c r="E1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2">
        <f ca="1">IF(Tabla142[[#This Row],[frecuencia_new]]="Diaria"," ",RANDBETWEEN(1,6))</f>
        <v>4</v>
      </c>
      <c r="G112">
        <f ca="1">IF(Tabla142[[#This Row],[frecuencia_new]]="Diaria","",IF(Tabla142[[#This Row],[frecuencia_new]]="Semanal","",IF(Tabla142[[#This Row],[frecuencia_new]]="Quincenal",RANDBETWEEN(1,2),RANDBETWEEN(1,4))))</f>
        <v>3</v>
      </c>
      <c r="H112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12" t="s">
        <v>64</v>
      </c>
      <c r="K112">
        <f>SUM(MID(Tabla142[[#This Row],[Duración]],1,2)*60,MID(Tabla142[[#This Row],[Duración]],6,2))</f>
        <v>80</v>
      </c>
      <c r="L112" s="4" t="s">
        <v>210</v>
      </c>
      <c r="M112" t="s">
        <v>253</v>
      </c>
      <c r="N112" t="s">
        <v>255</v>
      </c>
      <c r="O112" t="s">
        <v>380</v>
      </c>
      <c r="P112" t="s">
        <v>360</v>
      </c>
      <c r="Q112" s="20">
        <v>46032.649155092593</v>
      </c>
      <c r="R112" t="s">
        <v>5</v>
      </c>
      <c r="T112" t="s">
        <v>540</v>
      </c>
      <c r="V112" t="s">
        <v>522</v>
      </c>
      <c r="W112">
        <v>111</v>
      </c>
    </row>
    <row r="113" spans="1:23" ht="15" customHeight="1" x14ac:dyDescent="0.25">
      <c r="A113">
        <f t="shared" si="1"/>
        <v>129</v>
      </c>
      <c r="B113" t="s">
        <v>745</v>
      </c>
      <c r="C113" t="s">
        <v>47</v>
      </c>
      <c r="D113">
        <v>24</v>
      </c>
      <c r="E1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3">
        <f ca="1">IF(Tabla142[[#This Row],[frecuencia_new]]="Diaria"," ",RANDBETWEEN(1,6))</f>
        <v>1</v>
      </c>
      <c r="G113">
        <f ca="1">IF(Tabla142[[#This Row],[frecuencia_new]]="Diaria","",IF(Tabla142[[#This Row],[frecuencia_new]]="Semanal","",IF(Tabla142[[#This Row],[frecuencia_new]]="Quincenal",RANDBETWEEN(1,2),RANDBETWEEN(1,4))))</f>
        <v>1</v>
      </c>
      <c r="H113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13" t="s">
        <v>46</v>
      </c>
      <c r="K113">
        <f>SUM(MID(Tabla142[[#This Row],[Duración]],1,2)*60,MID(Tabla142[[#This Row],[Duración]],6,2))</f>
        <v>60</v>
      </c>
      <c r="L113" s="4" t="s">
        <v>58</v>
      </c>
      <c r="M113" t="s">
        <v>253</v>
      </c>
      <c r="N113" t="s">
        <v>255</v>
      </c>
      <c r="O113" t="s">
        <v>380</v>
      </c>
      <c r="P113" t="s">
        <v>360</v>
      </c>
      <c r="Q113" s="20">
        <v>46032.649155092593</v>
      </c>
      <c r="R113" t="s">
        <v>5</v>
      </c>
      <c r="T113" t="s">
        <v>540</v>
      </c>
      <c r="V113" t="s">
        <v>523</v>
      </c>
      <c r="W113">
        <v>112</v>
      </c>
    </row>
    <row r="114" spans="1:23" ht="15" customHeight="1" x14ac:dyDescent="0.25">
      <c r="A114">
        <f t="shared" si="1"/>
        <v>129</v>
      </c>
      <c r="B114" t="s">
        <v>746</v>
      </c>
      <c r="C114" t="s">
        <v>47</v>
      </c>
      <c r="D114">
        <v>24</v>
      </c>
      <c r="E1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4">
        <f ca="1">IF(Tabla142[[#This Row],[frecuencia_new]]="Diaria"," ",RANDBETWEEN(1,6))</f>
        <v>5</v>
      </c>
      <c r="G114">
        <f ca="1">IF(Tabla142[[#This Row],[frecuencia_new]]="Diaria","",IF(Tabla142[[#This Row],[frecuencia_new]]="Semanal","",IF(Tabla142[[#This Row],[frecuencia_new]]="Quincenal",RANDBETWEEN(1,2),RANDBETWEEN(1,4))))</f>
        <v>4</v>
      </c>
      <c r="H114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14" t="s">
        <v>52</v>
      </c>
      <c r="K114">
        <f>SUM(MID(Tabla142[[#This Row],[Duración]],1,2)*60,MID(Tabla142[[#This Row],[Duración]],6,2))</f>
        <v>60</v>
      </c>
      <c r="L114" s="4" t="s">
        <v>58</v>
      </c>
      <c r="M114" t="s">
        <v>253</v>
      </c>
      <c r="N114" t="s">
        <v>255</v>
      </c>
      <c r="O114" t="s">
        <v>380</v>
      </c>
      <c r="P114" t="s">
        <v>360</v>
      </c>
      <c r="Q114" s="20">
        <v>46032.649155092593</v>
      </c>
      <c r="R114" t="s">
        <v>5</v>
      </c>
      <c r="T114" t="s">
        <v>540</v>
      </c>
      <c r="V114" t="s">
        <v>524</v>
      </c>
      <c r="W114">
        <v>113</v>
      </c>
    </row>
    <row r="115" spans="1:23" ht="15" customHeight="1" x14ac:dyDescent="0.25">
      <c r="A115">
        <f t="shared" si="1"/>
        <v>129</v>
      </c>
      <c r="B115" t="s">
        <v>747</v>
      </c>
      <c r="C115" t="s">
        <v>47</v>
      </c>
      <c r="D115">
        <v>24</v>
      </c>
      <c r="E1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5">
        <f ca="1">IF(Tabla142[[#This Row],[frecuencia_new]]="Diaria"," ",RANDBETWEEN(1,6))</f>
        <v>4</v>
      </c>
      <c r="G115">
        <f ca="1">IF(Tabla142[[#This Row],[frecuencia_new]]="Diaria","",IF(Tabla142[[#This Row],[frecuencia_new]]="Semanal","",IF(Tabla142[[#This Row],[frecuencia_new]]="Quincenal",RANDBETWEEN(1,2),RANDBETWEEN(1,4))))</f>
        <v>4</v>
      </c>
      <c r="H115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5" t="s">
        <v>53</v>
      </c>
      <c r="K115">
        <f>SUM(MID(Tabla142[[#This Row],[Duración]],1,2)*60,MID(Tabla142[[#This Row],[Duración]],6,2))</f>
        <v>60</v>
      </c>
      <c r="L115" s="4" t="s">
        <v>58</v>
      </c>
      <c r="M115" t="s">
        <v>253</v>
      </c>
      <c r="N115" t="s">
        <v>255</v>
      </c>
      <c r="O115" t="s">
        <v>380</v>
      </c>
      <c r="P115" t="s">
        <v>360</v>
      </c>
      <c r="Q115" s="20">
        <v>46032.649155092593</v>
      </c>
      <c r="R115" t="s">
        <v>5</v>
      </c>
      <c r="T115" t="s">
        <v>540</v>
      </c>
      <c r="V115" t="s">
        <v>525</v>
      </c>
      <c r="W115">
        <v>114</v>
      </c>
    </row>
    <row r="116" spans="1:23" ht="15" customHeight="1" x14ac:dyDescent="0.25">
      <c r="A116">
        <f t="shared" si="1"/>
        <v>129</v>
      </c>
      <c r="B116" t="s">
        <v>748</v>
      </c>
      <c r="C116" t="s">
        <v>47</v>
      </c>
      <c r="D116">
        <v>24</v>
      </c>
      <c r="E1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6">
        <f ca="1">IF(Tabla142[[#This Row],[frecuencia_new]]="Diaria"," ",RANDBETWEEN(1,6))</f>
        <v>4</v>
      </c>
      <c r="G116">
        <f ca="1">IF(Tabla142[[#This Row],[frecuencia_new]]="Diaria","",IF(Tabla142[[#This Row],[frecuencia_new]]="Semanal","",IF(Tabla142[[#This Row],[frecuencia_new]]="Quincenal",RANDBETWEEN(1,2),RANDBETWEEN(1,4))))</f>
        <v>3</v>
      </c>
      <c r="H116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16" t="s">
        <v>209</v>
      </c>
      <c r="K116">
        <f>SUM(MID(Tabla142[[#This Row],[Duración]],1,2)*60,MID(Tabla142[[#This Row],[Duración]],6,2))</f>
        <v>80</v>
      </c>
      <c r="L116" s="4" t="s">
        <v>210</v>
      </c>
      <c r="M116" t="s">
        <v>253</v>
      </c>
      <c r="N116" t="s">
        <v>255</v>
      </c>
      <c r="O116" t="s">
        <v>380</v>
      </c>
      <c r="P116" t="s">
        <v>360</v>
      </c>
      <c r="Q116" s="20">
        <v>46032.649155092593</v>
      </c>
      <c r="R116" t="s">
        <v>5</v>
      </c>
      <c r="T116" t="s">
        <v>540</v>
      </c>
      <c r="V116" t="s">
        <v>526</v>
      </c>
      <c r="W116">
        <v>115</v>
      </c>
    </row>
    <row r="117" spans="1:23" ht="15" customHeight="1" x14ac:dyDescent="0.25">
      <c r="A117">
        <f t="shared" si="1"/>
        <v>129</v>
      </c>
      <c r="B117" t="s">
        <v>749</v>
      </c>
      <c r="C117" t="s">
        <v>47</v>
      </c>
      <c r="D117">
        <v>24</v>
      </c>
      <c r="E1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7">
        <f ca="1">IF(Tabla142[[#This Row],[frecuencia_new]]="Diaria"," ",RANDBETWEEN(1,6))</f>
        <v>4</v>
      </c>
      <c r="G117">
        <f ca="1">IF(Tabla142[[#This Row],[frecuencia_new]]="Diaria","",IF(Tabla142[[#This Row],[frecuencia_new]]="Semanal","",IF(Tabla142[[#This Row],[frecuencia_new]]="Quincenal",RANDBETWEEN(1,2),RANDBETWEEN(1,4))))</f>
        <v>2</v>
      </c>
      <c r="H117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17" t="s">
        <v>64</v>
      </c>
      <c r="K117">
        <f>SUM(MID(Tabla142[[#This Row],[Duración]],1,2)*60,MID(Tabla142[[#This Row],[Duración]],6,2))</f>
        <v>80</v>
      </c>
      <c r="L117" s="4" t="s">
        <v>210</v>
      </c>
      <c r="M117" t="s">
        <v>253</v>
      </c>
      <c r="N117" t="s">
        <v>255</v>
      </c>
      <c r="O117" t="s">
        <v>380</v>
      </c>
      <c r="P117" t="s">
        <v>360</v>
      </c>
      <c r="Q117" s="20">
        <v>46032.649155092593</v>
      </c>
      <c r="R117" t="s">
        <v>5</v>
      </c>
      <c r="T117" t="s">
        <v>540</v>
      </c>
      <c r="V117" t="s">
        <v>527</v>
      </c>
      <c r="W117">
        <v>116</v>
      </c>
    </row>
    <row r="118" spans="1:23" ht="15" customHeight="1" x14ac:dyDescent="0.25">
      <c r="A118">
        <f t="shared" si="1"/>
        <v>129</v>
      </c>
      <c r="B118" t="s">
        <v>750</v>
      </c>
      <c r="C118" t="s">
        <v>47</v>
      </c>
      <c r="D118">
        <v>24</v>
      </c>
      <c r="E1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8">
        <f ca="1">IF(Tabla142[[#This Row],[frecuencia_new]]="Diaria"," ",RANDBETWEEN(1,6))</f>
        <v>5</v>
      </c>
      <c r="G118">
        <f ca="1">IF(Tabla142[[#This Row],[frecuencia_new]]="Diaria","",IF(Tabla142[[#This Row],[frecuencia_new]]="Semanal","",IF(Tabla142[[#This Row],[frecuencia_new]]="Quincenal",RANDBETWEEN(1,2),RANDBETWEEN(1,4))))</f>
        <v>1</v>
      </c>
      <c r="H118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18" t="s">
        <v>46</v>
      </c>
      <c r="K118">
        <f>SUM(MID(Tabla142[[#This Row],[Duración]],1,2)*60,MID(Tabla142[[#This Row],[Duración]],6,2))</f>
        <v>60</v>
      </c>
      <c r="L118" s="4" t="s">
        <v>58</v>
      </c>
      <c r="M118" t="s">
        <v>253</v>
      </c>
      <c r="N118" t="s">
        <v>255</v>
      </c>
      <c r="O118" t="s">
        <v>380</v>
      </c>
      <c r="P118" t="s">
        <v>360</v>
      </c>
      <c r="Q118" s="20">
        <v>46032.649155092593</v>
      </c>
      <c r="R118" t="s">
        <v>5</v>
      </c>
      <c r="T118" t="s">
        <v>540</v>
      </c>
      <c r="V118" t="s">
        <v>528</v>
      </c>
      <c r="W118">
        <v>117</v>
      </c>
    </row>
    <row r="119" spans="1:23" ht="15" customHeight="1" x14ac:dyDescent="0.25">
      <c r="A119">
        <f t="shared" si="1"/>
        <v>129</v>
      </c>
      <c r="B119" t="s">
        <v>751</v>
      </c>
      <c r="C119" t="s">
        <v>47</v>
      </c>
      <c r="D119">
        <v>24</v>
      </c>
      <c r="E1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9">
        <f ca="1">IF(Tabla142[[#This Row],[frecuencia_new]]="Diaria"," ",RANDBETWEEN(1,6))</f>
        <v>4</v>
      </c>
      <c r="G119">
        <f ca="1">IF(Tabla142[[#This Row],[frecuencia_new]]="Diaria","",IF(Tabla142[[#This Row],[frecuencia_new]]="Semanal","",IF(Tabla142[[#This Row],[frecuencia_new]]="Quincenal",RANDBETWEEN(1,2),RANDBETWEEN(1,4))))</f>
        <v>3</v>
      </c>
      <c r="H11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9" t="s">
        <v>52</v>
      </c>
      <c r="K119">
        <f>SUM(MID(Tabla142[[#This Row],[Duración]],1,2)*60,MID(Tabla142[[#This Row],[Duración]],6,2))</f>
        <v>60</v>
      </c>
      <c r="L119" s="4" t="s">
        <v>58</v>
      </c>
      <c r="M119" t="s">
        <v>253</v>
      </c>
      <c r="N119" t="s">
        <v>255</v>
      </c>
      <c r="O119" t="s">
        <v>380</v>
      </c>
      <c r="P119" t="s">
        <v>360</v>
      </c>
      <c r="Q119" s="20">
        <v>46032.649155092593</v>
      </c>
      <c r="R119" t="s">
        <v>5</v>
      </c>
      <c r="T119" t="s">
        <v>540</v>
      </c>
      <c r="V119" t="s">
        <v>529</v>
      </c>
      <c r="W119">
        <v>118</v>
      </c>
    </row>
    <row r="120" spans="1:23" ht="15" customHeight="1" x14ac:dyDescent="0.25">
      <c r="A120">
        <f t="shared" si="1"/>
        <v>129</v>
      </c>
      <c r="B120" t="s">
        <v>752</v>
      </c>
      <c r="C120" t="s">
        <v>47</v>
      </c>
      <c r="D120">
        <v>24</v>
      </c>
      <c r="E1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0">
        <f ca="1">IF(Tabla142[[#This Row],[frecuencia_new]]="Diaria"," ",RANDBETWEEN(1,6))</f>
        <v>1</v>
      </c>
      <c r="G120">
        <f ca="1">IF(Tabla142[[#This Row],[frecuencia_new]]="Diaria","",IF(Tabla142[[#This Row],[frecuencia_new]]="Semanal","",IF(Tabla142[[#This Row],[frecuencia_new]]="Quincenal",RANDBETWEEN(1,2),RANDBETWEEN(1,4))))</f>
        <v>2</v>
      </c>
      <c r="H12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20" t="s">
        <v>53</v>
      </c>
      <c r="K120">
        <f>SUM(MID(Tabla142[[#This Row],[Duración]],1,2)*60,MID(Tabla142[[#This Row],[Duración]],6,2))</f>
        <v>60</v>
      </c>
      <c r="L120" s="4" t="s">
        <v>58</v>
      </c>
      <c r="M120" t="s">
        <v>253</v>
      </c>
      <c r="N120" t="s">
        <v>255</v>
      </c>
      <c r="O120" t="s">
        <v>380</v>
      </c>
      <c r="P120" t="s">
        <v>360</v>
      </c>
      <c r="Q120" s="20">
        <v>46032.649155092593</v>
      </c>
      <c r="R120" t="s">
        <v>5</v>
      </c>
      <c r="T120" t="s">
        <v>540</v>
      </c>
      <c r="V120" t="s">
        <v>530</v>
      </c>
      <c r="W120">
        <v>119</v>
      </c>
    </row>
    <row r="121" spans="1:23" ht="15" customHeight="1" x14ac:dyDescent="0.25">
      <c r="A121">
        <f t="shared" si="1"/>
        <v>129</v>
      </c>
      <c r="B121" t="s">
        <v>753</v>
      </c>
      <c r="C121" t="s">
        <v>47</v>
      </c>
      <c r="D121">
        <v>24</v>
      </c>
      <c r="E1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1">
        <f ca="1">IF(Tabla142[[#This Row],[frecuencia_new]]="Diaria"," ",RANDBETWEEN(1,6))</f>
        <v>5</v>
      </c>
      <c r="G121">
        <f ca="1">IF(Tabla142[[#This Row],[frecuencia_new]]="Diaria","",IF(Tabla142[[#This Row],[frecuencia_new]]="Semanal","",IF(Tabla142[[#This Row],[frecuencia_new]]="Quincenal",RANDBETWEEN(1,2),RANDBETWEEN(1,4))))</f>
        <v>3</v>
      </c>
      <c r="H121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21" t="s">
        <v>64</v>
      </c>
      <c r="K121">
        <f>SUM(MID(Tabla142[[#This Row],[Duración]],1,2)*60,MID(Tabla142[[#This Row],[Duración]],6,2))</f>
        <v>60</v>
      </c>
      <c r="L121" s="4" t="s">
        <v>58</v>
      </c>
      <c r="M121" t="s">
        <v>253</v>
      </c>
      <c r="N121" t="s">
        <v>255</v>
      </c>
      <c r="O121" t="s">
        <v>380</v>
      </c>
      <c r="P121" t="s">
        <v>360</v>
      </c>
      <c r="Q121" s="20">
        <v>46032.649155092593</v>
      </c>
      <c r="R121" t="s">
        <v>5</v>
      </c>
      <c r="T121" t="s">
        <v>540</v>
      </c>
      <c r="V121" t="s">
        <v>531</v>
      </c>
      <c r="W121">
        <v>120</v>
      </c>
    </row>
    <row r="122" spans="1:23" ht="15" customHeight="1" x14ac:dyDescent="0.25">
      <c r="A122">
        <f t="shared" si="1"/>
        <v>100</v>
      </c>
      <c r="B122" t="s">
        <v>754</v>
      </c>
      <c r="C122" t="s">
        <v>47</v>
      </c>
      <c r="D122">
        <v>35</v>
      </c>
      <c r="E1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22" t="str">
        <f ca="1">IF(Tabla142[[#This Row],[frecuencia_new]]="Diaria"," ",RANDBETWEEN(1,6))</f>
        <v xml:space="preserve"> </v>
      </c>
      <c r="G122" t="str">
        <f ca="1">IF(Tabla142[[#This Row],[frecuencia_new]]="Diaria","",IF(Tabla142[[#This Row],[frecuencia_new]]="Semanal","",IF(Tabla142[[#This Row],[frecuencia_new]]="Quincenal",RANDBETWEEN(1,2),RANDBETWEEN(1,4))))</f>
        <v/>
      </c>
      <c r="H1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2" t="s">
        <v>221</v>
      </c>
      <c r="K122">
        <f>SUM(MID(Tabla142[[#This Row],[Duración]],1,2)*60,MID(Tabla142[[#This Row],[Duración]],6,2))</f>
        <v>2</v>
      </c>
      <c r="L122" s="4" t="s">
        <v>60</v>
      </c>
      <c r="M122" t="s">
        <v>253</v>
      </c>
      <c r="N122" t="s">
        <v>255</v>
      </c>
      <c r="O122" t="s">
        <v>401</v>
      </c>
      <c r="P122" t="s">
        <v>361</v>
      </c>
      <c r="Q122" s="20">
        <v>46032.649155092593</v>
      </c>
      <c r="R122" t="s">
        <v>6</v>
      </c>
      <c r="T122" t="s">
        <v>511</v>
      </c>
      <c r="V122" t="s">
        <v>532</v>
      </c>
      <c r="W122">
        <v>121</v>
      </c>
    </row>
    <row r="123" spans="1:23" ht="15" customHeight="1" x14ac:dyDescent="0.25">
      <c r="A123">
        <f t="shared" si="1"/>
        <v>100</v>
      </c>
      <c r="B123" t="s">
        <v>755</v>
      </c>
      <c r="C123" t="s">
        <v>47</v>
      </c>
      <c r="D123">
        <v>35</v>
      </c>
      <c r="E1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23" t="str">
        <f ca="1">IF(Tabla142[[#This Row],[frecuencia_new]]="Diaria"," ",RANDBETWEEN(1,6))</f>
        <v xml:space="preserve"> </v>
      </c>
      <c r="G123" t="str">
        <f ca="1">IF(Tabla142[[#This Row],[frecuencia_new]]="Diaria","",IF(Tabla142[[#This Row],[frecuencia_new]]="Semanal","",IF(Tabla142[[#This Row],[frecuencia_new]]="Quincenal",RANDBETWEEN(1,2),RANDBETWEEN(1,4))))</f>
        <v/>
      </c>
      <c r="H1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3" t="s">
        <v>216</v>
      </c>
      <c r="K123">
        <f>SUM(MID(Tabla142[[#This Row],[Duración]],1,2)*60,MID(Tabla142[[#This Row],[Duración]],6,2))</f>
        <v>5</v>
      </c>
      <c r="L123" s="4" t="s">
        <v>50</v>
      </c>
      <c r="M123" t="s">
        <v>253</v>
      </c>
      <c r="N123" t="s">
        <v>255</v>
      </c>
      <c r="O123" t="s">
        <v>401</v>
      </c>
      <c r="P123" t="s">
        <v>361</v>
      </c>
      <c r="Q123" s="20">
        <v>46032.649155092593</v>
      </c>
      <c r="R123" t="s">
        <v>6</v>
      </c>
      <c r="T123" t="s">
        <v>511</v>
      </c>
      <c r="V123" t="s">
        <v>533</v>
      </c>
      <c r="W123">
        <v>122</v>
      </c>
    </row>
    <row r="124" spans="1:23" ht="15" customHeight="1" x14ac:dyDescent="0.25">
      <c r="A124">
        <f t="shared" si="1"/>
        <v>108</v>
      </c>
      <c r="B124" t="s">
        <v>756</v>
      </c>
      <c r="C124" t="s">
        <v>47</v>
      </c>
      <c r="D124">
        <v>35</v>
      </c>
      <c r="E1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24">
        <f ca="1">IF(Tabla142[[#This Row],[frecuencia_new]]="Diaria"," ",RANDBETWEEN(1,6))</f>
        <v>4</v>
      </c>
      <c r="G124" t="str">
        <f ca="1">IF(Tabla142[[#This Row],[frecuencia_new]]="Diaria","",IF(Tabla142[[#This Row],[frecuencia_new]]="Semanal","",IF(Tabla142[[#This Row],[frecuencia_new]]="Quincenal",RANDBETWEEN(1,2),RANDBETWEEN(1,4))))</f>
        <v/>
      </c>
      <c r="H1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4" t="s">
        <v>218</v>
      </c>
      <c r="K124">
        <f>SUM(MID(Tabla142[[#This Row],[Duración]],1,2)*60,MID(Tabla142[[#This Row],[Duración]],6,2))</f>
        <v>10</v>
      </c>
      <c r="L124" s="4" t="s">
        <v>71</v>
      </c>
      <c r="M124" t="s">
        <v>253</v>
      </c>
      <c r="N124" t="s">
        <v>255</v>
      </c>
      <c r="O124" t="s">
        <v>392</v>
      </c>
      <c r="P124" t="s">
        <v>363</v>
      </c>
      <c r="Q124" s="20">
        <v>46032.649155092593</v>
      </c>
      <c r="R124" t="s">
        <v>8</v>
      </c>
      <c r="T124" t="s">
        <v>519</v>
      </c>
      <c r="V124" t="s">
        <v>534</v>
      </c>
      <c r="W124">
        <v>123</v>
      </c>
    </row>
    <row r="125" spans="1:23" ht="15" customHeight="1" x14ac:dyDescent="0.25">
      <c r="A125">
        <f t="shared" si="1"/>
        <v>108</v>
      </c>
      <c r="B125" t="s">
        <v>757</v>
      </c>
      <c r="C125" t="s">
        <v>47</v>
      </c>
      <c r="D125">
        <v>35</v>
      </c>
      <c r="E1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25">
        <f ca="1">IF(Tabla142[[#This Row],[frecuencia_new]]="Diaria"," ",RANDBETWEEN(1,6))</f>
        <v>3</v>
      </c>
      <c r="G125" t="str">
        <f ca="1">IF(Tabla142[[#This Row],[frecuencia_new]]="Diaria","",IF(Tabla142[[#This Row],[frecuencia_new]]="Semanal","",IF(Tabla142[[#This Row],[frecuencia_new]]="Quincenal",RANDBETWEEN(1,2),RANDBETWEEN(1,4))))</f>
        <v/>
      </c>
      <c r="H1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5" t="s">
        <v>219</v>
      </c>
      <c r="K125">
        <f>SUM(MID(Tabla142[[#This Row],[Duración]],1,2)*60,MID(Tabla142[[#This Row],[Duración]],6,2))</f>
        <v>10</v>
      </c>
      <c r="L125" s="4" t="s">
        <v>71</v>
      </c>
      <c r="M125" t="s">
        <v>253</v>
      </c>
      <c r="N125" t="s">
        <v>255</v>
      </c>
      <c r="O125" t="s">
        <v>392</v>
      </c>
      <c r="P125" t="s">
        <v>363</v>
      </c>
      <c r="Q125" s="20">
        <v>46032.649155092593</v>
      </c>
      <c r="R125" t="s">
        <v>8</v>
      </c>
      <c r="T125" t="s">
        <v>519</v>
      </c>
      <c r="V125" t="s">
        <v>535</v>
      </c>
      <c r="W125">
        <v>124</v>
      </c>
    </row>
    <row r="126" spans="1:23" ht="15" customHeight="1" x14ac:dyDescent="0.25">
      <c r="A126">
        <f t="shared" si="1"/>
        <v>108</v>
      </c>
      <c r="B126" t="s">
        <v>758</v>
      </c>
      <c r="C126" t="s">
        <v>47</v>
      </c>
      <c r="D126">
        <v>35</v>
      </c>
      <c r="E1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26">
        <f ca="1">IF(Tabla142[[#This Row],[frecuencia_new]]="Diaria"," ",RANDBETWEEN(1,6))</f>
        <v>3</v>
      </c>
      <c r="G126">
        <f ca="1">IF(Tabla142[[#This Row],[frecuencia_new]]="Diaria","",IF(Tabla142[[#This Row],[frecuencia_new]]="Semanal","",IF(Tabla142[[#This Row],[frecuencia_new]]="Quincenal",RANDBETWEEN(1,2),RANDBETWEEN(1,4))))</f>
        <v>3</v>
      </c>
      <c r="H1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6" t="s">
        <v>220</v>
      </c>
      <c r="K126">
        <f>SUM(MID(Tabla142[[#This Row],[Duración]],1,2)*60,MID(Tabla142[[#This Row],[Duración]],6,2))</f>
        <v>10</v>
      </c>
      <c r="L126" s="4" t="s">
        <v>71</v>
      </c>
      <c r="M126" t="s">
        <v>253</v>
      </c>
      <c r="N126" t="s">
        <v>255</v>
      </c>
      <c r="O126" t="s">
        <v>392</v>
      </c>
      <c r="P126" t="s">
        <v>363</v>
      </c>
      <c r="Q126" s="20">
        <v>46032.649155092593</v>
      </c>
      <c r="R126" t="s">
        <v>7</v>
      </c>
      <c r="T126" t="s">
        <v>519</v>
      </c>
      <c r="V126" t="s">
        <v>536</v>
      </c>
      <c r="W126">
        <v>125</v>
      </c>
    </row>
    <row r="127" spans="1:23" ht="15" customHeight="1" x14ac:dyDescent="0.25">
      <c r="A127">
        <f t="shared" si="1"/>
        <v>108</v>
      </c>
      <c r="B127" t="s">
        <v>759</v>
      </c>
      <c r="C127" t="s">
        <v>47</v>
      </c>
      <c r="D127">
        <v>35</v>
      </c>
      <c r="E1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27">
        <f ca="1">IF(Tabla142[[#This Row],[frecuencia_new]]="Diaria"," ",RANDBETWEEN(1,6))</f>
        <v>4</v>
      </c>
      <c r="G127">
        <f ca="1">IF(Tabla142[[#This Row],[frecuencia_new]]="Diaria","",IF(Tabla142[[#This Row],[frecuencia_new]]="Semanal","",IF(Tabla142[[#This Row],[frecuencia_new]]="Quincenal",RANDBETWEEN(1,2),RANDBETWEEN(1,4))))</f>
        <v>4</v>
      </c>
      <c r="H1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7" t="s">
        <v>213</v>
      </c>
      <c r="K127">
        <f>SUM(MID(Tabla142[[#This Row],[Duración]],1,2)*60,MID(Tabla142[[#This Row],[Duración]],6,2))</f>
        <v>10</v>
      </c>
      <c r="L127" s="4" t="s">
        <v>71</v>
      </c>
      <c r="M127" t="s">
        <v>253</v>
      </c>
      <c r="N127" t="s">
        <v>255</v>
      </c>
      <c r="O127" t="s">
        <v>392</v>
      </c>
      <c r="P127" t="s">
        <v>363</v>
      </c>
      <c r="Q127" s="20">
        <v>46032.649155092593</v>
      </c>
      <c r="R127" t="s">
        <v>7</v>
      </c>
      <c r="T127" t="s">
        <v>519</v>
      </c>
      <c r="V127" t="s">
        <v>537</v>
      </c>
      <c r="W127">
        <v>126</v>
      </c>
    </row>
    <row r="128" spans="1:23" ht="15" customHeight="1" x14ac:dyDescent="0.25">
      <c r="A128">
        <f t="shared" si="1"/>
        <v>108</v>
      </c>
      <c r="B128" t="s">
        <v>760</v>
      </c>
      <c r="C128" t="s">
        <v>47</v>
      </c>
      <c r="D128">
        <v>35</v>
      </c>
      <c r="E1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28">
        <f ca="1">IF(Tabla142[[#This Row],[frecuencia_new]]="Diaria"," ",RANDBETWEEN(1,6))</f>
        <v>4</v>
      </c>
      <c r="G128" t="str">
        <f ca="1">IF(Tabla142[[#This Row],[frecuencia_new]]="Diaria","",IF(Tabla142[[#This Row],[frecuencia_new]]="Semanal","",IF(Tabla142[[#This Row],[frecuencia_new]]="Quincenal",RANDBETWEEN(1,2),RANDBETWEEN(1,4))))</f>
        <v/>
      </c>
      <c r="H12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8" t="s">
        <v>172</v>
      </c>
      <c r="K128">
        <f>SUM(MID(Tabla142[[#This Row],[Duración]],1,2)*60,MID(Tabla142[[#This Row],[Duración]],6,2))</f>
        <v>10</v>
      </c>
      <c r="L128" s="4" t="s">
        <v>71</v>
      </c>
      <c r="M128" t="s">
        <v>253</v>
      </c>
      <c r="N128" t="s">
        <v>255</v>
      </c>
      <c r="O128" t="s">
        <v>392</v>
      </c>
      <c r="P128" t="s">
        <v>363</v>
      </c>
      <c r="Q128" s="20">
        <v>46032.649155092593</v>
      </c>
      <c r="R128" t="s">
        <v>8</v>
      </c>
      <c r="T128" t="s">
        <v>519</v>
      </c>
      <c r="V128" t="s">
        <v>538</v>
      </c>
      <c r="W128">
        <v>127</v>
      </c>
    </row>
    <row r="129" spans="1:23" ht="15" customHeight="1" x14ac:dyDescent="0.25">
      <c r="A129">
        <f t="shared" si="1"/>
        <v>135</v>
      </c>
      <c r="B129" t="s">
        <v>761</v>
      </c>
      <c r="C129" t="s">
        <v>47</v>
      </c>
      <c r="D129">
        <v>35</v>
      </c>
      <c r="E1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9">
        <f ca="1">IF(Tabla142[[#This Row],[frecuencia_new]]="Diaria"," ",RANDBETWEEN(1,6))</f>
        <v>3</v>
      </c>
      <c r="G129">
        <f ca="1">IF(Tabla142[[#This Row],[frecuencia_new]]="Diaria","",IF(Tabla142[[#This Row],[frecuencia_new]]="Semanal","",IF(Tabla142[[#This Row],[frecuencia_new]]="Quincenal",RANDBETWEEN(1,2),RANDBETWEEN(1,4))))</f>
        <v>1</v>
      </c>
      <c r="H129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29" t="s">
        <v>46</v>
      </c>
      <c r="K129">
        <f>SUM(MID(Tabla142[[#This Row],[Duración]],1,2)*60,MID(Tabla142[[#This Row],[Duración]],6,2))</f>
        <v>30</v>
      </c>
      <c r="L129" s="4" t="s">
        <v>48</v>
      </c>
      <c r="M129" t="s">
        <v>253</v>
      </c>
      <c r="N129" t="s">
        <v>255</v>
      </c>
      <c r="O129" t="s">
        <v>380</v>
      </c>
      <c r="P129" t="s">
        <v>360</v>
      </c>
      <c r="Q129" s="20">
        <v>46032.649155092593</v>
      </c>
      <c r="R129" t="s">
        <v>5</v>
      </c>
      <c r="T129" t="s">
        <v>546</v>
      </c>
      <c r="V129" t="s">
        <v>539</v>
      </c>
      <c r="W129">
        <v>128</v>
      </c>
    </row>
    <row r="130" spans="1:23" ht="15" customHeight="1" x14ac:dyDescent="0.25">
      <c r="A130">
        <f t="shared" ref="A130:A193" si="2">VLOOKUP(T130,$V$2:$W$222,2,FALSE)</f>
        <v>135</v>
      </c>
      <c r="B130" t="s">
        <v>762</v>
      </c>
      <c r="C130" t="s">
        <v>47</v>
      </c>
      <c r="D130">
        <v>35</v>
      </c>
      <c r="E1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0">
        <f ca="1">IF(Tabla142[[#This Row],[frecuencia_new]]="Diaria"," ",RANDBETWEEN(1,6))</f>
        <v>4</v>
      </c>
      <c r="G130">
        <f ca="1">IF(Tabla142[[#This Row],[frecuencia_new]]="Diaria","",IF(Tabla142[[#This Row],[frecuencia_new]]="Semanal","",IF(Tabla142[[#This Row],[frecuencia_new]]="Quincenal",RANDBETWEEN(1,2),RANDBETWEEN(1,4))))</f>
        <v>4</v>
      </c>
      <c r="H130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30" t="s">
        <v>53</v>
      </c>
      <c r="K130">
        <f>SUM(MID(Tabla142[[#This Row],[Duración]],1,2)*60,MID(Tabla142[[#This Row],[Duración]],6,2))</f>
        <v>30</v>
      </c>
      <c r="L130" s="4" t="s">
        <v>48</v>
      </c>
      <c r="M130" t="s">
        <v>253</v>
      </c>
      <c r="N130" t="s">
        <v>255</v>
      </c>
      <c r="O130" t="s">
        <v>380</v>
      </c>
      <c r="P130" t="s">
        <v>360</v>
      </c>
      <c r="Q130" s="20">
        <v>46032.649155092593</v>
      </c>
      <c r="R130" t="s">
        <v>5</v>
      </c>
      <c r="T130" t="s">
        <v>546</v>
      </c>
      <c r="V130" t="s">
        <v>540</v>
      </c>
      <c r="W130">
        <v>129</v>
      </c>
    </row>
    <row r="131" spans="1:23" ht="15" customHeight="1" x14ac:dyDescent="0.25">
      <c r="A131">
        <f t="shared" si="2"/>
        <v>135</v>
      </c>
      <c r="B131" t="s">
        <v>763</v>
      </c>
      <c r="C131" t="s">
        <v>47</v>
      </c>
      <c r="D131">
        <v>35</v>
      </c>
      <c r="E1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1">
        <f ca="1">IF(Tabla142[[#This Row],[frecuencia_new]]="Diaria"," ",RANDBETWEEN(1,6))</f>
        <v>4</v>
      </c>
      <c r="G131">
        <f ca="1">IF(Tabla142[[#This Row],[frecuencia_new]]="Diaria","",IF(Tabla142[[#This Row],[frecuencia_new]]="Semanal","",IF(Tabla142[[#This Row],[frecuencia_new]]="Quincenal",RANDBETWEEN(1,2),RANDBETWEEN(1,4))))</f>
        <v>3</v>
      </c>
      <c r="H131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31" t="s">
        <v>217</v>
      </c>
      <c r="K131">
        <f>SUM(MID(Tabla142[[#This Row],[Duración]],1,2)*60,MID(Tabla142[[#This Row],[Duración]],6,2))</f>
        <v>30</v>
      </c>
      <c r="L131" s="4" t="s">
        <v>48</v>
      </c>
      <c r="M131" t="s">
        <v>253</v>
      </c>
      <c r="N131" t="s">
        <v>255</v>
      </c>
      <c r="O131" t="s">
        <v>380</v>
      </c>
      <c r="P131" t="s">
        <v>360</v>
      </c>
      <c r="Q131" s="20">
        <v>46032.649155092593</v>
      </c>
      <c r="R131" t="s">
        <v>5</v>
      </c>
      <c r="T131" t="s">
        <v>546</v>
      </c>
      <c r="V131" t="s">
        <v>541</v>
      </c>
      <c r="W131">
        <v>130</v>
      </c>
    </row>
    <row r="132" spans="1:23" ht="15" customHeight="1" x14ac:dyDescent="0.25">
      <c r="A132">
        <f t="shared" si="2"/>
        <v>135</v>
      </c>
      <c r="B132" t="s">
        <v>764</v>
      </c>
      <c r="C132" t="s">
        <v>47</v>
      </c>
      <c r="D132">
        <v>35</v>
      </c>
      <c r="E1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2">
        <f ca="1">IF(Tabla142[[#This Row],[frecuencia_new]]="Diaria"," ",RANDBETWEEN(1,6))</f>
        <v>5</v>
      </c>
      <c r="G132">
        <f ca="1">IF(Tabla142[[#This Row],[frecuencia_new]]="Diaria","",IF(Tabla142[[#This Row],[frecuencia_new]]="Semanal","",IF(Tabla142[[#This Row],[frecuencia_new]]="Quincenal",RANDBETWEEN(1,2),RANDBETWEEN(1,4))))</f>
        <v>2</v>
      </c>
      <c r="H132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32" t="s">
        <v>56</v>
      </c>
      <c r="K132">
        <f>SUM(MID(Tabla142[[#This Row],[Duración]],1,2)*60,MID(Tabla142[[#This Row],[Duración]],6,2))</f>
        <v>30</v>
      </c>
      <c r="L132" s="4" t="s">
        <v>48</v>
      </c>
      <c r="M132" t="s">
        <v>253</v>
      </c>
      <c r="N132" t="s">
        <v>255</v>
      </c>
      <c r="O132" t="s">
        <v>380</v>
      </c>
      <c r="P132" t="s">
        <v>360</v>
      </c>
      <c r="Q132" s="20">
        <v>46032.649155092593</v>
      </c>
      <c r="R132" t="s">
        <v>5</v>
      </c>
      <c r="T132" t="s">
        <v>546</v>
      </c>
      <c r="V132" t="s">
        <v>542</v>
      </c>
      <c r="W132">
        <v>131</v>
      </c>
    </row>
    <row r="133" spans="1:23" ht="15" customHeight="1" x14ac:dyDescent="0.25">
      <c r="A133">
        <f t="shared" si="2"/>
        <v>101</v>
      </c>
      <c r="B133" t="s">
        <v>765</v>
      </c>
      <c r="C133" t="s">
        <v>47</v>
      </c>
      <c r="D133">
        <v>54</v>
      </c>
      <c r="E1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33" t="str">
        <f ca="1">IF(Tabla142[[#This Row],[frecuencia_new]]="Diaria"," ",RANDBETWEEN(1,6))</f>
        <v xml:space="preserve"> </v>
      </c>
      <c r="G133" t="str">
        <f ca="1">IF(Tabla142[[#This Row],[frecuencia_new]]="Diaria","",IF(Tabla142[[#This Row],[frecuencia_new]]="Semanal","",IF(Tabla142[[#This Row],[frecuencia_new]]="Quincenal",RANDBETWEEN(1,2),RANDBETWEEN(1,4))))</f>
        <v/>
      </c>
      <c r="H1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33" t="s">
        <v>216</v>
      </c>
      <c r="K133">
        <f>SUM(MID(Tabla142[[#This Row],[Duración]],1,2)*60,MID(Tabla142[[#This Row],[Duración]],6,2))</f>
        <v>5</v>
      </c>
      <c r="L133" s="4" t="s">
        <v>50</v>
      </c>
      <c r="M133" t="s">
        <v>253</v>
      </c>
      <c r="N133" t="s">
        <v>255</v>
      </c>
      <c r="O133" t="s">
        <v>401</v>
      </c>
      <c r="P133" t="s">
        <v>361</v>
      </c>
      <c r="Q133" s="20">
        <v>46032.649155092593</v>
      </c>
      <c r="R133" t="s">
        <v>6</v>
      </c>
      <c r="T133" t="s">
        <v>512</v>
      </c>
      <c r="V133" t="s">
        <v>543</v>
      </c>
      <c r="W133">
        <v>132</v>
      </c>
    </row>
    <row r="134" spans="1:23" ht="15" customHeight="1" x14ac:dyDescent="0.25">
      <c r="A134">
        <f t="shared" si="2"/>
        <v>110</v>
      </c>
      <c r="B134" t="s">
        <v>766</v>
      </c>
      <c r="C134" t="s">
        <v>47</v>
      </c>
      <c r="D134">
        <v>54</v>
      </c>
      <c r="E1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34">
        <f ca="1">IF(Tabla142[[#This Row],[frecuencia_new]]="Diaria"," ",RANDBETWEEN(1,6))</f>
        <v>5</v>
      </c>
      <c r="G134">
        <f ca="1">IF(Tabla142[[#This Row],[frecuencia_new]]="Diaria","",IF(Tabla142[[#This Row],[frecuencia_new]]="Semanal","",IF(Tabla142[[#This Row],[frecuencia_new]]="Quincenal",RANDBETWEEN(1,2),RANDBETWEEN(1,4))))</f>
        <v>3</v>
      </c>
      <c r="H134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34" t="s">
        <v>99</v>
      </c>
      <c r="K134">
        <f>SUM(MID(Tabla142[[#This Row],[Duración]],1,2)*60,MID(Tabla142[[#This Row],[Duración]],6,2))</f>
        <v>30</v>
      </c>
      <c r="L134" s="4" t="s">
        <v>48</v>
      </c>
      <c r="M134" t="s">
        <v>253</v>
      </c>
      <c r="N134" t="s">
        <v>255</v>
      </c>
      <c r="O134" t="s">
        <v>392</v>
      </c>
      <c r="P134" t="s">
        <v>363</v>
      </c>
      <c r="Q134" s="20">
        <v>46032.649155092593</v>
      </c>
      <c r="R134" t="s">
        <v>18</v>
      </c>
      <c r="T134" t="s">
        <v>521</v>
      </c>
      <c r="V134" t="s">
        <v>544</v>
      </c>
      <c r="W134">
        <v>133</v>
      </c>
    </row>
    <row r="135" spans="1:23" ht="15" customHeight="1" x14ac:dyDescent="0.25">
      <c r="A135">
        <f t="shared" si="2"/>
        <v>110</v>
      </c>
      <c r="B135" t="s">
        <v>767</v>
      </c>
      <c r="C135" t="s">
        <v>47</v>
      </c>
      <c r="D135">
        <v>54</v>
      </c>
      <c r="E1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35">
        <f ca="1">IF(Tabla142[[#This Row],[frecuencia_new]]="Diaria"," ",RANDBETWEEN(1,6))</f>
        <v>5</v>
      </c>
      <c r="G135">
        <f ca="1">IF(Tabla142[[#This Row],[frecuencia_new]]="Diaria","",IF(Tabla142[[#This Row],[frecuencia_new]]="Semanal","",IF(Tabla142[[#This Row],[frecuencia_new]]="Quincenal",RANDBETWEEN(1,2),RANDBETWEEN(1,4))))</f>
        <v>4</v>
      </c>
      <c r="H1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35" t="s">
        <v>213</v>
      </c>
      <c r="K135">
        <f>SUM(MID(Tabla142[[#This Row],[Duración]],1,2)*60,MID(Tabla142[[#This Row],[Duración]],6,2))</f>
        <v>10</v>
      </c>
      <c r="L135" s="4" t="s">
        <v>71</v>
      </c>
      <c r="M135" t="s">
        <v>253</v>
      </c>
      <c r="N135" t="s">
        <v>255</v>
      </c>
      <c r="O135" t="s">
        <v>392</v>
      </c>
      <c r="P135" t="s">
        <v>363</v>
      </c>
      <c r="Q135" s="20">
        <v>46032.649155092593</v>
      </c>
      <c r="R135" t="s">
        <v>7</v>
      </c>
      <c r="T135" t="s">
        <v>521</v>
      </c>
      <c r="V135" t="s">
        <v>545</v>
      </c>
      <c r="W135">
        <v>134</v>
      </c>
    </row>
    <row r="136" spans="1:23" ht="15" customHeight="1" x14ac:dyDescent="0.25">
      <c r="A136">
        <f t="shared" si="2"/>
        <v>110</v>
      </c>
      <c r="B136" t="s">
        <v>768</v>
      </c>
      <c r="C136" t="s">
        <v>47</v>
      </c>
      <c r="D136">
        <v>54</v>
      </c>
      <c r="E1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36">
        <f ca="1">IF(Tabla142[[#This Row],[frecuencia_new]]="Diaria"," ",RANDBETWEEN(1,6))</f>
        <v>2</v>
      </c>
      <c r="G136" t="str">
        <f ca="1">IF(Tabla142[[#This Row],[frecuencia_new]]="Diaria","",IF(Tabla142[[#This Row],[frecuencia_new]]="Semanal","",IF(Tabla142[[#This Row],[frecuencia_new]]="Quincenal",RANDBETWEEN(1,2),RANDBETWEEN(1,4))))</f>
        <v/>
      </c>
      <c r="H1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36" t="s">
        <v>172</v>
      </c>
      <c r="K136">
        <f>SUM(MID(Tabla142[[#This Row],[Duración]],1,2)*60,MID(Tabla142[[#This Row],[Duración]],6,2))</f>
        <v>5</v>
      </c>
      <c r="L136" s="4" t="s">
        <v>50</v>
      </c>
      <c r="M136" t="s">
        <v>253</v>
      </c>
      <c r="N136" t="s">
        <v>255</v>
      </c>
      <c r="O136" t="s">
        <v>392</v>
      </c>
      <c r="P136" t="s">
        <v>363</v>
      </c>
      <c r="Q136" s="20">
        <v>46032.649155092593</v>
      </c>
      <c r="R136" t="s">
        <v>8</v>
      </c>
      <c r="T136" t="s">
        <v>521</v>
      </c>
      <c r="V136" t="s">
        <v>546</v>
      </c>
      <c r="W136">
        <v>135</v>
      </c>
    </row>
    <row r="137" spans="1:23" ht="15" customHeight="1" x14ac:dyDescent="0.25">
      <c r="A137">
        <f t="shared" si="2"/>
        <v>141</v>
      </c>
      <c r="B137" t="s">
        <v>769</v>
      </c>
      <c r="C137" t="s">
        <v>47</v>
      </c>
      <c r="D137">
        <v>54</v>
      </c>
      <c r="E1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7">
        <f ca="1">IF(Tabla142[[#This Row],[frecuencia_new]]="Diaria"," ",RANDBETWEEN(1,6))</f>
        <v>2</v>
      </c>
      <c r="G137">
        <f ca="1">IF(Tabla142[[#This Row],[frecuencia_new]]="Diaria","",IF(Tabla142[[#This Row],[frecuencia_new]]="Semanal","",IF(Tabla142[[#This Row],[frecuencia_new]]="Quincenal",RANDBETWEEN(1,2),RANDBETWEEN(1,4))))</f>
        <v>1</v>
      </c>
      <c r="H137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37" t="s">
        <v>46</v>
      </c>
      <c r="K137">
        <f>SUM(MID(Tabla142[[#This Row],[Duración]],1,2)*60,MID(Tabla142[[#This Row],[Duración]],6,2))</f>
        <v>30</v>
      </c>
      <c r="L137" s="4" t="s">
        <v>48</v>
      </c>
      <c r="M137" t="s">
        <v>253</v>
      </c>
      <c r="N137" t="s">
        <v>255</v>
      </c>
      <c r="O137" t="s">
        <v>380</v>
      </c>
      <c r="P137" t="s">
        <v>360</v>
      </c>
      <c r="Q137" s="20">
        <v>46032.649155092593</v>
      </c>
      <c r="R137" t="s">
        <v>5</v>
      </c>
      <c r="T137" t="s">
        <v>552</v>
      </c>
      <c r="V137" t="s">
        <v>547</v>
      </c>
      <c r="W137">
        <v>136</v>
      </c>
    </row>
    <row r="138" spans="1:23" ht="15" customHeight="1" x14ac:dyDescent="0.25">
      <c r="A138">
        <f t="shared" si="2"/>
        <v>141</v>
      </c>
      <c r="B138" t="s">
        <v>770</v>
      </c>
      <c r="C138" t="s">
        <v>47</v>
      </c>
      <c r="D138">
        <v>54</v>
      </c>
      <c r="E1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8">
        <f ca="1">IF(Tabla142[[#This Row],[frecuencia_new]]="Diaria"," ",RANDBETWEEN(1,6))</f>
        <v>5</v>
      </c>
      <c r="G138">
        <f ca="1">IF(Tabla142[[#This Row],[frecuencia_new]]="Diaria","",IF(Tabla142[[#This Row],[frecuencia_new]]="Semanal","",IF(Tabla142[[#This Row],[frecuencia_new]]="Quincenal",RANDBETWEEN(1,2),RANDBETWEEN(1,4))))</f>
        <v>3</v>
      </c>
      <c r="H138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38" t="s">
        <v>222</v>
      </c>
      <c r="K138">
        <f>SUM(MID(Tabla142[[#This Row],[Duración]],1,2)*60,MID(Tabla142[[#This Row],[Duración]],6,2))</f>
        <v>30</v>
      </c>
      <c r="L138" s="4" t="s">
        <v>48</v>
      </c>
      <c r="M138" t="s">
        <v>253</v>
      </c>
      <c r="N138" t="s">
        <v>255</v>
      </c>
      <c r="O138" t="s">
        <v>380</v>
      </c>
      <c r="P138" t="s">
        <v>360</v>
      </c>
      <c r="Q138" s="20">
        <v>46032.649155092593</v>
      </c>
      <c r="R138" t="s">
        <v>5</v>
      </c>
      <c r="T138" t="s">
        <v>552</v>
      </c>
      <c r="V138" t="s">
        <v>548</v>
      </c>
      <c r="W138">
        <v>137</v>
      </c>
    </row>
    <row r="139" spans="1:23" ht="15" customHeight="1" x14ac:dyDescent="0.25">
      <c r="A139">
        <f t="shared" si="2"/>
        <v>141</v>
      </c>
      <c r="B139" t="s">
        <v>771</v>
      </c>
      <c r="C139" t="s">
        <v>47</v>
      </c>
      <c r="D139">
        <v>54</v>
      </c>
      <c r="E1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39">
        <f ca="1">IF(Tabla142[[#This Row],[frecuencia_new]]="Diaria"," ",RANDBETWEEN(1,6))</f>
        <v>4</v>
      </c>
      <c r="G139">
        <f ca="1">IF(Tabla142[[#This Row],[frecuencia_new]]="Diaria","",IF(Tabla142[[#This Row],[frecuencia_new]]="Semanal","",IF(Tabla142[[#This Row],[frecuencia_new]]="Quincenal",RANDBETWEEN(1,2),RANDBETWEEN(1,4))))</f>
        <v>2</v>
      </c>
      <c r="H139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39" t="s">
        <v>53</v>
      </c>
      <c r="K139">
        <f>SUM(MID(Tabla142[[#This Row],[Duración]],1,2)*60,MID(Tabla142[[#This Row],[Duración]],6,2))</f>
        <v>30</v>
      </c>
      <c r="L139" s="4" t="s">
        <v>48</v>
      </c>
      <c r="M139" t="s">
        <v>253</v>
      </c>
      <c r="N139" t="s">
        <v>255</v>
      </c>
      <c r="O139" t="s">
        <v>380</v>
      </c>
      <c r="P139" t="s">
        <v>360</v>
      </c>
      <c r="Q139" s="20">
        <v>46032.649155092593</v>
      </c>
      <c r="R139" t="s">
        <v>5</v>
      </c>
      <c r="T139" t="s">
        <v>552</v>
      </c>
      <c r="V139" t="s">
        <v>549</v>
      </c>
      <c r="W139">
        <v>138</v>
      </c>
    </row>
    <row r="140" spans="1:23" ht="15" customHeight="1" x14ac:dyDescent="0.25">
      <c r="A140">
        <f t="shared" si="2"/>
        <v>141</v>
      </c>
      <c r="B140" t="s">
        <v>772</v>
      </c>
      <c r="C140" t="s">
        <v>47</v>
      </c>
      <c r="D140">
        <v>54</v>
      </c>
      <c r="E1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40">
        <f ca="1">IF(Tabla142[[#This Row],[frecuencia_new]]="Diaria"," ",RANDBETWEEN(1,6))</f>
        <v>4</v>
      </c>
      <c r="G140">
        <f ca="1">IF(Tabla142[[#This Row],[frecuencia_new]]="Diaria","",IF(Tabla142[[#This Row],[frecuencia_new]]="Semanal","",IF(Tabla142[[#This Row],[frecuencia_new]]="Quincenal",RANDBETWEEN(1,2),RANDBETWEEN(1,4))))</f>
        <v>1</v>
      </c>
      <c r="H140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40" t="s">
        <v>217</v>
      </c>
      <c r="K140">
        <f>SUM(MID(Tabla142[[#This Row],[Duración]],1,2)*60,MID(Tabla142[[#This Row],[Duración]],6,2))</f>
        <v>30</v>
      </c>
      <c r="L140" s="4" t="s">
        <v>48</v>
      </c>
      <c r="M140" t="s">
        <v>253</v>
      </c>
      <c r="N140" t="s">
        <v>255</v>
      </c>
      <c r="O140" t="s">
        <v>380</v>
      </c>
      <c r="P140" t="s">
        <v>360</v>
      </c>
      <c r="Q140" s="20">
        <v>46032.649155092593</v>
      </c>
      <c r="R140" t="s">
        <v>5</v>
      </c>
      <c r="T140" t="s">
        <v>552</v>
      </c>
      <c r="V140" t="s">
        <v>550</v>
      </c>
      <c r="W140">
        <v>139</v>
      </c>
    </row>
    <row r="141" spans="1:23" ht="15" customHeight="1" x14ac:dyDescent="0.25">
      <c r="A141">
        <f t="shared" si="2"/>
        <v>141</v>
      </c>
      <c r="B141" t="s">
        <v>773</v>
      </c>
      <c r="C141" t="s">
        <v>47</v>
      </c>
      <c r="D141">
        <v>54</v>
      </c>
      <c r="E1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41">
        <f ca="1">IF(Tabla142[[#This Row],[frecuencia_new]]="Diaria"," ",RANDBETWEEN(1,6))</f>
        <v>6</v>
      </c>
      <c r="G141">
        <f ca="1">IF(Tabla142[[#This Row],[frecuencia_new]]="Diaria","",IF(Tabla142[[#This Row],[frecuencia_new]]="Semanal","",IF(Tabla142[[#This Row],[frecuencia_new]]="Quincenal",RANDBETWEEN(1,2),RANDBETWEEN(1,4))))</f>
        <v>4</v>
      </c>
      <c r="H14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41" t="s">
        <v>56</v>
      </c>
      <c r="K141">
        <f>SUM(MID(Tabla142[[#This Row],[Duración]],1,2)*60,MID(Tabla142[[#This Row],[Duración]],6,2))</f>
        <v>30</v>
      </c>
      <c r="L141" s="4" t="s">
        <v>48</v>
      </c>
      <c r="M141" t="s">
        <v>253</v>
      </c>
      <c r="N141" t="s">
        <v>255</v>
      </c>
      <c r="O141" t="s">
        <v>380</v>
      </c>
      <c r="P141" t="s">
        <v>360</v>
      </c>
      <c r="Q141" s="20">
        <v>46032.649155092593</v>
      </c>
      <c r="R141" t="s">
        <v>5</v>
      </c>
      <c r="T141" t="s">
        <v>552</v>
      </c>
      <c r="V141" t="s">
        <v>551</v>
      </c>
      <c r="W141">
        <v>140</v>
      </c>
    </row>
    <row r="142" spans="1:23" ht="15" customHeight="1" x14ac:dyDescent="0.25">
      <c r="A142">
        <f t="shared" si="2"/>
        <v>102</v>
      </c>
      <c r="B142" t="s">
        <v>774</v>
      </c>
      <c r="C142" t="s">
        <v>47</v>
      </c>
      <c r="D142">
        <v>96</v>
      </c>
      <c r="E1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42">
        <f ca="1">IF(Tabla142[[#This Row],[frecuencia_new]]="Diaria"," ",RANDBETWEEN(1,6))</f>
        <v>6</v>
      </c>
      <c r="G142" t="str">
        <f ca="1">IF(Tabla142[[#This Row],[frecuencia_new]]="Diaria","",IF(Tabla142[[#This Row],[frecuencia_new]]="Semanal","",IF(Tabla142[[#This Row],[frecuencia_new]]="Quincenal",RANDBETWEEN(1,2),RANDBETWEEN(1,4))))</f>
        <v/>
      </c>
      <c r="H1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2" t="s">
        <v>229</v>
      </c>
      <c r="K142">
        <f>SUM(MID(Tabla142[[#This Row],[Duración]],1,2)*60,MID(Tabla142[[#This Row],[Duración]],6,2))</f>
        <v>20</v>
      </c>
      <c r="L142" s="4" t="s">
        <v>82</v>
      </c>
      <c r="M142" t="s">
        <v>253</v>
      </c>
      <c r="N142" t="s">
        <v>255</v>
      </c>
      <c r="O142" t="s">
        <v>401</v>
      </c>
      <c r="P142" t="s">
        <v>361</v>
      </c>
      <c r="Q142" s="20">
        <v>46032.649155092593</v>
      </c>
      <c r="R142" t="s">
        <v>8</v>
      </c>
      <c r="T142" t="s">
        <v>513</v>
      </c>
      <c r="V142" t="s">
        <v>552</v>
      </c>
      <c r="W142">
        <v>141</v>
      </c>
    </row>
    <row r="143" spans="1:23" ht="15" customHeight="1" x14ac:dyDescent="0.25">
      <c r="A143">
        <f t="shared" si="2"/>
        <v>102</v>
      </c>
      <c r="B143" t="s">
        <v>775</v>
      </c>
      <c r="C143" t="s">
        <v>47</v>
      </c>
      <c r="D143">
        <v>96</v>
      </c>
      <c r="E1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43" t="str">
        <f ca="1">IF(Tabla142[[#This Row],[frecuencia_new]]="Diaria"," ",RANDBETWEEN(1,6))</f>
        <v xml:space="preserve"> </v>
      </c>
      <c r="G143" t="str">
        <f ca="1">IF(Tabla142[[#This Row],[frecuencia_new]]="Diaria","",IF(Tabla142[[#This Row],[frecuencia_new]]="Semanal","",IF(Tabla142[[#This Row],[frecuencia_new]]="Quincenal",RANDBETWEEN(1,2),RANDBETWEEN(1,4))))</f>
        <v/>
      </c>
      <c r="H1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3" t="s">
        <v>231</v>
      </c>
      <c r="K143">
        <f>SUM(MID(Tabla142[[#This Row],[Duración]],1,2)*60,MID(Tabla142[[#This Row],[Duración]],6,2))</f>
        <v>2</v>
      </c>
      <c r="L143" s="4" t="s">
        <v>60</v>
      </c>
      <c r="M143" t="s">
        <v>253</v>
      </c>
      <c r="N143" t="s">
        <v>255</v>
      </c>
      <c r="O143" t="s">
        <v>401</v>
      </c>
      <c r="P143" t="s">
        <v>361</v>
      </c>
      <c r="Q143" s="20">
        <v>46032.649155092593</v>
      </c>
      <c r="R143" t="s">
        <v>6</v>
      </c>
      <c r="T143" t="s">
        <v>513</v>
      </c>
      <c r="V143" t="s">
        <v>553</v>
      </c>
      <c r="W143">
        <v>142</v>
      </c>
    </row>
    <row r="144" spans="1:23" ht="15" customHeight="1" x14ac:dyDescent="0.25">
      <c r="A144">
        <f t="shared" si="2"/>
        <v>102</v>
      </c>
      <c r="B144" t="s">
        <v>776</v>
      </c>
      <c r="C144" t="s">
        <v>47</v>
      </c>
      <c r="D144">
        <v>96</v>
      </c>
      <c r="E1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44" t="str">
        <f ca="1">IF(Tabla142[[#This Row],[frecuencia_new]]="Diaria"," ",RANDBETWEEN(1,6))</f>
        <v xml:space="preserve"> </v>
      </c>
      <c r="G144" t="str">
        <f ca="1">IF(Tabla142[[#This Row],[frecuencia_new]]="Diaria","",IF(Tabla142[[#This Row],[frecuencia_new]]="Semanal","",IF(Tabla142[[#This Row],[frecuencia_new]]="Quincenal",RANDBETWEEN(1,2),RANDBETWEEN(1,4))))</f>
        <v/>
      </c>
      <c r="H1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4" t="s">
        <v>232</v>
      </c>
      <c r="K144">
        <f>SUM(MID(Tabla142[[#This Row],[Duración]],1,2)*60,MID(Tabla142[[#This Row],[Duración]],6,2))</f>
        <v>2</v>
      </c>
      <c r="L144" s="4" t="s">
        <v>60</v>
      </c>
      <c r="M144" t="s">
        <v>253</v>
      </c>
      <c r="N144" t="s">
        <v>255</v>
      </c>
      <c r="O144" t="s">
        <v>401</v>
      </c>
      <c r="P144" t="s">
        <v>361</v>
      </c>
      <c r="Q144" s="20">
        <v>46032.649155092593</v>
      </c>
      <c r="R144" t="s">
        <v>6</v>
      </c>
      <c r="T144" t="s">
        <v>513</v>
      </c>
      <c r="V144" t="s">
        <v>554</v>
      </c>
      <c r="W144">
        <v>143</v>
      </c>
    </row>
    <row r="145" spans="1:23" ht="15" customHeight="1" x14ac:dyDescent="0.25">
      <c r="A145">
        <f t="shared" si="2"/>
        <v>102</v>
      </c>
      <c r="B145" t="s">
        <v>777</v>
      </c>
      <c r="C145" t="s">
        <v>47</v>
      </c>
      <c r="D145">
        <v>96</v>
      </c>
      <c r="E1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45" t="str">
        <f ca="1">IF(Tabla142[[#This Row],[frecuencia_new]]="Diaria"," ",RANDBETWEEN(1,6))</f>
        <v xml:space="preserve"> </v>
      </c>
      <c r="G145" t="str">
        <f ca="1">IF(Tabla142[[#This Row],[frecuencia_new]]="Diaria","",IF(Tabla142[[#This Row],[frecuencia_new]]="Semanal","",IF(Tabla142[[#This Row],[frecuencia_new]]="Quincenal",RANDBETWEEN(1,2),RANDBETWEEN(1,4))))</f>
        <v/>
      </c>
      <c r="H1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5" t="s">
        <v>233</v>
      </c>
      <c r="K145">
        <f>SUM(MID(Tabla142[[#This Row],[Duración]],1,2)*60,MID(Tabla142[[#This Row],[Duración]],6,2))</f>
        <v>2</v>
      </c>
      <c r="L145" s="4" t="s">
        <v>60</v>
      </c>
      <c r="M145" t="s">
        <v>253</v>
      </c>
      <c r="N145" t="s">
        <v>255</v>
      </c>
      <c r="O145" t="s">
        <v>401</v>
      </c>
      <c r="P145" t="s">
        <v>361</v>
      </c>
      <c r="Q145" s="20">
        <v>46032.649155092593</v>
      </c>
      <c r="R145" t="s">
        <v>6</v>
      </c>
      <c r="T145" t="s">
        <v>513</v>
      </c>
      <c r="V145" t="s">
        <v>555</v>
      </c>
      <c r="W145">
        <v>144</v>
      </c>
    </row>
    <row r="146" spans="1:23" ht="15" customHeight="1" x14ac:dyDescent="0.25">
      <c r="A146">
        <f t="shared" si="2"/>
        <v>111</v>
      </c>
      <c r="B146" t="s">
        <v>778</v>
      </c>
      <c r="C146" t="s">
        <v>47</v>
      </c>
      <c r="D146">
        <v>96</v>
      </c>
      <c r="E1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46">
        <f ca="1">IF(Tabla142[[#This Row],[frecuencia_new]]="Diaria"," ",RANDBETWEEN(1,6))</f>
        <v>5</v>
      </c>
      <c r="G146">
        <f ca="1">IF(Tabla142[[#This Row],[frecuencia_new]]="Diaria","",IF(Tabla142[[#This Row],[frecuencia_new]]="Semanal","",IF(Tabla142[[#This Row],[frecuencia_new]]="Quincenal",RANDBETWEEN(1,2),RANDBETWEEN(1,4))))</f>
        <v>4</v>
      </c>
      <c r="H1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6" t="s">
        <v>213</v>
      </c>
      <c r="K146">
        <f>SUM(MID(Tabla142[[#This Row],[Duración]],1,2)*60,MID(Tabla142[[#This Row],[Duración]],6,2))</f>
        <v>20</v>
      </c>
      <c r="L146" s="4" t="s">
        <v>82</v>
      </c>
      <c r="M146" t="s">
        <v>253</v>
      </c>
      <c r="N146" t="s">
        <v>255</v>
      </c>
      <c r="O146" t="s">
        <v>392</v>
      </c>
      <c r="P146" t="s">
        <v>363</v>
      </c>
      <c r="Q146" s="20">
        <v>46032.649155092593</v>
      </c>
      <c r="R146" t="s">
        <v>7</v>
      </c>
      <c r="T146" t="s">
        <v>522</v>
      </c>
      <c r="V146" t="s">
        <v>556</v>
      </c>
      <c r="W146">
        <v>145</v>
      </c>
    </row>
    <row r="147" spans="1:23" ht="15" customHeight="1" x14ac:dyDescent="0.25">
      <c r="A147">
        <f t="shared" si="2"/>
        <v>111</v>
      </c>
      <c r="B147" t="s">
        <v>779</v>
      </c>
      <c r="C147" t="s">
        <v>47</v>
      </c>
      <c r="D147">
        <v>96</v>
      </c>
      <c r="E1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47">
        <f ca="1">IF(Tabla142[[#This Row],[frecuencia_new]]="Diaria"," ",RANDBETWEEN(1,6))</f>
        <v>4</v>
      </c>
      <c r="G147">
        <f ca="1">IF(Tabla142[[#This Row],[frecuencia_new]]="Diaria","",IF(Tabla142[[#This Row],[frecuencia_new]]="Semanal","",IF(Tabla142[[#This Row],[frecuencia_new]]="Quincenal",RANDBETWEEN(1,2),RANDBETWEEN(1,4))))</f>
        <v>2</v>
      </c>
      <c r="H1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7" t="s">
        <v>230</v>
      </c>
      <c r="K147">
        <f>SUM(MID(Tabla142[[#This Row],[Duración]],1,2)*60,MID(Tabla142[[#This Row],[Duración]],6,2))</f>
        <v>20</v>
      </c>
      <c r="L147" s="4" t="s">
        <v>82</v>
      </c>
      <c r="M147" t="s">
        <v>253</v>
      </c>
      <c r="N147" t="s">
        <v>255</v>
      </c>
      <c r="O147" t="s">
        <v>392</v>
      </c>
      <c r="P147" t="s">
        <v>363</v>
      </c>
      <c r="Q147" s="20">
        <v>46032.649155092593</v>
      </c>
      <c r="R147" t="s">
        <v>7</v>
      </c>
      <c r="T147" t="s">
        <v>522</v>
      </c>
      <c r="V147" t="s">
        <v>557</v>
      </c>
      <c r="W147">
        <v>146</v>
      </c>
    </row>
    <row r="148" spans="1:23" ht="15" customHeight="1" x14ac:dyDescent="0.25">
      <c r="A148">
        <f t="shared" si="2"/>
        <v>111</v>
      </c>
      <c r="B148" t="s">
        <v>780</v>
      </c>
      <c r="C148" t="s">
        <v>47</v>
      </c>
      <c r="D148">
        <v>96</v>
      </c>
      <c r="E1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48">
        <f ca="1">IF(Tabla142[[#This Row],[frecuencia_new]]="Diaria"," ",RANDBETWEEN(1,6))</f>
        <v>2</v>
      </c>
      <c r="G148" t="str">
        <f ca="1">IF(Tabla142[[#This Row],[frecuencia_new]]="Diaria","",IF(Tabla142[[#This Row],[frecuencia_new]]="Semanal","",IF(Tabla142[[#This Row],[frecuencia_new]]="Quincenal",RANDBETWEEN(1,2),RANDBETWEEN(1,4))))</f>
        <v/>
      </c>
      <c r="H1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48" t="s">
        <v>172</v>
      </c>
      <c r="K148">
        <f>SUM(MID(Tabla142[[#This Row],[Duración]],1,2)*60,MID(Tabla142[[#This Row],[Duración]],6,2))</f>
        <v>20</v>
      </c>
      <c r="L148" s="4" t="s">
        <v>82</v>
      </c>
      <c r="M148" t="s">
        <v>253</v>
      </c>
      <c r="N148" t="s">
        <v>255</v>
      </c>
      <c r="O148" t="s">
        <v>392</v>
      </c>
      <c r="P148" t="s">
        <v>363</v>
      </c>
      <c r="Q148" s="20">
        <v>46032.649155092593</v>
      </c>
      <c r="R148" t="s">
        <v>8</v>
      </c>
      <c r="T148" t="s">
        <v>522</v>
      </c>
      <c r="V148" t="s">
        <v>558</v>
      </c>
      <c r="W148">
        <v>147</v>
      </c>
    </row>
    <row r="149" spans="1:23" ht="15" customHeight="1" x14ac:dyDescent="0.25">
      <c r="A149">
        <f t="shared" si="2"/>
        <v>147</v>
      </c>
      <c r="B149" t="s">
        <v>781</v>
      </c>
      <c r="C149" t="s">
        <v>47</v>
      </c>
      <c r="D149">
        <v>96</v>
      </c>
      <c r="E1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49">
        <f ca="1">IF(Tabla142[[#This Row],[frecuencia_new]]="Diaria"," ",RANDBETWEEN(1,6))</f>
        <v>3</v>
      </c>
      <c r="G149">
        <f ca="1">IF(Tabla142[[#This Row],[frecuencia_new]]="Diaria","",IF(Tabla142[[#This Row],[frecuencia_new]]="Semanal","",IF(Tabla142[[#This Row],[frecuencia_new]]="Quincenal",RANDBETWEEN(1,2),RANDBETWEEN(1,4))))</f>
        <v>1</v>
      </c>
      <c r="H149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49" t="s">
        <v>46</v>
      </c>
      <c r="K149">
        <f>SUM(MID(Tabla142[[#This Row],[Duración]],1,2)*60,MID(Tabla142[[#This Row],[Duración]],6,2))</f>
        <v>30</v>
      </c>
      <c r="L149" s="4" t="s">
        <v>48</v>
      </c>
      <c r="M149" t="s">
        <v>253</v>
      </c>
      <c r="N149" t="s">
        <v>255</v>
      </c>
      <c r="O149" t="s">
        <v>380</v>
      </c>
      <c r="P149" t="s">
        <v>360</v>
      </c>
      <c r="Q149" s="20">
        <v>46032.649155092593</v>
      </c>
      <c r="R149" t="s">
        <v>5</v>
      </c>
      <c r="T149" t="s">
        <v>558</v>
      </c>
      <c r="V149" t="s">
        <v>559</v>
      </c>
      <c r="W149">
        <v>148</v>
      </c>
    </row>
    <row r="150" spans="1:23" ht="15" customHeight="1" x14ac:dyDescent="0.25">
      <c r="A150">
        <f t="shared" si="2"/>
        <v>147</v>
      </c>
      <c r="B150" t="s">
        <v>782</v>
      </c>
      <c r="C150" t="s">
        <v>47</v>
      </c>
      <c r="D150">
        <v>96</v>
      </c>
      <c r="E1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50">
        <f ca="1">IF(Tabla142[[#This Row],[frecuencia_new]]="Diaria"," ",RANDBETWEEN(1,6))</f>
        <v>6</v>
      </c>
      <c r="G150">
        <f ca="1">IF(Tabla142[[#This Row],[frecuencia_new]]="Diaria","",IF(Tabla142[[#This Row],[frecuencia_new]]="Semanal","",IF(Tabla142[[#This Row],[frecuencia_new]]="Quincenal",RANDBETWEEN(1,2),RANDBETWEEN(1,4))))</f>
        <v>2</v>
      </c>
      <c r="H150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50" t="s">
        <v>53</v>
      </c>
      <c r="K150">
        <f>SUM(MID(Tabla142[[#This Row],[Duración]],1,2)*60,MID(Tabla142[[#This Row],[Duración]],6,2))</f>
        <v>30</v>
      </c>
      <c r="L150" s="4" t="s">
        <v>48</v>
      </c>
      <c r="M150" t="s">
        <v>253</v>
      </c>
      <c r="N150" t="s">
        <v>255</v>
      </c>
      <c r="O150" t="s">
        <v>380</v>
      </c>
      <c r="P150" t="s">
        <v>360</v>
      </c>
      <c r="Q150" s="20">
        <v>46032.649155092593</v>
      </c>
      <c r="R150" t="s">
        <v>5</v>
      </c>
      <c r="T150" t="s">
        <v>558</v>
      </c>
      <c r="V150" t="s">
        <v>560</v>
      </c>
      <c r="W150">
        <v>149</v>
      </c>
    </row>
    <row r="151" spans="1:23" ht="15" customHeight="1" x14ac:dyDescent="0.25">
      <c r="A151">
        <f t="shared" si="2"/>
        <v>147</v>
      </c>
      <c r="B151" t="s">
        <v>783</v>
      </c>
      <c r="C151" t="s">
        <v>47</v>
      </c>
      <c r="D151">
        <v>96</v>
      </c>
      <c r="E1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51">
        <f ca="1">IF(Tabla142[[#This Row],[frecuencia_new]]="Diaria"," ",RANDBETWEEN(1,6))</f>
        <v>6</v>
      </c>
      <c r="G151">
        <f ca="1">IF(Tabla142[[#This Row],[frecuencia_new]]="Diaria","",IF(Tabla142[[#This Row],[frecuencia_new]]="Semanal","",IF(Tabla142[[#This Row],[frecuencia_new]]="Quincenal",RANDBETWEEN(1,2),RANDBETWEEN(1,4))))</f>
        <v>4</v>
      </c>
      <c r="H151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51" t="s">
        <v>217</v>
      </c>
      <c r="K151">
        <f>SUM(MID(Tabla142[[#This Row],[Duración]],1,2)*60,MID(Tabla142[[#This Row],[Duración]],6,2))</f>
        <v>30</v>
      </c>
      <c r="L151" s="4" t="s">
        <v>48</v>
      </c>
      <c r="M151" t="s">
        <v>253</v>
      </c>
      <c r="N151" t="s">
        <v>255</v>
      </c>
      <c r="O151" t="s">
        <v>380</v>
      </c>
      <c r="P151" t="s">
        <v>360</v>
      </c>
      <c r="Q151" s="20">
        <v>46032.649155092593</v>
      </c>
      <c r="R151" t="s">
        <v>5</v>
      </c>
      <c r="T151" t="s">
        <v>558</v>
      </c>
      <c r="V151" t="s">
        <v>561</v>
      </c>
      <c r="W151">
        <v>150</v>
      </c>
    </row>
    <row r="152" spans="1:23" ht="15" customHeight="1" x14ac:dyDescent="0.25">
      <c r="A152">
        <f t="shared" si="2"/>
        <v>147</v>
      </c>
      <c r="B152" t="s">
        <v>784</v>
      </c>
      <c r="C152" t="s">
        <v>47</v>
      </c>
      <c r="D152">
        <v>96</v>
      </c>
      <c r="E1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52">
        <f ca="1">IF(Tabla142[[#This Row],[frecuencia_new]]="Diaria"," ",RANDBETWEEN(1,6))</f>
        <v>3</v>
      </c>
      <c r="G152">
        <f ca="1">IF(Tabla142[[#This Row],[frecuencia_new]]="Diaria","",IF(Tabla142[[#This Row],[frecuencia_new]]="Semanal","",IF(Tabla142[[#This Row],[frecuencia_new]]="Quincenal",RANDBETWEEN(1,2),RANDBETWEEN(1,4))))</f>
        <v>2</v>
      </c>
      <c r="H15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52" t="s">
        <v>56</v>
      </c>
      <c r="K152">
        <f>SUM(MID(Tabla142[[#This Row],[Duración]],1,2)*60,MID(Tabla142[[#This Row],[Duración]],6,2))</f>
        <v>30</v>
      </c>
      <c r="L152" s="4" t="s">
        <v>48</v>
      </c>
      <c r="M152" t="s">
        <v>253</v>
      </c>
      <c r="N152" t="s">
        <v>255</v>
      </c>
      <c r="O152" t="s">
        <v>380</v>
      </c>
      <c r="P152" t="s">
        <v>360</v>
      </c>
      <c r="Q152" s="20">
        <v>46032.649155092593</v>
      </c>
      <c r="R152" t="s">
        <v>5</v>
      </c>
      <c r="T152" t="s">
        <v>558</v>
      </c>
      <c r="V152" t="s">
        <v>562</v>
      </c>
      <c r="W152">
        <v>151</v>
      </c>
    </row>
    <row r="153" spans="1:23" ht="15" customHeight="1" x14ac:dyDescent="0.25">
      <c r="A153">
        <f t="shared" si="2"/>
        <v>103</v>
      </c>
      <c r="B153" t="s">
        <v>785</v>
      </c>
      <c r="C153" s="18" t="s">
        <v>47</v>
      </c>
      <c r="D153" s="18">
        <v>142</v>
      </c>
      <c r="E1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53" t="str">
        <f ca="1">IF(Tabla142[[#This Row],[frecuencia_new]]="Diaria"," ",RANDBETWEEN(1,6))</f>
        <v xml:space="preserve"> </v>
      </c>
      <c r="G153" t="str">
        <f ca="1">IF(Tabla142[[#This Row],[frecuencia_new]]="Diaria","",IF(Tabla142[[#This Row],[frecuencia_new]]="Semanal","",IF(Tabla142[[#This Row],[frecuencia_new]]="Quincenal",RANDBETWEEN(1,2),RANDBETWEEN(1,4))))</f>
        <v/>
      </c>
      <c r="H1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53" s="18" t="s">
        <v>216</v>
      </c>
      <c r="K153" s="18">
        <f>SUM(MID(Tabla142[[#This Row],[Duración]],1,2)*60,MID(Tabla142[[#This Row],[Duración]],6,2))</f>
        <v>5</v>
      </c>
      <c r="L153" s="19" t="s">
        <v>50</v>
      </c>
      <c r="M153" s="18" t="s">
        <v>253</v>
      </c>
      <c r="N153" t="s">
        <v>255</v>
      </c>
      <c r="O153" t="s">
        <v>401</v>
      </c>
      <c r="P153" t="s">
        <v>361</v>
      </c>
      <c r="Q153" s="20">
        <v>46032.649155092593</v>
      </c>
      <c r="R153" s="18" t="s">
        <v>6</v>
      </c>
      <c r="T153" t="s">
        <v>514</v>
      </c>
      <c r="V153" t="s">
        <v>563</v>
      </c>
      <c r="W153">
        <v>152</v>
      </c>
    </row>
    <row r="154" spans="1:23" ht="15" customHeight="1" x14ac:dyDescent="0.25">
      <c r="A154">
        <f t="shared" si="2"/>
        <v>113</v>
      </c>
      <c r="B154" t="s">
        <v>786</v>
      </c>
      <c r="C154" s="18" t="s">
        <v>47</v>
      </c>
      <c r="D154" s="18">
        <v>142</v>
      </c>
      <c r="E1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54">
        <f ca="1">IF(Tabla142[[#This Row],[frecuencia_new]]="Diaria"," ",RANDBETWEEN(1,6))</f>
        <v>1</v>
      </c>
      <c r="G154">
        <f ca="1">IF(Tabla142[[#This Row],[frecuencia_new]]="Diaria","",IF(Tabla142[[#This Row],[frecuencia_new]]="Semanal","",IF(Tabla142[[#This Row],[frecuencia_new]]="Quincenal",RANDBETWEEN(1,2),RANDBETWEEN(1,4))))</f>
        <v>2</v>
      </c>
      <c r="H1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54" s="18" t="s">
        <v>213</v>
      </c>
      <c r="K154" s="18">
        <f>SUM(MID(Tabla142[[#This Row],[Duración]],1,2)*60,MID(Tabla142[[#This Row],[Duración]],6,2))</f>
        <v>10</v>
      </c>
      <c r="L154" s="19" t="s">
        <v>71</v>
      </c>
      <c r="M154" s="18" t="s">
        <v>253</v>
      </c>
      <c r="N154" t="s">
        <v>255</v>
      </c>
      <c r="O154" t="s">
        <v>392</v>
      </c>
      <c r="P154" t="s">
        <v>363</v>
      </c>
      <c r="Q154" s="20">
        <v>46032.649155092593</v>
      </c>
      <c r="R154" s="18" t="s">
        <v>7</v>
      </c>
      <c r="T154" t="s">
        <v>524</v>
      </c>
      <c r="V154" t="s">
        <v>564</v>
      </c>
      <c r="W154">
        <v>153</v>
      </c>
    </row>
    <row r="155" spans="1:23" ht="15" customHeight="1" x14ac:dyDescent="0.25">
      <c r="A155">
        <f t="shared" si="2"/>
        <v>113</v>
      </c>
      <c r="B155" t="s">
        <v>787</v>
      </c>
      <c r="C155" s="18" t="s">
        <v>47</v>
      </c>
      <c r="D155" s="18">
        <v>142</v>
      </c>
      <c r="E1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55">
        <f ca="1">IF(Tabla142[[#This Row],[frecuencia_new]]="Diaria"," ",RANDBETWEEN(1,6))</f>
        <v>5</v>
      </c>
      <c r="G155">
        <f ca="1">IF(Tabla142[[#This Row],[frecuencia_new]]="Diaria","",IF(Tabla142[[#This Row],[frecuencia_new]]="Semanal","",IF(Tabla142[[#This Row],[frecuencia_new]]="Quincenal",RANDBETWEEN(1,2),RANDBETWEEN(1,4))))</f>
        <v>2</v>
      </c>
      <c r="H1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55" s="18" t="s">
        <v>214</v>
      </c>
      <c r="K155" s="18">
        <f>SUM(MID(Tabla142[[#This Row],[Duración]],1,2)*60,MID(Tabla142[[#This Row],[Duración]],6,2))</f>
        <v>10</v>
      </c>
      <c r="L155" s="19" t="s">
        <v>71</v>
      </c>
      <c r="M155" s="18" t="s">
        <v>253</v>
      </c>
      <c r="N155" t="s">
        <v>255</v>
      </c>
      <c r="O155" t="s">
        <v>392</v>
      </c>
      <c r="P155" t="s">
        <v>363</v>
      </c>
      <c r="Q155" s="20">
        <v>46032.649155092593</v>
      </c>
      <c r="R155" s="18" t="s">
        <v>7</v>
      </c>
      <c r="T155" t="s">
        <v>524</v>
      </c>
      <c r="V155" t="s">
        <v>565</v>
      </c>
      <c r="W155">
        <v>154</v>
      </c>
    </row>
    <row r="156" spans="1:23" ht="15" customHeight="1" x14ac:dyDescent="0.25">
      <c r="A156">
        <f t="shared" si="2"/>
        <v>113</v>
      </c>
      <c r="B156" t="s">
        <v>788</v>
      </c>
      <c r="C156" s="18" t="s">
        <v>47</v>
      </c>
      <c r="D156" s="18">
        <v>142</v>
      </c>
      <c r="E1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56">
        <f ca="1">IF(Tabla142[[#This Row],[frecuencia_new]]="Diaria"," ",RANDBETWEEN(1,6))</f>
        <v>1</v>
      </c>
      <c r="G156">
        <f ca="1">IF(Tabla142[[#This Row],[frecuencia_new]]="Diaria","",IF(Tabla142[[#This Row],[frecuencia_new]]="Semanal","",IF(Tabla142[[#This Row],[frecuencia_new]]="Quincenal",RANDBETWEEN(1,2),RANDBETWEEN(1,4))))</f>
        <v>2</v>
      </c>
      <c r="H1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56" s="18" t="s">
        <v>215</v>
      </c>
      <c r="K156" s="18">
        <f>SUM(MID(Tabla142[[#This Row],[Duración]],1,2)*60,MID(Tabla142[[#This Row],[Duración]],6,2))</f>
        <v>10</v>
      </c>
      <c r="L156" s="19" t="s">
        <v>71</v>
      </c>
      <c r="M156" s="18" t="s">
        <v>253</v>
      </c>
      <c r="N156" t="s">
        <v>255</v>
      </c>
      <c r="O156" t="s">
        <v>392</v>
      </c>
      <c r="P156" t="s">
        <v>363</v>
      </c>
      <c r="Q156" s="20">
        <v>46032.649155092593</v>
      </c>
      <c r="R156" s="18" t="s">
        <v>7</v>
      </c>
      <c r="T156" t="s">
        <v>524</v>
      </c>
      <c r="V156" t="s">
        <v>566</v>
      </c>
      <c r="W156">
        <v>155</v>
      </c>
    </row>
    <row r="157" spans="1:23" ht="15" customHeight="1" x14ac:dyDescent="0.25">
      <c r="A157">
        <f t="shared" si="2"/>
        <v>113</v>
      </c>
      <c r="B157" t="s">
        <v>789</v>
      </c>
      <c r="C157" s="18" t="s">
        <v>47</v>
      </c>
      <c r="D157" s="18">
        <v>142</v>
      </c>
      <c r="E1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57">
        <f ca="1">IF(Tabla142[[#This Row],[frecuencia_new]]="Diaria"," ",RANDBETWEEN(1,6))</f>
        <v>6</v>
      </c>
      <c r="G157" t="str">
        <f ca="1">IF(Tabla142[[#This Row],[frecuencia_new]]="Diaria","",IF(Tabla142[[#This Row],[frecuencia_new]]="Semanal","",IF(Tabla142[[#This Row],[frecuencia_new]]="Quincenal",RANDBETWEEN(1,2),RANDBETWEEN(1,4))))</f>
        <v/>
      </c>
      <c r="H1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57" s="18" t="s">
        <v>172</v>
      </c>
      <c r="K157" s="18">
        <f>SUM(MID(Tabla142[[#This Row],[Duración]],1,2)*60,MID(Tabla142[[#This Row],[Duración]],6,2))</f>
        <v>5</v>
      </c>
      <c r="L157" s="19" t="s">
        <v>50</v>
      </c>
      <c r="M157" s="18" t="s">
        <v>253</v>
      </c>
      <c r="N157" t="s">
        <v>255</v>
      </c>
      <c r="O157" t="s">
        <v>392</v>
      </c>
      <c r="P157" t="s">
        <v>363</v>
      </c>
      <c r="Q157" s="20">
        <v>46032.649155092593</v>
      </c>
      <c r="R157" s="18" t="s">
        <v>8</v>
      </c>
      <c r="T157" t="s">
        <v>524</v>
      </c>
      <c r="V157" t="s">
        <v>567</v>
      </c>
      <c r="W157">
        <v>156</v>
      </c>
    </row>
    <row r="158" spans="1:23" ht="15" customHeight="1" x14ac:dyDescent="0.25">
      <c r="A158">
        <f t="shared" si="2"/>
        <v>160</v>
      </c>
      <c r="B158" t="s">
        <v>790</v>
      </c>
      <c r="C158" s="18" t="s">
        <v>47</v>
      </c>
      <c r="D158" s="18">
        <v>142</v>
      </c>
      <c r="E1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58">
        <f ca="1">IF(Tabla142[[#This Row],[frecuencia_new]]="Diaria"," ",RANDBETWEEN(1,6))</f>
        <v>3</v>
      </c>
      <c r="G158">
        <f ca="1">IF(Tabla142[[#This Row],[frecuencia_new]]="Diaria","",IF(Tabla142[[#This Row],[frecuencia_new]]="Semanal","",IF(Tabla142[[#This Row],[frecuencia_new]]="Quincenal",RANDBETWEEN(1,2),RANDBETWEEN(1,4))))</f>
        <v>4</v>
      </c>
      <c r="H158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58" s="18" t="s">
        <v>46</v>
      </c>
      <c r="K158" s="18">
        <f>SUM(MID(Tabla142[[#This Row],[Duración]],1,2)*60,MID(Tabla142[[#This Row],[Duración]],6,2))</f>
        <v>30</v>
      </c>
      <c r="L158" s="19" t="s">
        <v>48</v>
      </c>
      <c r="M158" s="18" t="s">
        <v>253</v>
      </c>
      <c r="N158" t="s">
        <v>255</v>
      </c>
      <c r="O158" t="s">
        <v>380</v>
      </c>
      <c r="P158" t="s">
        <v>360</v>
      </c>
      <c r="Q158" s="20">
        <v>46032.649155092593</v>
      </c>
      <c r="R158" s="18" t="s">
        <v>5</v>
      </c>
      <c r="T158" t="s">
        <v>571</v>
      </c>
      <c r="V158" t="s">
        <v>568</v>
      </c>
      <c r="W158">
        <v>157</v>
      </c>
    </row>
    <row r="159" spans="1:23" ht="15" customHeight="1" x14ac:dyDescent="0.25">
      <c r="A159">
        <f t="shared" si="2"/>
        <v>160</v>
      </c>
      <c r="B159" t="s">
        <v>791</v>
      </c>
      <c r="C159" s="18" t="s">
        <v>47</v>
      </c>
      <c r="D159" s="18">
        <v>142</v>
      </c>
      <c r="E1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59">
        <f ca="1">IF(Tabla142[[#This Row],[frecuencia_new]]="Diaria"," ",RANDBETWEEN(1,6))</f>
        <v>4</v>
      </c>
      <c r="G159">
        <f ca="1">IF(Tabla142[[#This Row],[frecuencia_new]]="Diaria","",IF(Tabla142[[#This Row],[frecuencia_new]]="Semanal","",IF(Tabla142[[#This Row],[frecuencia_new]]="Quincenal",RANDBETWEEN(1,2),RANDBETWEEN(1,4))))</f>
        <v>4</v>
      </c>
      <c r="H159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59" s="18" t="s">
        <v>53</v>
      </c>
      <c r="K159" s="18">
        <f>SUM(MID(Tabla142[[#This Row],[Duración]],1,2)*60,MID(Tabla142[[#This Row],[Duración]],6,2))</f>
        <v>30</v>
      </c>
      <c r="L159" s="19" t="s">
        <v>48</v>
      </c>
      <c r="M159" s="18" t="s">
        <v>253</v>
      </c>
      <c r="N159" t="s">
        <v>255</v>
      </c>
      <c r="O159" t="s">
        <v>380</v>
      </c>
      <c r="P159" t="s">
        <v>360</v>
      </c>
      <c r="Q159" s="20">
        <v>46032.649155092593</v>
      </c>
      <c r="R159" s="18" t="s">
        <v>5</v>
      </c>
      <c r="T159" t="s">
        <v>571</v>
      </c>
      <c r="V159" t="s">
        <v>569</v>
      </c>
      <c r="W159">
        <v>158</v>
      </c>
    </row>
    <row r="160" spans="1:23" ht="15" customHeight="1" x14ac:dyDescent="0.25">
      <c r="A160">
        <f t="shared" si="2"/>
        <v>160</v>
      </c>
      <c r="B160" t="s">
        <v>792</v>
      </c>
      <c r="C160" s="18" t="s">
        <v>47</v>
      </c>
      <c r="D160" s="18">
        <v>142</v>
      </c>
      <c r="E1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0">
        <f ca="1">IF(Tabla142[[#This Row],[frecuencia_new]]="Diaria"," ",RANDBETWEEN(1,6))</f>
        <v>5</v>
      </c>
      <c r="G160">
        <f ca="1">IF(Tabla142[[#This Row],[frecuencia_new]]="Diaria","",IF(Tabla142[[#This Row],[frecuencia_new]]="Semanal","",IF(Tabla142[[#This Row],[frecuencia_new]]="Quincenal",RANDBETWEEN(1,2),RANDBETWEEN(1,4))))</f>
        <v>2</v>
      </c>
      <c r="H160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60" s="18" t="s">
        <v>217</v>
      </c>
      <c r="K160" s="18">
        <f>SUM(MID(Tabla142[[#This Row],[Duración]],1,2)*60,MID(Tabla142[[#This Row],[Duración]],6,2))</f>
        <v>30</v>
      </c>
      <c r="L160" s="19" t="s">
        <v>48</v>
      </c>
      <c r="M160" s="18" t="s">
        <v>253</v>
      </c>
      <c r="N160" t="s">
        <v>255</v>
      </c>
      <c r="O160" t="s">
        <v>380</v>
      </c>
      <c r="P160" t="s">
        <v>360</v>
      </c>
      <c r="Q160" s="20">
        <v>46032.649155092593</v>
      </c>
      <c r="R160" s="18" t="s">
        <v>5</v>
      </c>
      <c r="T160" t="s">
        <v>571</v>
      </c>
      <c r="V160" t="s">
        <v>570</v>
      </c>
      <c r="W160">
        <v>159</v>
      </c>
    </row>
    <row r="161" spans="1:23" ht="15" customHeight="1" x14ac:dyDescent="0.25">
      <c r="A161">
        <f t="shared" si="2"/>
        <v>160</v>
      </c>
      <c r="B161" t="s">
        <v>793</v>
      </c>
      <c r="C161" s="18" t="s">
        <v>47</v>
      </c>
      <c r="D161" s="18">
        <v>142</v>
      </c>
      <c r="E1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1">
        <f ca="1">IF(Tabla142[[#This Row],[frecuencia_new]]="Diaria"," ",RANDBETWEEN(1,6))</f>
        <v>2</v>
      </c>
      <c r="G161">
        <f ca="1">IF(Tabla142[[#This Row],[frecuencia_new]]="Diaria","",IF(Tabla142[[#This Row],[frecuencia_new]]="Semanal","",IF(Tabla142[[#This Row],[frecuencia_new]]="Quincenal",RANDBETWEEN(1,2),RANDBETWEEN(1,4))))</f>
        <v>3</v>
      </c>
      <c r="H161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61" s="18" t="s">
        <v>56</v>
      </c>
      <c r="K161" s="18">
        <f>SUM(MID(Tabla142[[#This Row],[Duración]],1,2)*60,MID(Tabla142[[#This Row],[Duración]],6,2))</f>
        <v>30</v>
      </c>
      <c r="L161" s="19" t="s">
        <v>48</v>
      </c>
      <c r="M161" s="18" t="s">
        <v>253</v>
      </c>
      <c r="N161" t="s">
        <v>255</v>
      </c>
      <c r="O161" t="s">
        <v>380</v>
      </c>
      <c r="P161" t="s">
        <v>360</v>
      </c>
      <c r="Q161" s="20">
        <v>46032.649155092593</v>
      </c>
      <c r="R161" s="18" t="s">
        <v>5</v>
      </c>
      <c r="T161" t="s">
        <v>571</v>
      </c>
      <c r="V161" t="s">
        <v>571</v>
      </c>
      <c r="W161">
        <v>160</v>
      </c>
    </row>
    <row r="162" spans="1:23" ht="15" customHeight="1" x14ac:dyDescent="0.25">
      <c r="A162">
        <f t="shared" si="2"/>
        <v>29</v>
      </c>
      <c r="B162" t="s">
        <v>794</v>
      </c>
      <c r="C162" t="s">
        <v>47</v>
      </c>
      <c r="D162">
        <v>25</v>
      </c>
      <c r="E1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2">
        <f ca="1">IF(Tabla142[[#This Row],[frecuencia_new]]="Diaria"," ",RANDBETWEEN(1,6))</f>
        <v>6</v>
      </c>
      <c r="G162">
        <f ca="1">IF(Tabla142[[#This Row],[frecuencia_new]]="Diaria","",IF(Tabla142[[#This Row],[frecuencia_new]]="Semanal","",IF(Tabla142[[#This Row],[frecuencia_new]]="Quincenal",RANDBETWEEN(1,2),RANDBETWEEN(1,4))))</f>
        <v>3</v>
      </c>
      <c r="H162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62" t="s">
        <v>46</v>
      </c>
      <c r="K162">
        <f>SUM(MID(Tabla142[[#This Row],[Duración]],1,2)*60,MID(Tabla142[[#This Row],[Duración]],6,2))</f>
        <v>60</v>
      </c>
      <c r="L162" s="4" t="s">
        <v>58</v>
      </c>
      <c r="M162" t="s">
        <v>253</v>
      </c>
      <c r="N162" t="s">
        <v>256</v>
      </c>
      <c r="O162" t="s">
        <v>384</v>
      </c>
      <c r="P162" t="s">
        <v>360</v>
      </c>
      <c r="Q162" s="20">
        <v>46032.649155092593</v>
      </c>
      <c r="R162" t="s">
        <v>5</v>
      </c>
      <c r="T162" t="s">
        <v>440</v>
      </c>
      <c r="V162" t="s">
        <v>572</v>
      </c>
      <c r="W162">
        <v>161</v>
      </c>
    </row>
    <row r="163" spans="1:23" ht="15" customHeight="1" x14ac:dyDescent="0.25">
      <c r="A163">
        <f t="shared" si="2"/>
        <v>29</v>
      </c>
      <c r="B163" t="s">
        <v>795</v>
      </c>
      <c r="C163" t="s">
        <v>47</v>
      </c>
      <c r="D163">
        <v>25</v>
      </c>
      <c r="E1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3">
        <f ca="1">IF(Tabla142[[#This Row],[frecuencia_new]]="Diaria"," ",RANDBETWEEN(1,6))</f>
        <v>2</v>
      </c>
      <c r="G163">
        <f ca="1">IF(Tabla142[[#This Row],[frecuencia_new]]="Diaria","",IF(Tabla142[[#This Row],[frecuencia_new]]="Semanal","",IF(Tabla142[[#This Row],[frecuencia_new]]="Quincenal",RANDBETWEEN(1,2),RANDBETWEEN(1,4))))</f>
        <v>3</v>
      </c>
      <c r="H16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63" t="s">
        <v>52</v>
      </c>
      <c r="K163">
        <f>SUM(MID(Tabla142[[#This Row],[Duración]],1,2)*60,MID(Tabla142[[#This Row],[Duración]],6,2))</f>
        <v>60</v>
      </c>
      <c r="L163" s="4" t="s">
        <v>58</v>
      </c>
      <c r="M163" t="s">
        <v>253</v>
      </c>
      <c r="N163" t="s">
        <v>256</v>
      </c>
      <c r="O163" t="s">
        <v>384</v>
      </c>
      <c r="P163" t="s">
        <v>360</v>
      </c>
      <c r="Q163" s="20">
        <v>46032.649155092593</v>
      </c>
      <c r="R163" t="s">
        <v>5</v>
      </c>
      <c r="T163" t="s">
        <v>440</v>
      </c>
      <c r="V163" t="s">
        <v>573</v>
      </c>
      <c r="W163">
        <v>162</v>
      </c>
    </row>
    <row r="164" spans="1:23" ht="15" customHeight="1" x14ac:dyDescent="0.25">
      <c r="A164">
        <f t="shared" si="2"/>
        <v>29</v>
      </c>
      <c r="B164" t="s">
        <v>796</v>
      </c>
      <c r="C164" t="s">
        <v>47</v>
      </c>
      <c r="D164">
        <v>25</v>
      </c>
      <c r="E1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4">
        <f ca="1">IF(Tabla142[[#This Row],[frecuencia_new]]="Diaria"," ",RANDBETWEEN(1,6))</f>
        <v>1</v>
      </c>
      <c r="G164">
        <f ca="1">IF(Tabla142[[#This Row],[frecuencia_new]]="Diaria","",IF(Tabla142[[#This Row],[frecuencia_new]]="Semanal","",IF(Tabla142[[#This Row],[frecuencia_new]]="Quincenal",RANDBETWEEN(1,2),RANDBETWEEN(1,4))))</f>
        <v>1</v>
      </c>
      <c r="H164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64" t="s">
        <v>53</v>
      </c>
      <c r="K164">
        <f>SUM(MID(Tabla142[[#This Row],[Duración]],1,2)*60,MID(Tabla142[[#This Row],[Duración]],6,2))</f>
        <v>60</v>
      </c>
      <c r="L164" s="4" t="s">
        <v>58</v>
      </c>
      <c r="M164" t="s">
        <v>253</v>
      </c>
      <c r="N164" t="s">
        <v>256</v>
      </c>
      <c r="O164" t="s">
        <v>384</v>
      </c>
      <c r="P164" t="s">
        <v>360</v>
      </c>
      <c r="Q164" s="20">
        <v>46032.649155092593</v>
      </c>
      <c r="R164" t="s">
        <v>5</v>
      </c>
      <c r="T164" t="s">
        <v>440</v>
      </c>
      <c r="V164" t="s">
        <v>574</v>
      </c>
      <c r="W164">
        <v>163</v>
      </c>
    </row>
    <row r="165" spans="1:23" ht="15" customHeight="1" x14ac:dyDescent="0.25">
      <c r="A165">
        <f t="shared" si="2"/>
        <v>29</v>
      </c>
      <c r="B165" t="s">
        <v>797</v>
      </c>
      <c r="C165" t="s">
        <v>47</v>
      </c>
      <c r="D165">
        <v>25</v>
      </c>
      <c r="E1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5">
        <f ca="1">IF(Tabla142[[#This Row],[frecuencia_new]]="Diaria"," ",RANDBETWEEN(1,6))</f>
        <v>2</v>
      </c>
      <c r="G165">
        <f ca="1">IF(Tabla142[[#This Row],[frecuencia_new]]="Diaria","",IF(Tabla142[[#This Row],[frecuencia_new]]="Semanal","",IF(Tabla142[[#This Row],[frecuencia_new]]="Quincenal",RANDBETWEEN(1,2),RANDBETWEEN(1,4))))</f>
        <v>1</v>
      </c>
      <c r="H165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65" t="s">
        <v>209</v>
      </c>
      <c r="K165">
        <f>SUM(MID(Tabla142[[#This Row],[Duración]],1,2)*60,MID(Tabla142[[#This Row],[Duración]],6,2))</f>
        <v>80</v>
      </c>
      <c r="L165" s="4" t="s">
        <v>210</v>
      </c>
      <c r="M165" t="s">
        <v>253</v>
      </c>
      <c r="N165" t="s">
        <v>256</v>
      </c>
      <c r="O165" t="s">
        <v>384</v>
      </c>
      <c r="P165" t="s">
        <v>360</v>
      </c>
      <c r="Q165" s="20">
        <v>46032.649155092593</v>
      </c>
      <c r="R165" t="s">
        <v>5</v>
      </c>
      <c r="T165" t="s">
        <v>440</v>
      </c>
      <c r="V165" t="s">
        <v>575</v>
      </c>
      <c r="W165">
        <v>164</v>
      </c>
    </row>
    <row r="166" spans="1:23" ht="15" customHeight="1" x14ac:dyDescent="0.25">
      <c r="A166">
        <f t="shared" si="2"/>
        <v>29</v>
      </c>
      <c r="B166" t="s">
        <v>798</v>
      </c>
      <c r="C166" t="s">
        <v>47</v>
      </c>
      <c r="D166">
        <v>25</v>
      </c>
      <c r="E1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6">
        <f ca="1">IF(Tabla142[[#This Row],[frecuencia_new]]="Diaria"," ",RANDBETWEEN(1,6))</f>
        <v>1</v>
      </c>
      <c r="G166">
        <f ca="1">IF(Tabla142[[#This Row],[frecuencia_new]]="Diaria","",IF(Tabla142[[#This Row],[frecuencia_new]]="Semanal","",IF(Tabla142[[#This Row],[frecuencia_new]]="Quincenal",RANDBETWEEN(1,2),RANDBETWEEN(1,4))))</f>
        <v>1</v>
      </c>
      <c r="H16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66" t="s">
        <v>64</v>
      </c>
      <c r="K166">
        <f>SUM(MID(Tabla142[[#This Row],[Duración]],1,2)*60,MID(Tabla142[[#This Row],[Duración]],6,2))</f>
        <v>80</v>
      </c>
      <c r="L166" s="4" t="s">
        <v>210</v>
      </c>
      <c r="M166" t="s">
        <v>253</v>
      </c>
      <c r="N166" t="s">
        <v>256</v>
      </c>
      <c r="O166" t="s">
        <v>384</v>
      </c>
      <c r="P166" t="s">
        <v>360</v>
      </c>
      <c r="Q166" s="20">
        <v>46032.649155092593</v>
      </c>
      <c r="R166" t="s">
        <v>5</v>
      </c>
      <c r="T166" t="s">
        <v>440</v>
      </c>
      <c r="V166" t="s">
        <v>576</v>
      </c>
      <c r="W166">
        <v>165</v>
      </c>
    </row>
    <row r="167" spans="1:23" ht="15" customHeight="1" x14ac:dyDescent="0.25">
      <c r="A167">
        <f t="shared" si="2"/>
        <v>29</v>
      </c>
      <c r="B167" t="s">
        <v>799</v>
      </c>
      <c r="C167" t="s">
        <v>47</v>
      </c>
      <c r="D167">
        <v>25</v>
      </c>
      <c r="E1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7">
        <f ca="1">IF(Tabla142[[#This Row],[frecuencia_new]]="Diaria"," ",RANDBETWEEN(1,6))</f>
        <v>3</v>
      </c>
      <c r="G167">
        <f ca="1">IF(Tabla142[[#This Row],[frecuencia_new]]="Diaria","",IF(Tabla142[[#This Row],[frecuencia_new]]="Semanal","",IF(Tabla142[[#This Row],[frecuencia_new]]="Quincenal",RANDBETWEEN(1,2),RANDBETWEEN(1,4))))</f>
        <v>4</v>
      </c>
      <c r="H167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67" t="s">
        <v>46</v>
      </c>
      <c r="K167">
        <f>SUM(MID(Tabla142[[#This Row],[Duración]],1,2)*60,MID(Tabla142[[#This Row],[Duración]],6,2))</f>
        <v>60</v>
      </c>
      <c r="L167" s="4" t="s">
        <v>58</v>
      </c>
      <c r="M167" t="s">
        <v>253</v>
      </c>
      <c r="N167" t="s">
        <v>256</v>
      </c>
      <c r="O167" t="s">
        <v>384</v>
      </c>
      <c r="P167" t="s">
        <v>360</v>
      </c>
      <c r="Q167" s="20">
        <v>46032.649155092593</v>
      </c>
      <c r="R167" t="s">
        <v>5</v>
      </c>
      <c r="T167" t="s">
        <v>440</v>
      </c>
      <c r="V167" t="s">
        <v>577</v>
      </c>
      <c r="W167">
        <v>166</v>
      </c>
    </row>
    <row r="168" spans="1:23" ht="15" customHeight="1" x14ac:dyDescent="0.25">
      <c r="A168">
        <f t="shared" si="2"/>
        <v>29</v>
      </c>
      <c r="B168" t="s">
        <v>800</v>
      </c>
      <c r="C168" t="s">
        <v>47</v>
      </c>
      <c r="D168">
        <v>25</v>
      </c>
      <c r="E1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8">
        <f ca="1">IF(Tabla142[[#This Row],[frecuencia_new]]="Diaria"," ",RANDBETWEEN(1,6))</f>
        <v>4</v>
      </c>
      <c r="G168">
        <f ca="1">IF(Tabla142[[#This Row],[frecuencia_new]]="Diaria","",IF(Tabla142[[#This Row],[frecuencia_new]]="Semanal","",IF(Tabla142[[#This Row],[frecuencia_new]]="Quincenal",RANDBETWEEN(1,2),RANDBETWEEN(1,4))))</f>
        <v>4</v>
      </c>
      <c r="H168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68" t="s">
        <v>52</v>
      </c>
      <c r="K168">
        <f>SUM(MID(Tabla142[[#This Row],[Duración]],1,2)*60,MID(Tabla142[[#This Row],[Duración]],6,2))</f>
        <v>60</v>
      </c>
      <c r="L168" s="4" t="s">
        <v>58</v>
      </c>
      <c r="M168" t="s">
        <v>253</v>
      </c>
      <c r="N168" t="s">
        <v>256</v>
      </c>
      <c r="O168" t="s">
        <v>384</v>
      </c>
      <c r="P168" t="s">
        <v>360</v>
      </c>
      <c r="Q168" s="20">
        <v>46032.649155092593</v>
      </c>
      <c r="R168" t="s">
        <v>5</v>
      </c>
      <c r="T168" t="s">
        <v>440</v>
      </c>
      <c r="V168" t="s">
        <v>578</v>
      </c>
      <c r="W168">
        <v>167</v>
      </c>
    </row>
    <row r="169" spans="1:23" ht="15" customHeight="1" x14ac:dyDescent="0.25">
      <c r="A169">
        <f t="shared" si="2"/>
        <v>29</v>
      </c>
      <c r="B169" t="s">
        <v>801</v>
      </c>
      <c r="C169" t="s">
        <v>47</v>
      </c>
      <c r="D169">
        <v>25</v>
      </c>
      <c r="E1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69">
        <f ca="1">IF(Tabla142[[#This Row],[frecuencia_new]]="Diaria"," ",RANDBETWEEN(1,6))</f>
        <v>2</v>
      </c>
      <c r="G169">
        <f ca="1">IF(Tabla142[[#This Row],[frecuencia_new]]="Diaria","",IF(Tabla142[[#This Row],[frecuencia_new]]="Semanal","",IF(Tabla142[[#This Row],[frecuencia_new]]="Quincenal",RANDBETWEEN(1,2),RANDBETWEEN(1,4))))</f>
        <v>4</v>
      </c>
      <c r="H16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69" t="s">
        <v>53</v>
      </c>
      <c r="K169">
        <f>SUM(MID(Tabla142[[#This Row],[Duración]],1,2)*60,MID(Tabla142[[#This Row],[Duración]],6,2))</f>
        <v>60</v>
      </c>
      <c r="L169" s="4" t="s">
        <v>58</v>
      </c>
      <c r="M169" t="s">
        <v>253</v>
      </c>
      <c r="N169" t="s">
        <v>256</v>
      </c>
      <c r="O169" t="s">
        <v>384</v>
      </c>
      <c r="P169" t="s">
        <v>360</v>
      </c>
      <c r="Q169" s="20">
        <v>46032.649155092593</v>
      </c>
      <c r="R169" t="s">
        <v>5</v>
      </c>
      <c r="T169" t="s">
        <v>440</v>
      </c>
      <c r="V169" t="s">
        <v>579</v>
      </c>
      <c r="W169">
        <v>168</v>
      </c>
    </row>
    <row r="170" spans="1:23" ht="15" customHeight="1" x14ac:dyDescent="0.25">
      <c r="A170">
        <f t="shared" si="2"/>
        <v>29</v>
      </c>
      <c r="B170" t="s">
        <v>802</v>
      </c>
      <c r="C170" t="s">
        <v>47</v>
      </c>
      <c r="D170">
        <v>25</v>
      </c>
      <c r="E1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70">
        <f ca="1">IF(Tabla142[[#This Row],[frecuencia_new]]="Diaria"," ",RANDBETWEEN(1,6))</f>
        <v>2</v>
      </c>
      <c r="G170">
        <f ca="1">IF(Tabla142[[#This Row],[frecuencia_new]]="Diaria","",IF(Tabla142[[#This Row],[frecuencia_new]]="Semanal","",IF(Tabla142[[#This Row],[frecuencia_new]]="Quincenal",RANDBETWEEN(1,2),RANDBETWEEN(1,4))))</f>
        <v>4</v>
      </c>
      <c r="H170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70" t="s">
        <v>209</v>
      </c>
      <c r="K170">
        <f>SUM(MID(Tabla142[[#This Row],[Duración]],1,2)*60,MID(Tabla142[[#This Row],[Duración]],6,2))</f>
        <v>80</v>
      </c>
      <c r="L170" s="4" t="s">
        <v>210</v>
      </c>
      <c r="M170" t="s">
        <v>253</v>
      </c>
      <c r="N170" t="s">
        <v>256</v>
      </c>
      <c r="O170" t="s">
        <v>384</v>
      </c>
      <c r="P170" t="s">
        <v>360</v>
      </c>
      <c r="Q170" s="20">
        <v>46032.649155092593</v>
      </c>
      <c r="R170" t="s">
        <v>5</v>
      </c>
      <c r="T170" t="s">
        <v>440</v>
      </c>
      <c r="V170" t="s">
        <v>580</v>
      </c>
      <c r="W170">
        <v>169</v>
      </c>
    </row>
    <row r="171" spans="1:23" ht="15" customHeight="1" x14ac:dyDescent="0.25">
      <c r="A171">
        <f t="shared" si="2"/>
        <v>29</v>
      </c>
      <c r="B171" t="s">
        <v>803</v>
      </c>
      <c r="C171" t="s">
        <v>47</v>
      </c>
      <c r="D171">
        <v>25</v>
      </c>
      <c r="E1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71">
        <f ca="1">IF(Tabla142[[#This Row],[frecuencia_new]]="Diaria"," ",RANDBETWEEN(1,6))</f>
        <v>5</v>
      </c>
      <c r="G171">
        <f ca="1">IF(Tabla142[[#This Row],[frecuencia_new]]="Diaria","",IF(Tabla142[[#This Row],[frecuencia_new]]="Semanal","",IF(Tabla142[[#This Row],[frecuencia_new]]="Quincenal",RANDBETWEEN(1,2),RANDBETWEEN(1,4))))</f>
        <v>3</v>
      </c>
      <c r="H171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71" t="s">
        <v>64</v>
      </c>
      <c r="K171">
        <f>SUM(MID(Tabla142[[#This Row],[Duración]],1,2)*60,MID(Tabla142[[#This Row],[Duración]],6,2))</f>
        <v>80</v>
      </c>
      <c r="L171" s="4" t="s">
        <v>210</v>
      </c>
      <c r="M171" t="s">
        <v>253</v>
      </c>
      <c r="N171" t="s">
        <v>256</v>
      </c>
      <c r="O171" t="s">
        <v>384</v>
      </c>
      <c r="P171" t="s">
        <v>360</v>
      </c>
      <c r="Q171" s="20">
        <v>46032.649155092593</v>
      </c>
      <c r="R171" t="s">
        <v>5</v>
      </c>
      <c r="T171" t="s">
        <v>440</v>
      </c>
      <c r="V171" t="s">
        <v>581</v>
      </c>
      <c r="W171">
        <v>170</v>
      </c>
    </row>
    <row r="172" spans="1:23" ht="15" customHeight="1" x14ac:dyDescent="0.25">
      <c r="A172">
        <f t="shared" si="2"/>
        <v>29</v>
      </c>
      <c r="B172" t="s">
        <v>804</v>
      </c>
      <c r="C172" t="s">
        <v>47</v>
      </c>
      <c r="D172">
        <v>25</v>
      </c>
      <c r="E1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72">
        <f ca="1">IF(Tabla142[[#This Row],[frecuencia_new]]="Diaria"," ",RANDBETWEEN(1,6))</f>
        <v>4</v>
      </c>
      <c r="G172">
        <f ca="1">IF(Tabla142[[#This Row],[frecuencia_new]]="Diaria","",IF(Tabla142[[#This Row],[frecuencia_new]]="Semanal","",IF(Tabla142[[#This Row],[frecuencia_new]]="Quincenal",RANDBETWEEN(1,2),RANDBETWEEN(1,4))))</f>
        <v>3</v>
      </c>
      <c r="H172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72" t="s">
        <v>46</v>
      </c>
      <c r="K172">
        <f>SUM(MID(Tabla142[[#This Row],[Duración]],1,2)*60,MID(Tabla142[[#This Row],[Duración]],6,2))</f>
        <v>60</v>
      </c>
      <c r="L172" s="4" t="s">
        <v>58</v>
      </c>
      <c r="M172" t="s">
        <v>253</v>
      </c>
      <c r="N172" t="s">
        <v>256</v>
      </c>
      <c r="O172" t="s">
        <v>384</v>
      </c>
      <c r="P172" t="s">
        <v>360</v>
      </c>
      <c r="Q172" s="20">
        <v>46032.649155092593</v>
      </c>
      <c r="R172" t="s">
        <v>5</v>
      </c>
      <c r="T172" t="s">
        <v>440</v>
      </c>
      <c r="V172" t="s">
        <v>582</v>
      </c>
      <c r="W172">
        <v>171</v>
      </c>
    </row>
    <row r="173" spans="1:23" ht="15" customHeight="1" x14ac:dyDescent="0.25">
      <c r="A173">
        <f t="shared" si="2"/>
        <v>29</v>
      </c>
      <c r="B173" t="s">
        <v>805</v>
      </c>
      <c r="C173" t="s">
        <v>47</v>
      </c>
      <c r="D173">
        <v>25</v>
      </c>
      <c r="E1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73">
        <f ca="1">IF(Tabla142[[#This Row],[frecuencia_new]]="Diaria"," ",RANDBETWEEN(1,6))</f>
        <v>1</v>
      </c>
      <c r="G173">
        <f ca="1">IF(Tabla142[[#This Row],[frecuencia_new]]="Diaria","",IF(Tabla142[[#This Row],[frecuencia_new]]="Semanal","",IF(Tabla142[[#This Row],[frecuencia_new]]="Quincenal",RANDBETWEEN(1,2),RANDBETWEEN(1,4))))</f>
        <v>1</v>
      </c>
      <c r="H173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73" t="s">
        <v>52</v>
      </c>
      <c r="K173">
        <f>SUM(MID(Tabla142[[#This Row],[Duración]],1,2)*60,MID(Tabla142[[#This Row],[Duración]],6,2))</f>
        <v>60</v>
      </c>
      <c r="L173" s="4" t="s">
        <v>58</v>
      </c>
      <c r="M173" t="s">
        <v>253</v>
      </c>
      <c r="N173" t="s">
        <v>256</v>
      </c>
      <c r="O173" t="s">
        <v>384</v>
      </c>
      <c r="P173" t="s">
        <v>360</v>
      </c>
      <c r="Q173" s="20">
        <v>46032.649155092593</v>
      </c>
      <c r="R173" t="s">
        <v>5</v>
      </c>
      <c r="T173" t="s">
        <v>440</v>
      </c>
      <c r="V173" t="s">
        <v>583</v>
      </c>
      <c r="W173">
        <v>172</v>
      </c>
    </row>
    <row r="174" spans="1:23" ht="15" customHeight="1" x14ac:dyDescent="0.25">
      <c r="A174">
        <f t="shared" si="2"/>
        <v>29</v>
      </c>
      <c r="B174" t="s">
        <v>806</v>
      </c>
      <c r="C174" t="s">
        <v>47</v>
      </c>
      <c r="D174">
        <v>25</v>
      </c>
      <c r="E1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74">
        <f ca="1">IF(Tabla142[[#This Row],[frecuencia_new]]="Diaria"," ",RANDBETWEEN(1,6))</f>
        <v>2</v>
      </c>
      <c r="G174">
        <f ca="1">IF(Tabla142[[#This Row],[frecuencia_new]]="Diaria","",IF(Tabla142[[#This Row],[frecuencia_new]]="Semanal","",IF(Tabla142[[#This Row],[frecuencia_new]]="Quincenal",RANDBETWEEN(1,2),RANDBETWEEN(1,4))))</f>
        <v>3</v>
      </c>
      <c r="H174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74" t="s">
        <v>53</v>
      </c>
      <c r="K174">
        <f>SUM(MID(Tabla142[[#This Row],[Duración]],1,2)*60,MID(Tabla142[[#This Row],[Duración]],6,2))</f>
        <v>60</v>
      </c>
      <c r="L174" s="4" t="s">
        <v>58</v>
      </c>
      <c r="M174" t="s">
        <v>253</v>
      </c>
      <c r="N174" t="s">
        <v>256</v>
      </c>
      <c r="O174" t="s">
        <v>384</v>
      </c>
      <c r="P174" t="s">
        <v>360</v>
      </c>
      <c r="Q174" s="20">
        <v>46032.649155092593</v>
      </c>
      <c r="R174" t="s">
        <v>5</v>
      </c>
      <c r="T174" t="s">
        <v>440</v>
      </c>
      <c r="V174" t="s">
        <v>584</v>
      </c>
      <c r="W174">
        <v>173</v>
      </c>
    </row>
    <row r="175" spans="1:23" ht="15" customHeight="1" x14ac:dyDescent="0.25">
      <c r="A175">
        <f t="shared" si="2"/>
        <v>29</v>
      </c>
      <c r="B175" t="s">
        <v>807</v>
      </c>
      <c r="C175" t="s">
        <v>47</v>
      </c>
      <c r="D175">
        <v>25</v>
      </c>
      <c r="E1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75">
        <f ca="1">IF(Tabla142[[#This Row],[frecuencia_new]]="Diaria"," ",RANDBETWEEN(1,6))</f>
        <v>6</v>
      </c>
      <c r="G175">
        <f ca="1">IF(Tabla142[[#This Row],[frecuencia_new]]="Diaria","",IF(Tabla142[[#This Row],[frecuencia_new]]="Semanal","",IF(Tabla142[[#This Row],[frecuencia_new]]="Quincenal",RANDBETWEEN(1,2),RANDBETWEEN(1,4))))</f>
        <v>4</v>
      </c>
      <c r="H175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75" t="s">
        <v>64</v>
      </c>
      <c r="K175">
        <f>SUM(MID(Tabla142[[#This Row],[Duración]],1,2)*60,MID(Tabla142[[#This Row],[Duración]],6,2))</f>
        <v>60</v>
      </c>
      <c r="L175" s="4" t="s">
        <v>58</v>
      </c>
      <c r="M175" t="s">
        <v>253</v>
      </c>
      <c r="N175" t="s">
        <v>256</v>
      </c>
      <c r="O175" t="s">
        <v>384</v>
      </c>
      <c r="P175" t="s">
        <v>360</v>
      </c>
      <c r="Q175" s="20">
        <v>46032.649155092593</v>
      </c>
      <c r="R175" t="s">
        <v>5</v>
      </c>
      <c r="T175" t="s">
        <v>440</v>
      </c>
      <c r="V175" t="s">
        <v>585</v>
      </c>
      <c r="W175">
        <v>174</v>
      </c>
    </row>
    <row r="176" spans="1:23" ht="15" customHeight="1" x14ac:dyDescent="0.25">
      <c r="A176">
        <f t="shared" si="2"/>
        <v>169</v>
      </c>
      <c r="B176" t="s">
        <v>808</v>
      </c>
      <c r="C176" t="s">
        <v>47</v>
      </c>
      <c r="D176">
        <v>25</v>
      </c>
      <c r="E1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76" t="str">
        <f ca="1">IF(Tabla142[[#This Row],[frecuencia_new]]="Diaria"," ",RANDBETWEEN(1,6))</f>
        <v xml:space="preserve"> </v>
      </c>
      <c r="G176" t="str">
        <f ca="1">IF(Tabla142[[#This Row],[frecuencia_new]]="Diaria","",IF(Tabla142[[#This Row],[frecuencia_new]]="Semanal","",IF(Tabla142[[#This Row],[frecuencia_new]]="Quincenal",RANDBETWEEN(1,2),RANDBETWEEN(1,4))))</f>
        <v/>
      </c>
      <c r="H1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76" t="s">
        <v>206</v>
      </c>
      <c r="K176">
        <f>SUM(MID(Tabla142[[#This Row],[Duración]],1,2)*60,MID(Tabla142[[#This Row],[Duración]],6,2))</f>
        <v>2</v>
      </c>
      <c r="L176" s="4" t="s">
        <v>60</v>
      </c>
      <c r="M176" t="s">
        <v>253</v>
      </c>
      <c r="N176" t="s">
        <v>256</v>
      </c>
      <c r="O176" t="s">
        <v>402</v>
      </c>
      <c r="P176" t="s">
        <v>361</v>
      </c>
      <c r="Q176" s="20">
        <v>46032.649155092593</v>
      </c>
      <c r="R176" t="s">
        <v>6</v>
      </c>
      <c r="T176" t="s">
        <v>580</v>
      </c>
      <c r="V176" t="s">
        <v>586</v>
      </c>
      <c r="W176">
        <v>175</v>
      </c>
    </row>
    <row r="177" spans="1:23" ht="15" customHeight="1" x14ac:dyDescent="0.25">
      <c r="A177">
        <f t="shared" si="2"/>
        <v>169</v>
      </c>
      <c r="B177" t="s">
        <v>809</v>
      </c>
      <c r="C177" t="s">
        <v>47</v>
      </c>
      <c r="D177">
        <v>25</v>
      </c>
      <c r="E1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77" t="str">
        <f ca="1">IF(Tabla142[[#This Row],[frecuencia_new]]="Diaria"," ",RANDBETWEEN(1,6))</f>
        <v xml:space="preserve"> </v>
      </c>
      <c r="G177" t="str">
        <f ca="1">IF(Tabla142[[#This Row],[frecuencia_new]]="Diaria","",IF(Tabla142[[#This Row],[frecuencia_new]]="Semanal","",IF(Tabla142[[#This Row],[frecuencia_new]]="Quincenal",RANDBETWEEN(1,2),RANDBETWEEN(1,4))))</f>
        <v/>
      </c>
      <c r="H1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77" t="s">
        <v>207</v>
      </c>
      <c r="K177">
        <f>SUM(MID(Tabla142[[#This Row],[Duración]],1,2)*60,MID(Tabla142[[#This Row],[Duración]],6,2))</f>
        <v>2</v>
      </c>
      <c r="L177" s="4" t="s">
        <v>60</v>
      </c>
      <c r="M177" t="s">
        <v>253</v>
      </c>
      <c r="N177" t="s">
        <v>256</v>
      </c>
      <c r="O177" t="s">
        <v>402</v>
      </c>
      <c r="P177" t="s">
        <v>361</v>
      </c>
      <c r="Q177" s="20">
        <v>46032.649155092593</v>
      </c>
      <c r="R177" t="s">
        <v>6</v>
      </c>
      <c r="T177" t="s">
        <v>580</v>
      </c>
      <c r="V177" t="s">
        <v>587</v>
      </c>
      <c r="W177">
        <v>176</v>
      </c>
    </row>
    <row r="178" spans="1:23" ht="15" customHeight="1" x14ac:dyDescent="0.25">
      <c r="A178">
        <f t="shared" si="2"/>
        <v>169</v>
      </c>
      <c r="B178" t="s">
        <v>810</v>
      </c>
      <c r="C178" t="s">
        <v>47</v>
      </c>
      <c r="D178">
        <v>25</v>
      </c>
      <c r="E1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78" t="str">
        <f ca="1">IF(Tabla142[[#This Row],[frecuencia_new]]="Diaria"," ",RANDBETWEEN(1,6))</f>
        <v xml:space="preserve"> </v>
      </c>
      <c r="G178" t="str">
        <f ca="1">IF(Tabla142[[#This Row],[frecuencia_new]]="Diaria","",IF(Tabla142[[#This Row],[frecuencia_new]]="Semanal","",IF(Tabla142[[#This Row],[frecuencia_new]]="Quincenal",RANDBETWEEN(1,2),RANDBETWEEN(1,4))))</f>
        <v/>
      </c>
      <c r="H1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78" t="s">
        <v>206</v>
      </c>
      <c r="K178">
        <f>SUM(MID(Tabla142[[#This Row],[Duración]],1,2)*60,MID(Tabla142[[#This Row],[Duración]],6,2))</f>
        <v>2</v>
      </c>
      <c r="L178" s="4" t="s">
        <v>60</v>
      </c>
      <c r="M178" t="s">
        <v>253</v>
      </c>
      <c r="N178" t="s">
        <v>256</v>
      </c>
      <c r="O178" t="s">
        <v>402</v>
      </c>
      <c r="P178" t="s">
        <v>361</v>
      </c>
      <c r="Q178" s="20">
        <v>46032.649155092593</v>
      </c>
      <c r="R178" t="s">
        <v>6</v>
      </c>
      <c r="T178" t="s">
        <v>580</v>
      </c>
      <c r="V178" t="s">
        <v>588</v>
      </c>
      <c r="W178">
        <v>177</v>
      </c>
    </row>
    <row r="179" spans="1:23" ht="15" customHeight="1" x14ac:dyDescent="0.25">
      <c r="A179">
        <f t="shared" si="2"/>
        <v>169</v>
      </c>
      <c r="B179" t="s">
        <v>811</v>
      </c>
      <c r="C179" t="s">
        <v>47</v>
      </c>
      <c r="D179">
        <v>25</v>
      </c>
      <c r="E1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79" t="str">
        <f ca="1">IF(Tabla142[[#This Row],[frecuencia_new]]="Diaria"," ",RANDBETWEEN(1,6))</f>
        <v xml:space="preserve"> </v>
      </c>
      <c r="G179" t="str">
        <f ca="1">IF(Tabla142[[#This Row],[frecuencia_new]]="Diaria","",IF(Tabla142[[#This Row],[frecuencia_new]]="Semanal","",IF(Tabla142[[#This Row],[frecuencia_new]]="Quincenal",RANDBETWEEN(1,2),RANDBETWEEN(1,4))))</f>
        <v/>
      </c>
      <c r="H1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79" t="s">
        <v>207</v>
      </c>
      <c r="K179">
        <f>SUM(MID(Tabla142[[#This Row],[Duración]],1,2)*60,MID(Tabla142[[#This Row],[Duración]],6,2))</f>
        <v>2</v>
      </c>
      <c r="L179" s="4" t="s">
        <v>60</v>
      </c>
      <c r="M179" t="s">
        <v>253</v>
      </c>
      <c r="N179" t="s">
        <v>256</v>
      </c>
      <c r="O179" t="s">
        <v>402</v>
      </c>
      <c r="P179" t="s">
        <v>361</v>
      </c>
      <c r="Q179" s="20">
        <v>46032.649155092593</v>
      </c>
      <c r="R179" t="s">
        <v>6</v>
      </c>
      <c r="T179" t="s">
        <v>580</v>
      </c>
      <c r="V179" t="s">
        <v>589</v>
      </c>
      <c r="W179">
        <v>178</v>
      </c>
    </row>
    <row r="180" spans="1:23" ht="15" customHeight="1" x14ac:dyDescent="0.25">
      <c r="A180">
        <f t="shared" si="2"/>
        <v>169</v>
      </c>
      <c r="B180" t="s">
        <v>812</v>
      </c>
      <c r="C180" t="s">
        <v>47</v>
      </c>
      <c r="D180">
        <v>25</v>
      </c>
      <c r="E1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80" t="str">
        <f ca="1">IF(Tabla142[[#This Row],[frecuencia_new]]="Diaria"," ",RANDBETWEEN(1,6))</f>
        <v xml:space="preserve"> </v>
      </c>
      <c r="G180" t="str">
        <f ca="1">IF(Tabla142[[#This Row],[frecuencia_new]]="Diaria","",IF(Tabla142[[#This Row],[frecuencia_new]]="Semanal","",IF(Tabla142[[#This Row],[frecuencia_new]]="Quincenal",RANDBETWEEN(1,2),RANDBETWEEN(1,4))))</f>
        <v/>
      </c>
      <c r="H1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0" t="s">
        <v>227</v>
      </c>
      <c r="K180">
        <f>SUM(MID(Tabla142[[#This Row],[Duración]],1,2)*60,MID(Tabla142[[#This Row],[Duración]],6,2))</f>
        <v>2</v>
      </c>
      <c r="L180" s="4" t="s">
        <v>60</v>
      </c>
      <c r="M180" t="s">
        <v>253</v>
      </c>
      <c r="N180" t="s">
        <v>256</v>
      </c>
      <c r="O180" t="s">
        <v>402</v>
      </c>
      <c r="P180" t="s">
        <v>361</v>
      </c>
      <c r="Q180" s="20">
        <v>46032.649155092593</v>
      </c>
      <c r="R180" t="s">
        <v>6</v>
      </c>
      <c r="T180" t="s">
        <v>580</v>
      </c>
      <c r="V180" t="s">
        <v>590</v>
      </c>
      <c r="W180">
        <v>179</v>
      </c>
    </row>
    <row r="181" spans="1:23" ht="15" customHeight="1" x14ac:dyDescent="0.25">
      <c r="A181">
        <f t="shared" si="2"/>
        <v>210</v>
      </c>
      <c r="B181" t="s">
        <v>813</v>
      </c>
      <c r="C181" s="18" t="s">
        <v>47</v>
      </c>
      <c r="D181">
        <v>25</v>
      </c>
      <c r="E1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81">
        <f ca="1">IF(Tabla142[[#This Row],[frecuencia_new]]="Diaria"," ",RANDBETWEEN(1,6))</f>
        <v>6</v>
      </c>
      <c r="G181" t="str">
        <f ca="1">IF(Tabla142[[#This Row],[frecuencia_new]]="Diaria","",IF(Tabla142[[#This Row],[frecuencia_new]]="Semanal","",IF(Tabla142[[#This Row],[frecuencia_new]]="Quincenal",RANDBETWEEN(1,2),RANDBETWEEN(1,4))))</f>
        <v/>
      </c>
      <c r="H18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1" t="s">
        <v>204</v>
      </c>
      <c r="K181">
        <f>SUM(MID(Tabla142[[#This Row],[Duración]],1,2)*60,MID(Tabla142[[#This Row],[Duración]],6,2))</f>
        <v>30</v>
      </c>
      <c r="L181" s="4" t="s">
        <v>48</v>
      </c>
      <c r="M181" s="18" t="s">
        <v>253</v>
      </c>
      <c r="N181" t="s">
        <v>256</v>
      </c>
      <c r="O181" t="s">
        <v>395</v>
      </c>
      <c r="P181" t="s">
        <v>363</v>
      </c>
      <c r="Q181" s="20">
        <v>46032.649155092593</v>
      </c>
      <c r="R181" t="s">
        <v>8</v>
      </c>
      <c r="T181" t="s">
        <v>621</v>
      </c>
      <c r="V181" t="s">
        <v>591</v>
      </c>
      <c r="W181">
        <v>180</v>
      </c>
    </row>
    <row r="182" spans="1:23" ht="15" customHeight="1" x14ac:dyDescent="0.25">
      <c r="A182">
        <f t="shared" si="2"/>
        <v>210</v>
      </c>
      <c r="B182" t="s">
        <v>814</v>
      </c>
      <c r="C182" s="18" t="s">
        <v>47</v>
      </c>
      <c r="D182">
        <v>25</v>
      </c>
      <c r="E1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82">
        <f ca="1">IF(Tabla142[[#This Row],[frecuencia_new]]="Diaria"," ",RANDBETWEEN(1,6))</f>
        <v>4</v>
      </c>
      <c r="G182">
        <f ca="1">IF(Tabla142[[#This Row],[frecuencia_new]]="Diaria","",IF(Tabla142[[#This Row],[frecuencia_new]]="Semanal","",IF(Tabla142[[#This Row],[frecuencia_new]]="Quincenal",RANDBETWEEN(1,2),RANDBETWEEN(1,4))))</f>
        <v>1</v>
      </c>
      <c r="H1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2" t="s">
        <v>205</v>
      </c>
      <c r="K182">
        <f>SUM(MID(Tabla142[[#This Row],[Duración]],1,2)*60,MID(Tabla142[[#This Row],[Duración]],6,2))</f>
        <v>20</v>
      </c>
      <c r="L182" s="4" t="s">
        <v>82</v>
      </c>
      <c r="M182" s="18" t="s">
        <v>253</v>
      </c>
      <c r="N182" t="s">
        <v>256</v>
      </c>
      <c r="O182" t="s">
        <v>395</v>
      </c>
      <c r="P182" t="s">
        <v>363</v>
      </c>
      <c r="Q182" s="20">
        <v>46032.649155092593</v>
      </c>
      <c r="R182" t="s">
        <v>1846</v>
      </c>
      <c r="T182" t="s">
        <v>621</v>
      </c>
      <c r="V182" t="s">
        <v>592</v>
      </c>
      <c r="W182">
        <v>181</v>
      </c>
    </row>
    <row r="183" spans="1:23" ht="15" customHeight="1" x14ac:dyDescent="0.25">
      <c r="A183">
        <f t="shared" si="2"/>
        <v>210</v>
      </c>
      <c r="B183" t="s">
        <v>815</v>
      </c>
      <c r="C183" s="18" t="s">
        <v>47</v>
      </c>
      <c r="D183">
        <v>25</v>
      </c>
      <c r="E1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83">
        <f ca="1">IF(Tabla142[[#This Row],[frecuencia_new]]="Diaria"," ",RANDBETWEEN(1,6))</f>
        <v>1</v>
      </c>
      <c r="G183">
        <f ca="1">IF(Tabla142[[#This Row],[frecuencia_new]]="Diaria","",IF(Tabla142[[#This Row],[frecuencia_new]]="Semanal","",IF(Tabla142[[#This Row],[frecuencia_new]]="Quincenal",RANDBETWEEN(1,2),RANDBETWEEN(1,4))))</f>
        <v>3</v>
      </c>
      <c r="H1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3" t="s">
        <v>208</v>
      </c>
      <c r="K183">
        <f>SUM(MID(Tabla142[[#This Row],[Duración]],1,2)*60,MID(Tabla142[[#This Row],[Duración]],6,2))</f>
        <v>25</v>
      </c>
      <c r="L183" s="4" t="s">
        <v>184</v>
      </c>
      <c r="M183" s="18" t="s">
        <v>253</v>
      </c>
      <c r="N183" t="s">
        <v>256</v>
      </c>
      <c r="O183" t="s">
        <v>395</v>
      </c>
      <c r="P183" t="s">
        <v>363</v>
      </c>
      <c r="Q183" s="20">
        <v>46032.649155092593</v>
      </c>
      <c r="R183" t="s">
        <v>7</v>
      </c>
      <c r="T183" t="s">
        <v>621</v>
      </c>
      <c r="V183" t="s">
        <v>593</v>
      </c>
      <c r="W183">
        <v>182</v>
      </c>
    </row>
    <row r="184" spans="1:23" ht="15" customHeight="1" x14ac:dyDescent="0.25">
      <c r="A184">
        <f t="shared" si="2"/>
        <v>210</v>
      </c>
      <c r="B184" t="s">
        <v>816</v>
      </c>
      <c r="C184" s="18" t="s">
        <v>47</v>
      </c>
      <c r="D184">
        <v>25</v>
      </c>
      <c r="E1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84">
        <f ca="1">IF(Tabla142[[#This Row],[frecuencia_new]]="Diaria"," ",RANDBETWEEN(1,6))</f>
        <v>2</v>
      </c>
      <c r="G184">
        <f ca="1">IF(Tabla142[[#This Row],[frecuencia_new]]="Diaria","",IF(Tabla142[[#This Row],[frecuencia_new]]="Semanal","",IF(Tabla142[[#This Row],[frecuencia_new]]="Quincenal",RANDBETWEEN(1,2),RANDBETWEEN(1,4))))</f>
        <v>2</v>
      </c>
      <c r="H1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4" t="s">
        <v>211</v>
      </c>
      <c r="K184">
        <f>SUM(MID(Tabla142[[#This Row],[Duración]],1,2)*60,MID(Tabla142[[#This Row],[Duración]],6,2))</f>
        <v>20</v>
      </c>
      <c r="L184" s="4" t="s">
        <v>82</v>
      </c>
      <c r="M184" s="18" t="s">
        <v>253</v>
      </c>
      <c r="N184" t="s">
        <v>256</v>
      </c>
      <c r="O184" t="s">
        <v>395</v>
      </c>
      <c r="P184" t="s">
        <v>363</v>
      </c>
      <c r="Q184" s="20">
        <v>46032.649155092593</v>
      </c>
      <c r="R184" t="s">
        <v>1846</v>
      </c>
      <c r="T184" t="s">
        <v>621</v>
      </c>
      <c r="V184" t="s">
        <v>594</v>
      </c>
      <c r="W184">
        <v>183</v>
      </c>
    </row>
    <row r="185" spans="1:23" ht="15" customHeight="1" x14ac:dyDescent="0.25">
      <c r="A185">
        <f t="shared" si="2"/>
        <v>210</v>
      </c>
      <c r="B185" t="s">
        <v>817</v>
      </c>
      <c r="C185" s="18" t="s">
        <v>47</v>
      </c>
      <c r="D185">
        <v>25</v>
      </c>
      <c r="E1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85">
        <f ca="1">IF(Tabla142[[#This Row],[frecuencia_new]]="Diaria"," ",RANDBETWEEN(1,6))</f>
        <v>6</v>
      </c>
      <c r="G185">
        <f ca="1">IF(Tabla142[[#This Row],[frecuencia_new]]="Diaria","",IF(Tabla142[[#This Row],[frecuencia_new]]="Semanal","",IF(Tabla142[[#This Row],[frecuencia_new]]="Quincenal",RANDBETWEEN(1,2),RANDBETWEEN(1,4))))</f>
        <v>4</v>
      </c>
      <c r="H1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5" t="s">
        <v>212</v>
      </c>
      <c r="K185">
        <f>SUM(MID(Tabla142[[#This Row],[Duración]],1,2)*60,MID(Tabla142[[#This Row],[Duración]],6,2))</f>
        <v>10</v>
      </c>
      <c r="L185" s="4" t="s">
        <v>71</v>
      </c>
      <c r="M185" s="18" t="s">
        <v>253</v>
      </c>
      <c r="N185" t="s">
        <v>256</v>
      </c>
      <c r="O185" t="s">
        <v>395</v>
      </c>
      <c r="P185" t="s">
        <v>363</v>
      </c>
      <c r="Q185" s="20">
        <v>46032.649155092593</v>
      </c>
      <c r="R185" t="s">
        <v>7</v>
      </c>
      <c r="T185" t="s">
        <v>621</v>
      </c>
      <c r="V185" t="s">
        <v>595</v>
      </c>
      <c r="W185">
        <v>184</v>
      </c>
    </row>
    <row r="186" spans="1:23" ht="15" customHeight="1" x14ac:dyDescent="0.25">
      <c r="A186">
        <f t="shared" si="2"/>
        <v>210</v>
      </c>
      <c r="B186" t="s">
        <v>818</v>
      </c>
      <c r="C186" s="18" t="s">
        <v>47</v>
      </c>
      <c r="D186">
        <v>25</v>
      </c>
      <c r="E1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86">
        <f ca="1">IF(Tabla142[[#This Row],[frecuencia_new]]="Diaria"," ",RANDBETWEEN(1,6))</f>
        <v>6</v>
      </c>
      <c r="G186" t="str">
        <f ca="1">IF(Tabla142[[#This Row],[frecuencia_new]]="Diaria","",IF(Tabla142[[#This Row],[frecuencia_new]]="Semanal","",IF(Tabla142[[#This Row],[frecuencia_new]]="Quincenal",RANDBETWEEN(1,2),RANDBETWEEN(1,4))))</f>
        <v/>
      </c>
      <c r="H18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6" t="s">
        <v>204</v>
      </c>
      <c r="K186">
        <f>SUM(MID(Tabla142[[#This Row],[Duración]],1,2)*60,MID(Tabla142[[#This Row],[Duración]],6,2))</f>
        <v>30</v>
      </c>
      <c r="L186" s="4" t="s">
        <v>48</v>
      </c>
      <c r="M186" s="18" t="s">
        <v>253</v>
      </c>
      <c r="N186" t="s">
        <v>256</v>
      </c>
      <c r="O186" t="s">
        <v>395</v>
      </c>
      <c r="P186" t="s">
        <v>363</v>
      </c>
      <c r="Q186" s="20">
        <v>46032.649155092593</v>
      </c>
      <c r="R186" t="s">
        <v>8</v>
      </c>
      <c r="T186" t="s">
        <v>621</v>
      </c>
      <c r="V186" t="s">
        <v>596</v>
      </c>
      <c r="W186">
        <v>185</v>
      </c>
    </row>
    <row r="187" spans="1:23" ht="15" customHeight="1" x14ac:dyDescent="0.25">
      <c r="A187">
        <f t="shared" si="2"/>
        <v>210</v>
      </c>
      <c r="B187" t="s">
        <v>819</v>
      </c>
      <c r="C187" s="18" t="s">
        <v>47</v>
      </c>
      <c r="D187">
        <v>25</v>
      </c>
      <c r="E1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87">
        <f ca="1">IF(Tabla142[[#This Row],[frecuencia_new]]="Diaria"," ",RANDBETWEEN(1,6))</f>
        <v>4</v>
      </c>
      <c r="G187">
        <f ca="1">IF(Tabla142[[#This Row],[frecuencia_new]]="Diaria","",IF(Tabla142[[#This Row],[frecuencia_new]]="Semanal","",IF(Tabla142[[#This Row],[frecuencia_new]]="Quincenal",RANDBETWEEN(1,2),RANDBETWEEN(1,4))))</f>
        <v>2</v>
      </c>
      <c r="H1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7" t="s">
        <v>205</v>
      </c>
      <c r="K187">
        <f>SUM(MID(Tabla142[[#This Row],[Duración]],1,2)*60,MID(Tabla142[[#This Row],[Duración]],6,2))</f>
        <v>20</v>
      </c>
      <c r="L187" s="4" t="s">
        <v>82</v>
      </c>
      <c r="M187" s="18" t="s">
        <v>253</v>
      </c>
      <c r="N187" t="s">
        <v>256</v>
      </c>
      <c r="O187" t="s">
        <v>395</v>
      </c>
      <c r="P187" t="s">
        <v>363</v>
      </c>
      <c r="Q187" s="20">
        <v>46032.649155092593</v>
      </c>
      <c r="R187" t="s">
        <v>1846</v>
      </c>
      <c r="T187" t="s">
        <v>621</v>
      </c>
      <c r="V187" t="s">
        <v>597</v>
      </c>
      <c r="W187">
        <v>186</v>
      </c>
    </row>
    <row r="188" spans="1:23" ht="15" customHeight="1" x14ac:dyDescent="0.25">
      <c r="A188">
        <f t="shared" si="2"/>
        <v>210</v>
      </c>
      <c r="B188" t="s">
        <v>820</v>
      </c>
      <c r="C188" s="18" t="s">
        <v>47</v>
      </c>
      <c r="D188">
        <v>25</v>
      </c>
      <c r="E1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88">
        <f ca="1">IF(Tabla142[[#This Row],[frecuencia_new]]="Diaria"," ",RANDBETWEEN(1,6))</f>
        <v>6</v>
      </c>
      <c r="G188">
        <f ca="1">IF(Tabla142[[#This Row],[frecuencia_new]]="Diaria","",IF(Tabla142[[#This Row],[frecuencia_new]]="Semanal","",IF(Tabla142[[#This Row],[frecuencia_new]]="Quincenal",RANDBETWEEN(1,2),RANDBETWEEN(1,4))))</f>
        <v>3</v>
      </c>
      <c r="H1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8" t="s">
        <v>208</v>
      </c>
      <c r="K188">
        <f>SUM(MID(Tabla142[[#This Row],[Duración]],1,2)*60,MID(Tabla142[[#This Row],[Duración]],6,2))</f>
        <v>25</v>
      </c>
      <c r="L188" s="4" t="s">
        <v>184</v>
      </c>
      <c r="M188" s="18" t="s">
        <v>253</v>
      </c>
      <c r="N188" t="s">
        <v>256</v>
      </c>
      <c r="O188" t="s">
        <v>395</v>
      </c>
      <c r="P188" t="s">
        <v>363</v>
      </c>
      <c r="Q188" s="20">
        <v>46032.649155092593</v>
      </c>
      <c r="R188" t="s">
        <v>7</v>
      </c>
      <c r="T188" t="s">
        <v>621</v>
      </c>
      <c r="V188" t="s">
        <v>598</v>
      </c>
      <c r="W188">
        <v>187</v>
      </c>
    </row>
    <row r="189" spans="1:23" ht="15" customHeight="1" x14ac:dyDescent="0.25">
      <c r="A189">
        <f t="shared" si="2"/>
        <v>210</v>
      </c>
      <c r="B189" t="s">
        <v>821</v>
      </c>
      <c r="C189" s="18" t="s">
        <v>47</v>
      </c>
      <c r="D189">
        <v>25</v>
      </c>
      <c r="E1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89">
        <f ca="1">IF(Tabla142[[#This Row],[frecuencia_new]]="Diaria"," ",RANDBETWEEN(1,6))</f>
        <v>4</v>
      </c>
      <c r="G189">
        <f ca="1">IF(Tabla142[[#This Row],[frecuencia_new]]="Diaria","",IF(Tabla142[[#This Row],[frecuencia_new]]="Semanal","",IF(Tabla142[[#This Row],[frecuencia_new]]="Quincenal",RANDBETWEEN(1,2),RANDBETWEEN(1,4))))</f>
        <v>2</v>
      </c>
      <c r="H1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89" t="s">
        <v>211</v>
      </c>
      <c r="K189">
        <f>SUM(MID(Tabla142[[#This Row],[Duración]],1,2)*60,MID(Tabla142[[#This Row],[Duración]],6,2))</f>
        <v>20</v>
      </c>
      <c r="L189" s="4" t="s">
        <v>82</v>
      </c>
      <c r="M189" s="18" t="s">
        <v>253</v>
      </c>
      <c r="N189" t="s">
        <v>256</v>
      </c>
      <c r="O189" t="s">
        <v>395</v>
      </c>
      <c r="P189" t="s">
        <v>363</v>
      </c>
      <c r="Q189" s="20">
        <v>46032.649155092593</v>
      </c>
      <c r="R189" t="s">
        <v>1846</v>
      </c>
      <c r="T189" t="s">
        <v>621</v>
      </c>
      <c r="V189" t="s">
        <v>599</v>
      </c>
      <c r="W189">
        <v>188</v>
      </c>
    </row>
    <row r="190" spans="1:23" ht="15" customHeight="1" x14ac:dyDescent="0.25">
      <c r="A190">
        <f t="shared" si="2"/>
        <v>210</v>
      </c>
      <c r="B190" t="s">
        <v>822</v>
      </c>
      <c r="C190" s="18" t="s">
        <v>47</v>
      </c>
      <c r="D190">
        <v>25</v>
      </c>
      <c r="E1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90">
        <f ca="1">IF(Tabla142[[#This Row],[frecuencia_new]]="Diaria"," ",RANDBETWEEN(1,6))</f>
        <v>6</v>
      </c>
      <c r="G190">
        <f ca="1">IF(Tabla142[[#This Row],[frecuencia_new]]="Diaria","",IF(Tabla142[[#This Row],[frecuencia_new]]="Semanal","",IF(Tabla142[[#This Row],[frecuencia_new]]="Quincenal",RANDBETWEEN(1,2),RANDBETWEEN(1,4))))</f>
        <v>3</v>
      </c>
      <c r="H1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0" t="s">
        <v>212</v>
      </c>
      <c r="K190">
        <f>SUM(MID(Tabla142[[#This Row],[Duración]],1,2)*60,MID(Tabla142[[#This Row],[Duración]],6,2))</f>
        <v>10</v>
      </c>
      <c r="L190" s="4" t="s">
        <v>71</v>
      </c>
      <c r="M190" s="18" t="s">
        <v>253</v>
      </c>
      <c r="N190" t="s">
        <v>256</v>
      </c>
      <c r="O190" t="s">
        <v>395</v>
      </c>
      <c r="P190" t="s">
        <v>363</v>
      </c>
      <c r="Q190" s="20">
        <v>46032.649155092593</v>
      </c>
      <c r="R190" t="s">
        <v>7</v>
      </c>
      <c r="T190" t="s">
        <v>621</v>
      </c>
      <c r="V190" t="s">
        <v>600</v>
      </c>
      <c r="W190">
        <v>189</v>
      </c>
    </row>
    <row r="191" spans="1:23" ht="15" customHeight="1" x14ac:dyDescent="0.25">
      <c r="A191">
        <f t="shared" si="2"/>
        <v>210</v>
      </c>
      <c r="B191" t="s">
        <v>823</v>
      </c>
      <c r="C191" s="18" t="s">
        <v>47</v>
      </c>
      <c r="D191">
        <v>25</v>
      </c>
      <c r="E1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91">
        <f ca="1">IF(Tabla142[[#This Row],[frecuencia_new]]="Diaria"," ",RANDBETWEEN(1,6))</f>
        <v>5</v>
      </c>
      <c r="G191">
        <f ca="1">IF(Tabla142[[#This Row],[frecuencia_new]]="Diaria","",IF(Tabla142[[#This Row],[frecuencia_new]]="Semanal","",IF(Tabla142[[#This Row],[frecuencia_new]]="Quincenal",RANDBETWEEN(1,2),RANDBETWEEN(1,4))))</f>
        <v>2</v>
      </c>
      <c r="H1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1" t="s">
        <v>223</v>
      </c>
      <c r="K191">
        <f>SUM(MID(Tabla142[[#This Row],[Duración]],1,2)*60,MID(Tabla142[[#This Row],[Duración]],6,2))</f>
        <v>60</v>
      </c>
      <c r="L191" s="4" t="s">
        <v>58</v>
      </c>
      <c r="M191" s="18" t="s">
        <v>253</v>
      </c>
      <c r="N191" t="s">
        <v>256</v>
      </c>
      <c r="O191" t="s">
        <v>395</v>
      </c>
      <c r="P191" t="s">
        <v>363</v>
      </c>
      <c r="Q191" s="20">
        <v>46032.649155092593</v>
      </c>
      <c r="R191" t="s">
        <v>1846</v>
      </c>
      <c r="T191" t="s">
        <v>621</v>
      </c>
      <c r="V191" t="s">
        <v>601</v>
      </c>
      <c r="W191">
        <v>190</v>
      </c>
    </row>
    <row r="192" spans="1:23" ht="15" customHeight="1" x14ac:dyDescent="0.25">
      <c r="A192">
        <f t="shared" si="2"/>
        <v>210</v>
      </c>
      <c r="B192" t="s">
        <v>824</v>
      </c>
      <c r="C192" s="18" t="s">
        <v>47</v>
      </c>
      <c r="D192">
        <v>25</v>
      </c>
      <c r="E1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92">
        <f ca="1">IF(Tabla142[[#This Row],[frecuencia_new]]="Diaria"," ",RANDBETWEEN(1,6))</f>
        <v>1</v>
      </c>
      <c r="G192" t="str">
        <f ca="1">IF(Tabla142[[#This Row],[frecuencia_new]]="Diaria","",IF(Tabla142[[#This Row],[frecuencia_new]]="Semanal","",IF(Tabla142[[#This Row],[frecuencia_new]]="Quincenal",RANDBETWEEN(1,2),RANDBETWEEN(1,4))))</f>
        <v/>
      </c>
      <c r="H1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2" t="s">
        <v>218</v>
      </c>
      <c r="K192">
        <f>SUM(MID(Tabla142[[#This Row],[Duración]],1,2)*60,MID(Tabla142[[#This Row],[Duración]],6,2))</f>
        <v>10</v>
      </c>
      <c r="L192" s="4" t="s">
        <v>71</v>
      </c>
      <c r="M192" s="18" t="s">
        <v>253</v>
      </c>
      <c r="N192" t="s">
        <v>256</v>
      </c>
      <c r="O192" t="s">
        <v>395</v>
      </c>
      <c r="P192" t="s">
        <v>363</v>
      </c>
      <c r="Q192" s="20">
        <v>46032.649155092593</v>
      </c>
      <c r="R192" t="s">
        <v>8</v>
      </c>
      <c r="T192" t="s">
        <v>621</v>
      </c>
      <c r="V192" t="s">
        <v>602</v>
      </c>
      <c r="W192">
        <v>191</v>
      </c>
    </row>
    <row r="193" spans="1:23" ht="15" customHeight="1" x14ac:dyDescent="0.25">
      <c r="A193">
        <f t="shared" si="2"/>
        <v>210</v>
      </c>
      <c r="B193" t="s">
        <v>825</v>
      </c>
      <c r="C193" s="18" t="s">
        <v>47</v>
      </c>
      <c r="D193">
        <v>25</v>
      </c>
      <c r="E1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93">
        <f ca="1">IF(Tabla142[[#This Row],[frecuencia_new]]="Diaria"," ",RANDBETWEEN(1,6))</f>
        <v>4</v>
      </c>
      <c r="G193">
        <f ca="1">IF(Tabla142[[#This Row],[frecuencia_new]]="Diaria","",IF(Tabla142[[#This Row],[frecuencia_new]]="Semanal","",IF(Tabla142[[#This Row],[frecuencia_new]]="Quincenal",RANDBETWEEN(1,2),RANDBETWEEN(1,4))))</f>
        <v>1</v>
      </c>
      <c r="H193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93" t="s">
        <v>224</v>
      </c>
      <c r="K193">
        <f>SUM(MID(Tabla142[[#This Row],[Duración]],1,2)*60,MID(Tabla142[[#This Row],[Duración]],6,2))</f>
        <v>60</v>
      </c>
      <c r="L193" s="4" t="s">
        <v>58</v>
      </c>
      <c r="M193" s="18" t="s">
        <v>253</v>
      </c>
      <c r="N193" t="s">
        <v>256</v>
      </c>
      <c r="O193" t="s">
        <v>395</v>
      </c>
      <c r="P193" t="s">
        <v>363</v>
      </c>
      <c r="Q193" s="20">
        <v>46032.649155092593</v>
      </c>
      <c r="R193" t="s">
        <v>18</v>
      </c>
      <c r="T193" t="s">
        <v>621</v>
      </c>
      <c r="V193" t="s">
        <v>603</v>
      </c>
      <c r="W193">
        <v>192</v>
      </c>
    </row>
    <row r="194" spans="1:23" ht="15" customHeight="1" x14ac:dyDescent="0.25">
      <c r="A194">
        <f t="shared" ref="A194:A257" si="3">VLOOKUP(T194,$V$2:$W$222,2,FALSE)</f>
        <v>210</v>
      </c>
      <c r="B194" t="s">
        <v>826</v>
      </c>
      <c r="C194" t="s">
        <v>47</v>
      </c>
      <c r="D194">
        <v>25</v>
      </c>
      <c r="E1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94">
        <f ca="1">IF(Tabla142[[#This Row],[frecuencia_new]]="Diaria"," ",RANDBETWEEN(1,6))</f>
        <v>4</v>
      </c>
      <c r="G194">
        <f ca="1">IF(Tabla142[[#This Row],[frecuencia_new]]="Diaria","",IF(Tabla142[[#This Row],[frecuencia_new]]="Semanal","",IF(Tabla142[[#This Row],[frecuencia_new]]="Quincenal",RANDBETWEEN(1,2),RANDBETWEEN(1,4))))</f>
        <v>1</v>
      </c>
      <c r="H1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4" t="s">
        <v>225</v>
      </c>
      <c r="K194">
        <f>SUM(MID(Tabla142[[#This Row],[Duración]],1,2)*60,MID(Tabla142[[#This Row],[Duración]],6,2))</f>
        <v>60</v>
      </c>
      <c r="L194" s="4" t="s">
        <v>58</v>
      </c>
      <c r="M194" t="s">
        <v>253</v>
      </c>
      <c r="N194" t="s">
        <v>256</v>
      </c>
      <c r="O194" t="s">
        <v>395</v>
      </c>
      <c r="P194" t="s">
        <v>363</v>
      </c>
      <c r="Q194" s="20">
        <v>46032.649155092593</v>
      </c>
      <c r="R194" t="s">
        <v>1846</v>
      </c>
      <c r="T194" t="s">
        <v>621</v>
      </c>
      <c r="V194" t="s">
        <v>604</v>
      </c>
      <c r="W194">
        <v>193</v>
      </c>
    </row>
    <row r="195" spans="1:23" ht="15" customHeight="1" x14ac:dyDescent="0.25">
      <c r="A195">
        <f t="shared" si="3"/>
        <v>210</v>
      </c>
      <c r="B195" t="s">
        <v>827</v>
      </c>
      <c r="C195" t="s">
        <v>47</v>
      </c>
      <c r="D195">
        <v>25</v>
      </c>
      <c r="E1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95">
        <f ca="1">IF(Tabla142[[#This Row],[frecuencia_new]]="Diaria"," ",RANDBETWEEN(1,6))</f>
        <v>1</v>
      </c>
      <c r="G195">
        <f ca="1">IF(Tabla142[[#This Row],[frecuencia_new]]="Diaria","",IF(Tabla142[[#This Row],[frecuencia_new]]="Semanal","",IF(Tabla142[[#This Row],[frecuencia_new]]="Quincenal",RANDBETWEEN(1,2),RANDBETWEEN(1,4))))</f>
        <v>2</v>
      </c>
      <c r="H1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5" t="s">
        <v>226</v>
      </c>
      <c r="K195">
        <f>SUM(MID(Tabla142[[#This Row],[Duración]],1,2)*60,MID(Tabla142[[#This Row],[Duración]],6,2))</f>
        <v>60</v>
      </c>
      <c r="L195" s="4" t="s">
        <v>58</v>
      </c>
      <c r="M195" t="s">
        <v>253</v>
      </c>
      <c r="N195" t="s">
        <v>256</v>
      </c>
      <c r="O195" t="s">
        <v>395</v>
      </c>
      <c r="P195" t="s">
        <v>363</v>
      </c>
      <c r="Q195" s="20">
        <v>46032.649155092593</v>
      </c>
      <c r="R195" t="s">
        <v>1846</v>
      </c>
      <c r="T195" t="s">
        <v>621</v>
      </c>
      <c r="V195" t="s">
        <v>605</v>
      </c>
      <c r="W195">
        <v>194</v>
      </c>
    </row>
    <row r="196" spans="1:23" ht="15" customHeight="1" x14ac:dyDescent="0.25">
      <c r="A196">
        <f t="shared" si="3"/>
        <v>210</v>
      </c>
      <c r="B196" t="s">
        <v>828</v>
      </c>
      <c r="C196" t="s">
        <v>47</v>
      </c>
      <c r="D196">
        <v>25</v>
      </c>
      <c r="E1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96">
        <f ca="1">IF(Tabla142[[#This Row],[frecuencia_new]]="Diaria"," ",RANDBETWEEN(1,6))</f>
        <v>5</v>
      </c>
      <c r="G196">
        <f ca="1">IF(Tabla142[[#This Row],[frecuencia_new]]="Diaria","",IF(Tabla142[[#This Row],[frecuencia_new]]="Semanal","",IF(Tabla142[[#This Row],[frecuencia_new]]="Quincenal",RANDBETWEEN(1,2),RANDBETWEEN(1,4))))</f>
        <v>1</v>
      </c>
      <c r="H1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96" t="s">
        <v>228</v>
      </c>
      <c r="K196">
        <f>SUM(MID(Tabla142[[#This Row],[Duración]],1,2)*60,MID(Tabla142[[#This Row],[Duración]],6,2))</f>
        <v>60</v>
      </c>
      <c r="L196" s="4" t="s">
        <v>58</v>
      </c>
      <c r="M196" t="s">
        <v>253</v>
      </c>
      <c r="N196" t="s">
        <v>256</v>
      </c>
      <c r="O196" t="s">
        <v>395</v>
      </c>
      <c r="P196" t="s">
        <v>363</v>
      </c>
      <c r="Q196" s="20">
        <v>46032.649155092593</v>
      </c>
      <c r="R196" t="s">
        <v>1846</v>
      </c>
      <c r="T196" t="s">
        <v>621</v>
      </c>
      <c r="V196" t="s">
        <v>606</v>
      </c>
      <c r="W196">
        <v>195</v>
      </c>
    </row>
    <row r="197" spans="1:23" ht="15" customHeight="1" x14ac:dyDescent="0.25">
      <c r="A197">
        <f t="shared" si="3"/>
        <v>31</v>
      </c>
      <c r="B197" t="s">
        <v>829</v>
      </c>
      <c r="C197" t="s">
        <v>47</v>
      </c>
      <c r="D197">
        <v>36</v>
      </c>
      <c r="E1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97">
        <f ca="1">IF(Tabla142[[#This Row],[frecuencia_new]]="Diaria"," ",RANDBETWEEN(1,6))</f>
        <v>3</v>
      </c>
      <c r="G197">
        <f ca="1">IF(Tabla142[[#This Row],[frecuencia_new]]="Diaria","",IF(Tabla142[[#This Row],[frecuencia_new]]="Semanal","",IF(Tabla142[[#This Row],[frecuencia_new]]="Quincenal",RANDBETWEEN(1,2),RANDBETWEEN(1,4))))</f>
        <v>4</v>
      </c>
      <c r="H197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97" t="s">
        <v>46</v>
      </c>
      <c r="K197">
        <f>SUM(MID(Tabla142[[#This Row],[Duración]],1,2)*60,MID(Tabla142[[#This Row],[Duración]],6,2))</f>
        <v>30</v>
      </c>
      <c r="L197" s="4" t="s">
        <v>48</v>
      </c>
      <c r="M197" t="s">
        <v>253</v>
      </c>
      <c r="N197" t="s">
        <v>256</v>
      </c>
      <c r="O197" t="s">
        <v>384</v>
      </c>
      <c r="P197" t="s">
        <v>360</v>
      </c>
      <c r="Q197" s="20">
        <v>46032.649155092593</v>
      </c>
      <c r="R197" t="s">
        <v>5</v>
      </c>
      <c r="T197" t="s">
        <v>442</v>
      </c>
      <c r="V197" t="s">
        <v>607</v>
      </c>
      <c r="W197">
        <v>196</v>
      </c>
    </row>
    <row r="198" spans="1:23" ht="15" customHeight="1" x14ac:dyDescent="0.25">
      <c r="A198">
        <f t="shared" si="3"/>
        <v>31</v>
      </c>
      <c r="B198" t="s">
        <v>830</v>
      </c>
      <c r="C198" t="s">
        <v>47</v>
      </c>
      <c r="D198">
        <v>36</v>
      </c>
      <c r="E1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98">
        <f ca="1">IF(Tabla142[[#This Row],[frecuencia_new]]="Diaria"," ",RANDBETWEEN(1,6))</f>
        <v>2</v>
      </c>
      <c r="G198">
        <f ca="1">IF(Tabla142[[#This Row],[frecuencia_new]]="Diaria","",IF(Tabla142[[#This Row],[frecuencia_new]]="Semanal","",IF(Tabla142[[#This Row],[frecuencia_new]]="Quincenal",RANDBETWEEN(1,2),RANDBETWEEN(1,4))))</f>
        <v>1</v>
      </c>
      <c r="H198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98" t="s">
        <v>53</v>
      </c>
      <c r="K198">
        <f>SUM(MID(Tabla142[[#This Row],[Duración]],1,2)*60,MID(Tabla142[[#This Row],[Duración]],6,2))</f>
        <v>30</v>
      </c>
      <c r="L198" s="4" t="s">
        <v>48</v>
      </c>
      <c r="M198" t="s">
        <v>253</v>
      </c>
      <c r="N198" t="s">
        <v>256</v>
      </c>
      <c r="O198" t="s">
        <v>384</v>
      </c>
      <c r="P198" t="s">
        <v>360</v>
      </c>
      <c r="Q198" s="20">
        <v>46032.649155092593</v>
      </c>
      <c r="R198" t="s">
        <v>5</v>
      </c>
      <c r="T198" t="s">
        <v>442</v>
      </c>
      <c r="V198" t="s">
        <v>608</v>
      </c>
      <c r="W198">
        <v>197</v>
      </c>
    </row>
    <row r="199" spans="1:23" ht="15" customHeight="1" x14ac:dyDescent="0.25">
      <c r="A199">
        <f t="shared" si="3"/>
        <v>31</v>
      </c>
      <c r="B199" t="s">
        <v>831</v>
      </c>
      <c r="C199" t="s">
        <v>47</v>
      </c>
      <c r="D199">
        <v>36</v>
      </c>
      <c r="E1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99">
        <f ca="1">IF(Tabla142[[#This Row],[frecuencia_new]]="Diaria"," ",RANDBETWEEN(1,6))</f>
        <v>1</v>
      </c>
      <c r="G199">
        <f ca="1">IF(Tabla142[[#This Row],[frecuencia_new]]="Diaria","",IF(Tabla142[[#This Row],[frecuencia_new]]="Semanal","",IF(Tabla142[[#This Row],[frecuencia_new]]="Quincenal",RANDBETWEEN(1,2),RANDBETWEEN(1,4))))</f>
        <v>3</v>
      </c>
      <c r="H199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99" t="s">
        <v>217</v>
      </c>
      <c r="K199">
        <f>SUM(MID(Tabla142[[#This Row],[Duración]],1,2)*60,MID(Tabla142[[#This Row],[Duración]],6,2))</f>
        <v>30</v>
      </c>
      <c r="L199" s="4" t="s">
        <v>48</v>
      </c>
      <c r="M199" t="s">
        <v>253</v>
      </c>
      <c r="N199" t="s">
        <v>256</v>
      </c>
      <c r="O199" t="s">
        <v>384</v>
      </c>
      <c r="P199" t="s">
        <v>360</v>
      </c>
      <c r="Q199" s="20">
        <v>46032.649155092593</v>
      </c>
      <c r="R199" t="s">
        <v>5</v>
      </c>
      <c r="T199" t="s">
        <v>442</v>
      </c>
      <c r="V199" t="s">
        <v>609</v>
      </c>
      <c r="W199">
        <v>198</v>
      </c>
    </row>
    <row r="200" spans="1:23" ht="15" customHeight="1" x14ac:dyDescent="0.25">
      <c r="A200">
        <f t="shared" si="3"/>
        <v>31</v>
      </c>
      <c r="B200" t="s">
        <v>832</v>
      </c>
      <c r="C200" t="s">
        <v>47</v>
      </c>
      <c r="D200">
        <v>36</v>
      </c>
      <c r="E2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00">
        <f ca="1">IF(Tabla142[[#This Row],[frecuencia_new]]="Diaria"," ",RANDBETWEEN(1,6))</f>
        <v>1</v>
      </c>
      <c r="G200">
        <f ca="1">IF(Tabla142[[#This Row],[frecuencia_new]]="Diaria","",IF(Tabla142[[#This Row],[frecuencia_new]]="Semanal","",IF(Tabla142[[#This Row],[frecuencia_new]]="Quincenal",RANDBETWEEN(1,2),RANDBETWEEN(1,4))))</f>
        <v>4</v>
      </c>
      <c r="H200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200" t="s">
        <v>56</v>
      </c>
      <c r="K200">
        <f>SUM(MID(Tabla142[[#This Row],[Duración]],1,2)*60,MID(Tabla142[[#This Row],[Duración]],6,2))</f>
        <v>30</v>
      </c>
      <c r="L200" s="4" t="s">
        <v>48</v>
      </c>
      <c r="M200" t="s">
        <v>253</v>
      </c>
      <c r="N200" t="s">
        <v>256</v>
      </c>
      <c r="O200" t="s">
        <v>384</v>
      </c>
      <c r="P200" t="s">
        <v>360</v>
      </c>
      <c r="Q200" s="20">
        <v>46032.649155092593</v>
      </c>
      <c r="R200" t="s">
        <v>5</v>
      </c>
      <c r="T200" t="s">
        <v>442</v>
      </c>
      <c r="V200" t="s">
        <v>610</v>
      </c>
      <c r="W200">
        <v>199</v>
      </c>
    </row>
    <row r="201" spans="1:23" ht="15" customHeight="1" x14ac:dyDescent="0.25">
      <c r="A201">
        <f t="shared" si="3"/>
        <v>170</v>
      </c>
      <c r="B201" t="s">
        <v>833</v>
      </c>
      <c r="C201" t="s">
        <v>47</v>
      </c>
      <c r="D201">
        <v>36</v>
      </c>
      <c r="E2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01" t="str">
        <f ca="1">IF(Tabla142[[#This Row],[frecuencia_new]]="Diaria"," ",RANDBETWEEN(1,6))</f>
        <v xml:space="preserve"> </v>
      </c>
      <c r="G201" t="str">
        <f ca="1">IF(Tabla142[[#This Row],[frecuencia_new]]="Diaria","",IF(Tabla142[[#This Row],[frecuencia_new]]="Semanal","",IF(Tabla142[[#This Row],[frecuencia_new]]="Quincenal",RANDBETWEEN(1,2),RANDBETWEEN(1,4))))</f>
        <v/>
      </c>
      <c r="H2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1" t="s">
        <v>221</v>
      </c>
      <c r="K201">
        <f>SUM(MID(Tabla142[[#This Row],[Duración]],1,2)*60,MID(Tabla142[[#This Row],[Duración]],6,2))</f>
        <v>2</v>
      </c>
      <c r="L201" s="4" t="s">
        <v>60</v>
      </c>
      <c r="M201" t="s">
        <v>253</v>
      </c>
      <c r="N201" t="s">
        <v>256</v>
      </c>
      <c r="O201" t="s">
        <v>402</v>
      </c>
      <c r="P201" t="s">
        <v>361</v>
      </c>
      <c r="Q201" s="20">
        <v>46032.649155092593</v>
      </c>
      <c r="R201" t="s">
        <v>6</v>
      </c>
      <c r="T201" t="s">
        <v>581</v>
      </c>
      <c r="V201" t="s">
        <v>611</v>
      </c>
      <c r="W201">
        <v>200</v>
      </c>
    </row>
    <row r="202" spans="1:23" ht="15" customHeight="1" x14ac:dyDescent="0.25">
      <c r="A202">
        <f t="shared" si="3"/>
        <v>170</v>
      </c>
      <c r="B202" t="s">
        <v>834</v>
      </c>
      <c r="C202" t="s">
        <v>47</v>
      </c>
      <c r="D202">
        <v>36</v>
      </c>
      <c r="E2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02" t="str">
        <f ca="1">IF(Tabla142[[#This Row],[frecuencia_new]]="Diaria"," ",RANDBETWEEN(1,6))</f>
        <v xml:space="preserve"> </v>
      </c>
      <c r="G202" t="str">
        <f ca="1">IF(Tabla142[[#This Row],[frecuencia_new]]="Diaria","",IF(Tabla142[[#This Row],[frecuencia_new]]="Semanal","",IF(Tabla142[[#This Row],[frecuencia_new]]="Quincenal",RANDBETWEEN(1,2),RANDBETWEEN(1,4))))</f>
        <v/>
      </c>
      <c r="H20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2" t="s">
        <v>216</v>
      </c>
      <c r="K202">
        <f>SUM(MID(Tabla142[[#This Row],[Duración]],1,2)*60,MID(Tabla142[[#This Row],[Duración]],6,2))</f>
        <v>5</v>
      </c>
      <c r="L202" s="4" t="s">
        <v>50</v>
      </c>
      <c r="M202" t="s">
        <v>253</v>
      </c>
      <c r="N202" t="s">
        <v>256</v>
      </c>
      <c r="O202" t="s">
        <v>402</v>
      </c>
      <c r="P202" t="s">
        <v>361</v>
      </c>
      <c r="Q202" s="20">
        <v>46032.649155092593</v>
      </c>
      <c r="R202" t="s">
        <v>6</v>
      </c>
      <c r="T202" t="s">
        <v>581</v>
      </c>
      <c r="V202" t="s">
        <v>612</v>
      </c>
      <c r="W202">
        <v>201</v>
      </c>
    </row>
    <row r="203" spans="1:23" ht="15" customHeight="1" x14ac:dyDescent="0.25">
      <c r="A203">
        <f t="shared" si="3"/>
        <v>211</v>
      </c>
      <c r="B203" t="s">
        <v>835</v>
      </c>
      <c r="C203" s="18" t="s">
        <v>47</v>
      </c>
      <c r="D203">
        <v>36</v>
      </c>
      <c r="E2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03">
        <f ca="1">IF(Tabla142[[#This Row],[frecuencia_new]]="Diaria"," ",RANDBETWEEN(1,6))</f>
        <v>5</v>
      </c>
      <c r="G203" t="str">
        <f ca="1">IF(Tabla142[[#This Row],[frecuencia_new]]="Diaria","",IF(Tabla142[[#This Row],[frecuencia_new]]="Semanal","",IF(Tabla142[[#This Row],[frecuencia_new]]="Quincenal",RANDBETWEEN(1,2),RANDBETWEEN(1,4))))</f>
        <v/>
      </c>
      <c r="H2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3" t="s">
        <v>218</v>
      </c>
      <c r="K203">
        <f>SUM(MID(Tabla142[[#This Row],[Duración]],1,2)*60,MID(Tabla142[[#This Row],[Duración]],6,2))</f>
        <v>10</v>
      </c>
      <c r="L203" s="4" t="s">
        <v>71</v>
      </c>
      <c r="M203" s="18" t="s">
        <v>253</v>
      </c>
      <c r="N203" t="s">
        <v>256</v>
      </c>
      <c r="O203" t="s">
        <v>395</v>
      </c>
      <c r="P203" t="s">
        <v>363</v>
      </c>
      <c r="Q203" s="20">
        <v>46032.649155092593</v>
      </c>
      <c r="R203" t="s">
        <v>8</v>
      </c>
      <c r="T203" t="s">
        <v>622</v>
      </c>
      <c r="V203" t="s">
        <v>613</v>
      </c>
      <c r="W203">
        <v>202</v>
      </c>
    </row>
    <row r="204" spans="1:23" ht="15" customHeight="1" x14ac:dyDescent="0.25">
      <c r="A204">
        <f t="shared" si="3"/>
        <v>211</v>
      </c>
      <c r="B204" t="s">
        <v>836</v>
      </c>
      <c r="C204" s="18" t="s">
        <v>47</v>
      </c>
      <c r="D204">
        <v>36</v>
      </c>
      <c r="E2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04">
        <f ca="1">IF(Tabla142[[#This Row],[frecuencia_new]]="Diaria"," ",RANDBETWEEN(1,6))</f>
        <v>4</v>
      </c>
      <c r="G204" t="str">
        <f ca="1">IF(Tabla142[[#This Row],[frecuencia_new]]="Diaria","",IF(Tabla142[[#This Row],[frecuencia_new]]="Semanal","",IF(Tabla142[[#This Row],[frecuencia_new]]="Quincenal",RANDBETWEEN(1,2),RANDBETWEEN(1,4))))</f>
        <v/>
      </c>
      <c r="H2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4" t="s">
        <v>219</v>
      </c>
      <c r="K204">
        <f>SUM(MID(Tabla142[[#This Row],[Duración]],1,2)*60,MID(Tabla142[[#This Row],[Duración]],6,2))</f>
        <v>10</v>
      </c>
      <c r="L204" s="4" t="s">
        <v>71</v>
      </c>
      <c r="M204" s="18" t="s">
        <v>253</v>
      </c>
      <c r="N204" t="s">
        <v>256</v>
      </c>
      <c r="O204" t="s">
        <v>395</v>
      </c>
      <c r="P204" t="s">
        <v>363</v>
      </c>
      <c r="Q204" s="20">
        <v>46032.649155092593</v>
      </c>
      <c r="R204" t="s">
        <v>8</v>
      </c>
      <c r="T204" t="s">
        <v>622</v>
      </c>
      <c r="V204" t="s">
        <v>614</v>
      </c>
      <c r="W204">
        <v>203</v>
      </c>
    </row>
    <row r="205" spans="1:23" ht="15" customHeight="1" x14ac:dyDescent="0.25">
      <c r="A205">
        <f t="shared" si="3"/>
        <v>211</v>
      </c>
      <c r="B205" t="s">
        <v>837</v>
      </c>
      <c r="C205" s="18" t="s">
        <v>47</v>
      </c>
      <c r="D205">
        <v>36</v>
      </c>
      <c r="E2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05">
        <f ca="1">IF(Tabla142[[#This Row],[frecuencia_new]]="Diaria"," ",RANDBETWEEN(1,6))</f>
        <v>2</v>
      </c>
      <c r="G205">
        <f ca="1">IF(Tabla142[[#This Row],[frecuencia_new]]="Diaria","",IF(Tabla142[[#This Row],[frecuencia_new]]="Semanal","",IF(Tabla142[[#This Row],[frecuencia_new]]="Quincenal",RANDBETWEEN(1,2),RANDBETWEEN(1,4))))</f>
        <v>4</v>
      </c>
      <c r="H2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5" t="s">
        <v>220</v>
      </c>
      <c r="K205">
        <f>SUM(MID(Tabla142[[#This Row],[Duración]],1,2)*60,MID(Tabla142[[#This Row],[Duración]],6,2))</f>
        <v>10</v>
      </c>
      <c r="L205" s="4" t="s">
        <v>71</v>
      </c>
      <c r="M205" s="18" t="s">
        <v>253</v>
      </c>
      <c r="N205" t="s">
        <v>256</v>
      </c>
      <c r="O205" t="s">
        <v>395</v>
      </c>
      <c r="P205" t="s">
        <v>363</v>
      </c>
      <c r="Q205" s="20">
        <v>46032.649155092593</v>
      </c>
      <c r="R205" t="s">
        <v>7</v>
      </c>
      <c r="T205" t="s">
        <v>622</v>
      </c>
      <c r="V205" t="s">
        <v>615</v>
      </c>
      <c r="W205">
        <v>204</v>
      </c>
    </row>
    <row r="206" spans="1:23" ht="15" customHeight="1" x14ac:dyDescent="0.25">
      <c r="A206">
        <f t="shared" si="3"/>
        <v>211</v>
      </c>
      <c r="B206" t="s">
        <v>838</v>
      </c>
      <c r="C206" s="18" t="s">
        <v>47</v>
      </c>
      <c r="D206">
        <v>36</v>
      </c>
      <c r="E2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06">
        <f ca="1">IF(Tabla142[[#This Row],[frecuencia_new]]="Diaria"," ",RANDBETWEEN(1,6))</f>
        <v>4</v>
      </c>
      <c r="G206">
        <f ca="1">IF(Tabla142[[#This Row],[frecuencia_new]]="Diaria","",IF(Tabla142[[#This Row],[frecuencia_new]]="Semanal","",IF(Tabla142[[#This Row],[frecuencia_new]]="Quincenal",RANDBETWEEN(1,2),RANDBETWEEN(1,4))))</f>
        <v>4</v>
      </c>
      <c r="H2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6" t="s">
        <v>213</v>
      </c>
      <c r="K206">
        <f>SUM(MID(Tabla142[[#This Row],[Duración]],1,2)*60,MID(Tabla142[[#This Row],[Duración]],6,2))</f>
        <v>10</v>
      </c>
      <c r="L206" s="4" t="s">
        <v>71</v>
      </c>
      <c r="M206" s="18" t="s">
        <v>253</v>
      </c>
      <c r="N206" t="s">
        <v>256</v>
      </c>
      <c r="O206" t="s">
        <v>395</v>
      </c>
      <c r="P206" t="s">
        <v>363</v>
      </c>
      <c r="Q206" s="20">
        <v>46032.649155092593</v>
      </c>
      <c r="R206" t="s">
        <v>7</v>
      </c>
      <c r="T206" t="s">
        <v>622</v>
      </c>
      <c r="V206" t="s">
        <v>616</v>
      </c>
      <c r="W206">
        <v>205</v>
      </c>
    </row>
    <row r="207" spans="1:23" ht="15" customHeight="1" x14ac:dyDescent="0.25">
      <c r="A207">
        <f t="shared" si="3"/>
        <v>211</v>
      </c>
      <c r="B207" t="s">
        <v>839</v>
      </c>
      <c r="C207" s="18" t="s">
        <v>47</v>
      </c>
      <c r="D207">
        <v>36</v>
      </c>
      <c r="E2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07">
        <f ca="1">IF(Tabla142[[#This Row],[frecuencia_new]]="Diaria"," ",RANDBETWEEN(1,6))</f>
        <v>3</v>
      </c>
      <c r="G207" t="str">
        <f ca="1">IF(Tabla142[[#This Row],[frecuencia_new]]="Diaria","",IF(Tabla142[[#This Row],[frecuencia_new]]="Semanal","",IF(Tabla142[[#This Row],[frecuencia_new]]="Quincenal",RANDBETWEEN(1,2),RANDBETWEEN(1,4))))</f>
        <v/>
      </c>
      <c r="H2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07" t="s">
        <v>172</v>
      </c>
      <c r="K207">
        <f>SUM(MID(Tabla142[[#This Row],[Duración]],1,2)*60,MID(Tabla142[[#This Row],[Duración]],6,2))</f>
        <v>10</v>
      </c>
      <c r="L207" s="4" t="s">
        <v>71</v>
      </c>
      <c r="M207" s="18" t="s">
        <v>253</v>
      </c>
      <c r="N207" t="s">
        <v>256</v>
      </c>
      <c r="O207" t="s">
        <v>395</v>
      </c>
      <c r="P207" t="s">
        <v>363</v>
      </c>
      <c r="Q207" s="20">
        <v>46032.649155092593</v>
      </c>
      <c r="R207" t="s">
        <v>8</v>
      </c>
      <c r="T207" t="s">
        <v>622</v>
      </c>
      <c r="V207" t="s">
        <v>617</v>
      </c>
      <c r="W207">
        <v>206</v>
      </c>
    </row>
    <row r="208" spans="1:23" ht="15" customHeight="1" x14ac:dyDescent="0.25">
      <c r="A208">
        <f t="shared" si="3"/>
        <v>38</v>
      </c>
      <c r="B208" t="s">
        <v>840</v>
      </c>
      <c r="C208" t="s">
        <v>47</v>
      </c>
      <c r="D208">
        <v>55</v>
      </c>
      <c r="E2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08">
        <f ca="1">IF(Tabla142[[#This Row],[frecuencia_new]]="Diaria"," ",RANDBETWEEN(1,6))</f>
        <v>5</v>
      </c>
      <c r="G208">
        <f ca="1">IF(Tabla142[[#This Row],[frecuencia_new]]="Diaria","",IF(Tabla142[[#This Row],[frecuencia_new]]="Semanal","",IF(Tabla142[[#This Row],[frecuencia_new]]="Quincenal",RANDBETWEEN(1,2),RANDBETWEEN(1,4))))</f>
        <v>4</v>
      </c>
      <c r="H208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208" t="s">
        <v>46</v>
      </c>
      <c r="K208">
        <f>SUM(MID(Tabla142[[#This Row],[Duración]],1,2)*60,MID(Tabla142[[#This Row],[Duración]],6,2))</f>
        <v>30</v>
      </c>
      <c r="L208" s="4" t="s">
        <v>48</v>
      </c>
      <c r="M208" t="s">
        <v>253</v>
      </c>
      <c r="N208" t="s">
        <v>256</v>
      </c>
      <c r="O208" t="s">
        <v>384</v>
      </c>
      <c r="P208" t="s">
        <v>360</v>
      </c>
      <c r="Q208" s="20">
        <v>46032.649155092593</v>
      </c>
      <c r="R208" t="s">
        <v>5</v>
      </c>
      <c r="T208" t="s">
        <v>449</v>
      </c>
      <c r="V208" t="s">
        <v>618</v>
      </c>
      <c r="W208">
        <v>207</v>
      </c>
    </row>
    <row r="209" spans="1:23" ht="15" customHeight="1" x14ac:dyDescent="0.25">
      <c r="A209">
        <f t="shared" si="3"/>
        <v>38</v>
      </c>
      <c r="B209" t="s">
        <v>841</v>
      </c>
      <c r="C209" t="s">
        <v>47</v>
      </c>
      <c r="D209">
        <v>55</v>
      </c>
      <c r="E2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09">
        <f ca="1">IF(Tabla142[[#This Row],[frecuencia_new]]="Diaria"," ",RANDBETWEEN(1,6))</f>
        <v>6</v>
      </c>
      <c r="G209">
        <f ca="1">IF(Tabla142[[#This Row],[frecuencia_new]]="Diaria","",IF(Tabla142[[#This Row],[frecuencia_new]]="Semanal","",IF(Tabla142[[#This Row],[frecuencia_new]]="Quincenal",RANDBETWEEN(1,2),RANDBETWEEN(1,4))))</f>
        <v>1</v>
      </c>
      <c r="H20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209" t="s">
        <v>222</v>
      </c>
      <c r="K209">
        <f>SUM(MID(Tabla142[[#This Row],[Duración]],1,2)*60,MID(Tabla142[[#This Row],[Duración]],6,2))</f>
        <v>30</v>
      </c>
      <c r="L209" s="4" t="s">
        <v>48</v>
      </c>
      <c r="M209" t="s">
        <v>253</v>
      </c>
      <c r="N209" t="s">
        <v>256</v>
      </c>
      <c r="O209" t="s">
        <v>384</v>
      </c>
      <c r="P209" t="s">
        <v>360</v>
      </c>
      <c r="Q209" s="20">
        <v>46032.649155092593</v>
      </c>
      <c r="R209" t="s">
        <v>5</v>
      </c>
      <c r="T209" t="s">
        <v>449</v>
      </c>
      <c r="V209" t="s">
        <v>619</v>
      </c>
      <c r="W209">
        <v>208</v>
      </c>
    </row>
    <row r="210" spans="1:23" ht="15" customHeight="1" x14ac:dyDescent="0.25">
      <c r="A210">
        <f t="shared" si="3"/>
        <v>38</v>
      </c>
      <c r="B210" t="s">
        <v>842</v>
      </c>
      <c r="C210" t="s">
        <v>47</v>
      </c>
      <c r="D210">
        <v>55</v>
      </c>
      <c r="E2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10">
        <f ca="1">IF(Tabla142[[#This Row],[frecuencia_new]]="Diaria"," ",RANDBETWEEN(1,6))</f>
        <v>4</v>
      </c>
      <c r="G210">
        <f ca="1">IF(Tabla142[[#This Row],[frecuencia_new]]="Diaria","",IF(Tabla142[[#This Row],[frecuencia_new]]="Semanal","",IF(Tabla142[[#This Row],[frecuencia_new]]="Quincenal",RANDBETWEEN(1,2),RANDBETWEEN(1,4))))</f>
        <v>4</v>
      </c>
      <c r="H210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210" t="s">
        <v>53</v>
      </c>
      <c r="K210">
        <f>SUM(MID(Tabla142[[#This Row],[Duración]],1,2)*60,MID(Tabla142[[#This Row],[Duración]],6,2))</f>
        <v>30</v>
      </c>
      <c r="L210" s="4" t="s">
        <v>48</v>
      </c>
      <c r="M210" t="s">
        <v>253</v>
      </c>
      <c r="N210" t="s">
        <v>256</v>
      </c>
      <c r="O210" t="s">
        <v>384</v>
      </c>
      <c r="P210" t="s">
        <v>360</v>
      </c>
      <c r="Q210" s="20">
        <v>46032.649155092593</v>
      </c>
      <c r="R210" t="s">
        <v>5</v>
      </c>
      <c r="T210" t="s">
        <v>449</v>
      </c>
      <c r="V210" t="s">
        <v>620</v>
      </c>
      <c r="W210">
        <v>209</v>
      </c>
    </row>
    <row r="211" spans="1:23" ht="15" customHeight="1" x14ac:dyDescent="0.25">
      <c r="A211">
        <f t="shared" si="3"/>
        <v>38</v>
      </c>
      <c r="B211" t="s">
        <v>843</v>
      </c>
      <c r="C211" t="s">
        <v>47</v>
      </c>
      <c r="D211">
        <v>55</v>
      </c>
      <c r="E2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11">
        <f ca="1">IF(Tabla142[[#This Row],[frecuencia_new]]="Diaria"," ",RANDBETWEEN(1,6))</f>
        <v>4</v>
      </c>
      <c r="G211">
        <f ca="1">IF(Tabla142[[#This Row],[frecuencia_new]]="Diaria","",IF(Tabla142[[#This Row],[frecuencia_new]]="Semanal","",IF(Tabla142[[#This Row],[frecuencia_new]]="Quincenal",RANDBETWEEN(1,2),RANDBETWEEN(1,4))))</f>
        <v>3</v>
      </c>
      <c r="H21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211" t="s">
        <v>217</v>
      </c>
      <c r="K211">
        <f>SUM(MID(Tabla142[[#This Row],[Duración]],1,2)*60,MID(Tabla142[[#This Row],[Duración]],6,2))</f>
        <v>30</v>
      </c>
      <c r="L211" s="4" t="s">
        <v>48</v>
      </c>
      <c r="M211" t="s">
        <v>253</v>
      </c>
      <c r="N211" t="s">
        <v>256</v>
      </c>
      <c r="O211" t="s">
        <v>384</v>
      </c>
      <c r="P211" t="s">
        <v>360</v>
      </c>
      <c r="Q211" s="20">
        <v>46032.649155092593</v>
      </c>
      <c r="R211" t="s">
        <v>5</v>
      </c>
      <c r="T211" t="s">
        <v>449</v>
      </c>
      <c r="V211" t="s">
        <v>621</v>
      </c>
      <c r="W211">
        <v>210</v>
      </c>
    </row>
    <row r="212" spans="1:23" ht="15" customHeight="1" x14ac:dyDescent="0.25">
      <c r="A212">
        <f t="shared" si="3"/>
        <v>38</v>
      </c>
      <c r="B212" t="s">
        <v>844</v>
      </c>
      <c r="C212" t="s">
        <v>47</v>
      </c>
      <c r="D212">
        <v>55</v>
      </c>
      <c r="E2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12">
        <f ca="1">IF(Tabla142[[#This Row],[frecuencia_new]]="Diaria"," ",RANDBETWEEN(1,6))</f>
        <v>4</v>
      </c>
      <c r="G212">
        <f ca="1">IF(Tabla142[[#This Row],[frecuencia_new]]="Diaria","",IF(Tabla142[[#This Row],[frecuencia_new]]="Semanal","",IF(Tabla142[[#This Row],[frecuencia_new]]="Quincenal",RANDBETWEEN(1,2),RANDBETWEEN(1,4))))</f>
        <v>3</v>
      </c>
      <c r="H212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212" t="s">
        <v>56</v>
      </c>
      <c r="K212">
        <f>SUM(MID(Tabla142[[#This Row],[Duración]],1,2)*60,MID(Tabla142[[#This Row],[Duración]],6,2))</f>
        <v>30</v>
      </c>
      <c r="L212" s="4" t="s">
        <v>48</v>
      </c>
      <c r="M212" t="s">
        <v>253</v>
      </c>
      <c r="N212" t="s">
        <v>256</v>
      </c>
      <c r="O212" t="s">
        <v>384</v>
      </c>
      <c r="P212" t="s">
        <v>360</v>
      </c>
      <c r="Q212" s="20">
        <v>46032.649155092593</v>
      </c>
      <c r="R212" t="s">
        <v>5</v>
      </c>
      <c r="T212" t="s">
        <v>449</v>
      </c>
      <c r="V212" t="s">
        <v>622</v>
      </c>
      <c r="W212">
        <v>211</v>
      </c>
    </row>
    <row r="213" spans="1:23" ht="15" customHeight="1" x14ac:dyDescent="0.25">
      <c r="A213">
        <f t="shared" si="3"/>
        <v>171</v>
      </c>
      <c r="B213" t="s">
        <v>845</v>
      </c>
      <c r="C213" t="s">
        <v>47</v>
      </c>
      <c r="D213">
        <v>55</v>
      </c>
      <c r="E2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13" t="str">
        <f ca="1">IF(Tabla142[[#This Row],[frecuencia_new]]="Diaria"," ",RANDBETWEEN(1,6))</f>
        <v xml:space="preserve"> </v>
      </c>
      <c r="G213" t="str">
        <f ca="1">IF(Tabla142[[#This Row],[frecuencia_new]]="Diaria","",IF(Tabla142[[#This Row],[frecuencia_new]]="Semanal","",IF(Tabla142[[#This Row],[frecuencia_new]]="Quincenal",RANDBETWEEN(1,2),RANDBETWEEN(1,4))))</f>
        <v/>
      </c>
      <c r="H2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13" t="s">
        <v>216</v>
      </c>
      <c r="K213">
        <f>SUM(MID(Tabla142[[#This Row],[Duración]],1,2)*60,MID(Tabla142[[#This Row],[Duración]],6,2))</f>
        <v>5</v>
      </c>
      <c r="L213" s="4" t="s">
        <v>50</v>
      </c>
      <c r="M213" t="s">
        <v>253</v>
      </c>
      <c r="N213" t="s">
        <v>256</v>
      </c>
      <c r="O213" t="s">
        <v>402</v>
      </c>
      <c r="P213" t="s">
        <v>361</v>
      </c>
      <c r="Q213" s="20">
        <v>46032.649155092593</v>
      </c>
      <c r="R213" t="s">
        <v>6</v>
      </c>
      <c r="T213" t="s">
        <v>582</v>
      </c>
      <c r="V213" t="s">
        <v>623</v>
      </c>
      <c r="W213">
        <v>212</v>
      </c>
    </row>
    <row r="214" spans="1:23" ht="15" customHeight="1" x14ac:dyDescent="0.25">
      <c r="A214">
        <f t="shared" si="3"/>
        <v>212</v>
      </c>
      <c r="B214" t="s">
        <v>846</v>
      </c>
      <c r="C214" s="18" t="s">
        <v>47</v>
      </c>
      <c r="D214">
        <v>55</v>
      </c>
      <c r="E2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214">
        <f ca="1">IF(Tabla142[[#This Row],[frecuencia_new]]="Diaria"," ",RANDBETWEEN(1,6))</f>
        <v>5</v>
      </c>
      <c r="G214">
        <f ca="1">IF(Tabla142[[#This Row],[frecuencia_new]]="Diaria","",IF(Tabla142[[#This Row],[frecuencia_new]]="Semanal","",IF(Tabla142[[#This Row],[frecuencia_new]]="Quincenal",RANDBETWEEN(1,2),RANDBETWEEN(1,4))))</f>
        <v>3</v>
      </c>
      <c r="H214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214" t="s">
        <v>99</v>
      </c>
      <c r="K214">
        <f>SUM(MID(Tabla142[[#This Row],[Duración]],1,2)*60,MID(Tabla142[[#This Row],[Duración]],6,2))</f>
        <v>30</v>
      </c>
      <c r="L214" s="4" t="s">
        <v>48</v>
      </c>
      <c r="M214" s="18" t="s">
        <v>253</v>
      </c>
      <c r="N214" t="s">
        <v>256</v>
      </c>
      <c r="O214" t="s">
        <v>395</v>
      </c>
      <c r="P214" t="s">
        <v>363</v>
      </c>
      <c r="Q214" s="20">
        <v>46032.649155092593</v>
      </c>
      <c r="R214" t="s">
        <v>18</v>
      </c>
      <c r="T214" t="s">
        <v>623</v>
      </c>
      <c r="V214" t="s">
        <v>624</v>
      </c>
      <c r="W214">
        <v>213</v>
      </c>
    </row>
    <row r="215" spans="1:23" ht="15" customHeight="1" x14ac:dyDescent="0.25">
      <c r="A215">
        <f t="shared" si="3"/>
        <v>212</v>
      </c>
      <c r="B215" t="s">
        <v>847</v>
      </c>
      <c r="C215" s="18" t="s">
        <v>47</v>
      </c>
      <c r="D215">
        <v>55</v>
      </c>
      <c r="E2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15">
        <f ca="1">IF(Tabla142[[#This Row],[frecuencia_new]]="Diaria"," ",RANDBETWEEN(1,6))</f>
        <v>5</v>
      </c>
      <c r="G215">
        <f ca="1">IF(Tabla142[[#This Row],[frecuencia_new]]="Diaria","",IF(Tabla142[[#This Row],[frecuencia_new]]="Semanal","",IF(Tabla142[[#This Row],[frecuencia_new]]="Quincenal",RANDBETWEEN(1,2),RANDBETWEEN(1,4))))</f>
        <v>2</v>
      </c>
      <c r="H21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15" t="s">
        <v>213</v>
      </c>
      <c r="K215">
        <f>SUM(MID(Tabla142[[#This Row],[Duración]],1,2)*60,MID(Tabla142[[#This Row],[Duración]],6,2))</f>
        <v>10</v>
      </c>
      <c r="L215" s="4" t="s">
        <v>71</v>
      </c>
      <c r="M215" s="18" t="s">
        <v>253</v>
      </c>
      <c r="N215" t="s">
        <v>256</v>
      </c>
      <c r="O215" t="s">
        <v>395</v>
      </c>
      <c r="P215" t="s">
        <v>363</v>
      </c>
      <c r="Q215" s="20">
        <v>46032.649155092593</v>
      </c>
      <c r="R215" t="s">
        <v>7</v>
      </c>
      <c r="T215" t="s">
        <v>623</v>
      </c>
      <c r="V215" t="s">
        <v>625</v>
      </c>
      <c r="W215">
        <v>214</v>
      </c>
    </row>
    <row r="216" spans="1:23" ht="15" customHeight="1" x14ac:dyDescent="0.25">
      <c r="A216">
        <f t="shared" si="3"/>
        <v>212</v>
      </c>
      <c r="B216" t="s">
        <v>848</v>
      </c>
      <c r="C216" s="18" t="s">
        <v>47</v>
      </c>
      <c r="D216">
        <v>55</v>
      </c>
      <c r="E2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16">
        <f ca="1">IF(Tabla142[[#This Row],[frecuencia_new]]="Diaria"," ",RANDBETWEEN(1,6))</f>
        <v>2</v>
      </c>
      <c r="G216" t="str">
        <f ca="1">IF(Tabla142[[#This Row],[frecuencia_new]]="Diaria","",IF(Tabla142[[#This Row],[frecuencia_new]]="Semanal","",IF(Tabla142[[#This Row],[frecuencia_new]]="Quincenal",RANDBETWEEN(1,2),RANDBETWEEN(1,4))))</f>
        <v/>
      </c>
      <c r="H2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16" t="s">
        <v>172</v>
      </c>
      <c r="K216">
        <f>SUM(MID(Tabla142[[#This Row],[Duración]],1,2)*60,MID(Tabla142[[#This Row],[Duración]],6,2))</f>
        <v>5</v>
      </c>
      <c r="L216" s="4" t="s">
        <v>50</v>
      </c>
      <c r="M216" s="18" t="s">
        <v>253</v>
      </c>
      <c r="N216" t="s">
        <v>256</v>
      </c>
      <c r="O216" t="s">
        <v>395</v>
      </c>
      <c r="P216" t="s">
        <v>363</v>
      </c>
      <c r="Q216" s="20">
        <v>46032.649155092593</v>
      </c>
      <c r="R216" t="s">
        <v>8</v>
      </c>
      <c r="T216" t="s">
        <v>623</v>
      </c>
      <c r="V216" t="s">
        <v>626</v>
      </c>
      <c r="W216">
        <v>215</v>
      </c>
    </row>
    <row r="217" spans="1:23" ht="15" customHeight="1" x14ac:dyDescent="0.25">
      <c r="A217">
        <f t="shared" si="3"/>
        <v>44</v>
      </c>
      <c r="B217" t="s">
        <v>849</v>
      </c>
      <c r="C217" t="s">
        <v>47</v>
      </c>
      <c r="D217">
        <v>98</v>
      </c>
      <c r="E2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17">
        <f ca="1">IF(Tabla142[[#This Row],[frecuencia_new]]="Diaria"," ",RANDBETWEEN(1,6))</f>
        <v>5</v>
      </c>
      <c r="G217">
        <f ca="1">IF(Tabla142[[#This Row],[frecuencia_new]]="Diaria","",IF(Tabla142[[#This Row],[frecuencia_new]]="Semanal","",IF(Tabla142[[#This Row],[frecuencia_new]]="Quincenal",RANDBETWEEN(1,2),RANDBETWEEN(1,4))))</f>
        <v>4</v>
      </c>
      <c r="H217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217" t="s">
        <v>46</v>
      </c>
      <c r="K217">
        <f>SUM(MID(Tabla142[[#This Row],[Duración]],1,2)*60,MID(Tabla142[[#This Row],[Duración]],6,2))</f>
        <v>30</v>
      </c>
      <c r="L217" s="4" t="s">
        <v>48</v>
      </c>
      <c r="M217" t="s">
        <v>253</v>
      </c>
      <c r="N217" t="s">
        <v>256</v>
      </c>
      <c r="O217" t="s">
        <v>384</v>
      </c>
      <c r="P217" t="s">
        <v>360</v>
      </c>
      <c r="Q217" s="20">
        <v>46032.649155092593</v>
      </c>
      <c r="R217" t="s">
        <v>5</v>
      </c>
      <c r="T217" t="s">
        <v>455</v>
      </c>
      <c r="V217" t="s">
        <v>627</v>
      </c>
      <c r="W217">
        <v>216</v>
      </c>
    </row>
    <row r="218" spans="1:23" ht="15" customHeight="1" x14ac:dyDescent="0.25">
      <c r="A218">
        <f t="shared" si="3"/>
        <v>44</v>
      </c>
      <c r="B218" t="s">
        <v>850</v>
      </c>
      <c r="C218" t="s">
        <v>47</v>
      </c>
      <c r="D218">
        <v>98</v>
      </c>
      <c r="E2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18">
        <f ca="1">IF(Tabla142[[#This Row],[frecuencia_new]]="Diaria"," ",RANDBETWEEN(1,6))</f>
        <v>5</v>
      </c>
      <c r="G218">
        <f ca="1">IF(Tabla142[[#This Row],[frecuencia_new]]="Diaria","",IF(Tabla142[[#This Row],[frecuencia_new]]="Semanal","",IF(Tabla142[[#This Row],[frecuencia_new]]="Quincenal",RANDBETWEEN(1,2),RANDBETWEEN(1,4))))</f>
        <v>1</v>
      </c>
      <c r="H218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218" t="s">
        <v>53</v>
      </c>
      <c r="K218">
        <f>SUM(MID(Tabla142[[#This Row],[Duración]],1,2)*60,MID(Tabla142[[#This Row],[Duración]],6,2))</f>
        <v>30</v>
      </c>
      <c r="L218" s="4" t="s">
        <v>48</v>
      </c>
      <c r="M218" t="s">
        <v>253</v>
      </c>
      <c r="N218" t="s">
        <v>256</v>
      </c>
      <c r="O218" t="s">
        <v>384</v>
      </c>
      <c r="P218" t="s">
        <v>360</v>
      </c>
      <c r="Q218" s="20">
        <v>46032.649155092593</v>
      </c>
      <c r="R218" t="s">
        <v>5</v>
      </c>
      <c r="T218" t="s">
        <v>455</v>
      </c>
      <c r="V218" t="s">
        <v>628</v>
      </c>
      <c r="W218">
        <v>217</v>
      </c>
    </row>
    <row r="219" spans="1:23" ht="15" customHeight="1" x14ac:dyDescent="0.25">
      <c r="A219">
        <f t="shared" si="3"/>
        <v>44</v>
      </c>
      <c r="B219" t="s">
        <v>851</v>
      </c>
      <c r="C219" t="s">
        <v>47</v>
      </c>
      <c r="D219">
        <v>98</v>
      </c>
      <c r="E2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19">
        <f ca="1">IF(Tabla142[[#This Row],[frecuencia_new]]="Diaria"," ",RANDBETWEEN(1,6))</f>
        <v>6</v>
      </c>
      <c r="G219">
        <f ca="1">IF(Tabla142[[#This Row],[frecuencia_new]]="Diaria","",IF(Tabla142[[#This Row],[frecuencia_new]]="Semanal","",IF(Tabla142[[#This Row],[frecuencia_new]]="Quincenal",RANDBETWEEN(1,2),RANDBETWEEN(1,4))))</f>
        <v>3</v>
      </c>
      <c r="H219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219" t="s">
        <v>217</v>
      </c>
      <c r="K219">
        <f>SUM(MID(Tabla142[[#This Row],[Duración]],1,2)*60,MID(Tabla142[[#This Row],[Duración]],6,2))</f>
        <v>30</v>
      </c>
      <c r="L219" s="4" t="s">
        <v>48</v>
      </c>
      <c r="M219" t="s">
        <v>253</v>
      </c>
      <c r="N219" t="s">
        <v>256</v>
      </c>
      <c r="O219" t="s">
        <v>384</v>
      </c>
      <c r="P219" t="s">
        <v>360</v>
      </c>
      <c r="Q219" s="20">
        <v>46032.649155092593</v>
      </c>
      <c r="R219" t="s">
        <v>5</v>
      </c>
      <c r="T219" t="s">
        <v>455</v>
      </c>
      <c r="V219" t="s">
        <v>629</v>
      </c>
      <c r="W219">
        <v>218</v>
      </c>
    </row>
    <row r="220" spans="1:23" ht="15" customHeight="1" x14ac:dyDescent="0.25">
      <c r="A220">
        <f t="shared" si="3"/>
        <v>44</v>
      </c>
      <c r="B220" t="s">
        <v>852</v>
      </c>
      <c r="C220" t="s">
        <v>47</v>
      </c>
      <c r="D220">
        <v>98</v>
      </c>
      <c r="E2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20">
        <f ca="1">IF(Tabla142[[#This Row],[frecuencia_new]]="Diaria"," ",RANDBETWEEN(1,6))</f>
        <v>5</v>
      </c>
      <c r="G220">
        <f ca="1">IF(Tabla142[[#This Row],[frecuencia_new]]="Diaria","",IF(Tabla142[[#This Row],[frecuencia_new]]="Semanal","",IF(Tabla142[[#This Row],[frecuencia_new]]="Quincenal",RANDBETWEEN(1,2),RANDBETWEEN(1,4))))</f>
        <v>3</v>
      </c>
      <c r="H220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220" t="s">
        <v>56</v>
      </c>
      <c r="K220">
        <f>SUM(MID(Tabla142[[#This Row],[Duración]],1,2)*60,MID(Tabla142[[#This Row],[Duración]],6,2))</f>
        <v>30</v>
      </c>
      <c r="L220" s="4" t="s">
        <v>48</v>
      </c>
      <c r="M220" t="s">
        <v>253</v>
      </c>
      <c r="N220" t="s">
        <v>256</v>
      </c>
      <c r="O220" t="s">
        <v>384</v>
      </c>
      <c r="P220" t="s">
        <v>360</v>
      </c>
      <c r="Q220" s="20">
        <v>46032.649155092593</v>
      </c>
      <c r="R220" t="s">
        <v>5</v>
      </c>
      <c r="T220" t="s">
        <v>455</v>
      </c>
      <c r="V220" t="s">
        <v>630</v>
      </c>
      <c r="W220">
        <v>219</v>
      </c>
    </row>
    <row r="221" spans="1:23" ht="15" customHeight="1" x14ac:dyDescent="0.25">
      <c r="A221">
        <f t="shared" si="3"/>
        <v>172</v>
      </c>
      <c r="B221" t="s">
        <v>853</v>
      </c>
      <c r="C221" t="s">
        <v>47</v>
      </c>
      <c r="D221">
        <v>98</v>
      </c>
      <c r="E2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21">
        <f ca="1">IF(Tabla142[[#This Row],[frecuencia_new]]="Diaria"," ",RANDBETWEEN(1,6))</f>
        <v>2</v>
      </c>
      <c r="G221" t="str">
        <f ca="1">IF(Tabla142[[#This Row],[frecuencia_new]]="Diaria","",IF(Tabla142[[#This Row],[frecuencia_new]]="Semanal","",IF(Tabla142[[#This Row],[frecuencia_new]]="Quincenal",RANDBETWEEN(1,2),RANDBETWEEN(1,4))))</f>
        <v/>
      </c>
      <c r="H2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1" t="s">
        <v>229</v>
      </c>
      <c r="K221">
        <f>SUM(MID(Tabla142[[#This Row],[Duración]],1,2)*60,MID(Tabla142[[#This Row],[Duración]],6,2))</f>
        <v>20</v>
      </c>
      <c r="L221" s="4" t="s">
        <v>82</v>
      </c>
      <c r="M221" t="s">
        <v>253</v>
      </c>
      <c r="N221" t="s">
        <v>256</v>
      </c>
      <c r="O221" t="s">
        <v>402</v>
      </c>
      <c r="P221" t="s">
        <v>361</v>
      </c>
      <c r="Q221" s="20">
        <v>46032.649155092593</v>
      </c>
      <c r="R221" t="s">
        <v>8</v>
      </c>
      <c r="T221" t="s">
        <v>583</v>
      </c>
      <c r="V221" t="s">
        <v>631</v>
      </c>
      <c r="W221">
        <v>220</v>
      </c>
    </row>
    <row r="222" spans="1:23" ht="15" customHeight="1" x14ac:dyDescent="0.25">
      <c r="A222">
        <f t="shared" si="3"/>
        <v>172</v>
      </c>
      <c r="B222" t="s">
        <v>854</v>
      </c>
      <c r="C222" t="s">
        <v>47</v>
      </c>
      <c r="D222">
        <v>98</v>
      </c>
      <c r="E2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22" t="str">
        <f ca="1">IF(Tabla142[[#This Row],[frecuencia_new]]="Diaria"," ",RANDBETWEEN(1,6))</f>
        <v xml:space="preserve"> </v>
      </c>
      <c r="G222" t="str">
        <f ca="1">IF(Tabla142[[#This Row],[frecuencia_new]]="Diaria","",IF(Tabla142[[#This Row],[frecuencia_new]]="Semanal","",IF(Tabla142[[#This Row],[frecuencia_new]]="Quincenal",RANDBETWEEN(1,2),RANDBETWEEN(1,4))))</f>
        <v/>
      </c>
      <c r="H2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2" t="s">
        <v>231</v>
      </c>
      <c r="K222">
        <f>SUM(MID(Tabla142[[#This Row],[Duración]],1,2)*60,MID(Tabla142[[#This Row],[Duración]],6,2))</f>
        <v>2</v>
      </c>
      <c r="L222" s="4" t="s">
        <v>60</v>
      </c>
      <c r="M222" t="s">
        <v>253</v>
      </c>
      <c r="N222" t="s">
        <v>256</v>
      </c>
      <c r="O222" t="s">
        <v>402</v>
      </c>
      <c r="P222" t="s">
        <v>361</v>
      </c>
      <c r="Q222" s="20">
        <v>46032.649155092593</v>
      </c>
      <c r="R222" t="s">
        <v>6</v>
      </c>
      <c r="T222" t="s">
        <v>583</v>
      </c>
      <c r="V222" t="s">
        <v>632</v>
      </c>
      <c r="W222">
        <v>221</v>
      </c>
    </row>
    <row r="223" spans="1:23" ht="15" customHeight="1" x14ac:dyDescent="0.25">
      <c r="A223">
        <f t="shared" si="3"/>
        <v>172</v>
      </c>
      <c r="B223" t="s">
        <v>855</v>
      </c>
      <c r="C223" t="s">
        <v>47</v>
      </c>
      <c r="D223">
        <v>98</v>
      </c>
      <c r="E2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23" t="str">
        <f ca="1">IF(Tabla142[[#This Row],[frecuencia_new]]="Diaria"," ",RANDBETWEEN(1,6))</f>
        <v xml:space="preserve"> </v>
      </c>
      <c r="G223" t="str">
        <f ca="1">IF(Tabla142[[#This Row],[frecuencia_new]]="Diaria","",IF(Tabla142[[#This Row],[frecuencia_new]]="Semanal","",IF(Tabla142[[#This Row],[frecuencia_new]]="Quincenal",RANDBETWEEN(1,2),RANDBETWEEN(1,4))))</f>
        <v/>
      </c>
      <c r="H2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3" t="s">
        <v>232</v>
      </c>
      <c r="K223">
        <f>SUM(MID(Tabla142[[#This Row],[Duración]],1,2)*60,MID(Tabla142[[#This Row],[Duración]],6,2))</f>
        <v>2</v>
      </c>
      <c r="L223" s="4" t="s">
        <v>60</v>
      </c>
      <c r="M223" t="s">
        <v>253</v>
      </c>
      <c r="N223" t="s">
        <v>256</v>
      </c>
      <c r="O223" t="s">
        <v>402</v>
      </c>
      <c r="P223" t="s">
        <v>361</v>
      </c>
      <c r="Q223" s="20">
        <v>46032.649155092593</v>
      </c>
      <c r="R223" t="s">
        <v>6</v>
      </c>
      <c r="T223" t="s">
        <v>583</v>
      </c>
    </row>
    <row r="224" spans="1:23" ht="15" customHeight="1" x14ac:dyDescent="0.25">
      <c r="A224">
        <f t="shared" si="3"/>
        <v>172</v>
      </c>
      <c r="B224" t="s">
        <v>856</v>
      </c>
      <c r="C224" t="s">
        <v>47</v>
      </c>
      <c r="D224">
        <v>98</v>
      </c>
      <c r="E2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24" t="str">
        <f ca="1">IF(Tabla142[[#This Row],[frecuencia_new]]="Diaria"," ",RANDBETWEEN(1,6))</f>
        <v xml:space="preserve"> </v>
      </c>
      <c r="G224" t="str">
        <f ca="1">IF(Tabla142[[#This Row],[frecuencia_new]]="Diaria","",IF(Tabla142[[#This Row],[frecuencia_new]]="Semanal","",IF(Tabla142[[#This Row],[frecuencia_new]]="Quincenal",RANDBETWEEN(1,2),RANDBETWEEN(1,4))))</f>
        <v/>
      </c>
      <c r="H2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4" t="s">
        <v>233</v>
      </c>
      <c r="K224">
        <f>SUM(MID(Tabla142[[#This Row],[Duración]],1,2)*60,MID(Tabla142[[#This Row],[Duración]],6,2))</f>
        <v>2</v>
      </c>
      <c r="L224" s="4" t="s">
        <v>60</v>
      </c>
      <c r="M224" t="s">
        <v>253</v>
      </c>
      <c r="N224" t="s">
        <v>256</v>
      </c>
      <c r="O224" t="s">
        <v>402</v>
      </c>
      <c r="P224" t="s">
        <v>361</v>
      </c>
      <c r="Q224" s="20">
        <v>46032.649155092593</v>
      </c>
      <c r="R224" t="s">
        <v>6</v>
      </c>
      <c r="T224" t="s">
        <v>583</v>
      </c>
    </row>
    <row r="225" spans="1:20" ht="15" customHeight="1" x14ac:dyDescent="0.25">
      <c r="A225">
        <f t="shared" si="3"/>
        <v>213</v>
      </c>
      <c r="B225" t="s">
        <v>857</v>
      </c>
      <c r="C225" t="s">
        <v>47</v>
      </c>
      <c r="D225">
        <v>98</v>
      </c>
      <c r="E2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25">
        <f ca="1">IF(Tabla142[[#This Row],[frecuencia_new]]="Diaria"," ",RANDBETWEEN(1,6))</f>
        <v>6</v>
      </c>
      <c r="G225">
        <f ca="1">IF(Tabla142[[#This Row],[frecuencia_new]]="Diaria","",IF(Tabla142[[#This Row],[frecuencia_new]]="Semanal","",IF(Tabla142[[#This Row],[frecuencia_new]]="Quincenal",RANDBETWEEN(1,2),RANDBETWEEN(1,4))))</f>
        <v>1</v>
      </c>
      <c r="H2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5" t="s">
        <v>213</v>
      </c>
      <c r="K225">
        <f>SUM(MID(Tabla142[[#This Row],[Duración]],1,2)*60,MID(Tabla142[[#This Row],[Duración]],6,2))</f>
        <v>20</v>
      </c>
      <c r="L225" s="4" t="s">
        <v>82</v>
      </c>
      <c r="M225" t="s">
        <v>253</v>
      </c>
      <c r="N225" t="s">
        <v>256</v>
      </c>
      <c r="O225" t="s">
        <v>395</v>
      </c>
      <c r="P225" t="s">
        <v>363</v>
      </c>
      <c r="Q225" s="20">
        <v>46032.649155092593</v>
      </c>
      <c r="R225" t="s">
        <v>7</v>
      </c>
      <c r="T225" t="s">
        <v>624</v>
      </c>
    </row>
    <row r="226" spans="1:20" ht="15" customHeight="1" x14ac:dyDescent="0.25">
      <c r="A226">
        <f t="shared" si="3"/>
        <v>213</v>
      </c>
      <c r="B226" t="s">
        <v>858</v>
      </c>
      <c r="C226" t="s">
        <v>47</v>
      </c>
      <c r="D226">
        <v>98</v>
      </c>
      <c r="E2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26">
        <f ca="1">IF(Tabla142[[#This Row],[frecuencia_new]]="Diaria"," ",RANDBETWEEN(1,6))</f>
        <v>5</v>
      </c>
      <c r="G226">
        <f ca="1">IF(Tabla142[[#This Row],[frecuencia_new]]="Diaria","",IF(Tabla142[[#This Row],[frecuencia_new]]="Semanal","",IF(Tabla142[[#This Row],[frecuencia_new]]="Quincenal",RANDBETWEEN(1,2),RANDBETWEEN(1,4))))</f>
        <v>1</v>
      </c>
      <c r="H2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6" t="s">
        <v>230</v>
      </c>
      <c r="K226">
        <f>SUM(MID(Tabla142[[#This Row],[Duración]],1,2)*60,MID(Tabla142[[#This Row],[Duración]],6,2))</f>
        <v>20</v>
      </c>
      <c r="L226" s="4" t="s">
        <v>82</v>
      </c>
      <c r="M226" t="s">
        <v>253</v>
      </c>
      <c r="N226" t="s">
        <v>256</v>
      </c>
      <c r="O226" t="s">
        <v>395</v>
      </c>
      <c r="P226" t="s">
        <v>363</v>
      </c>
      <c r="Q226" s="20">
        <v>46032.649155092593</v>
      </c>
      <c r="R226" t="s">
        <v>7</v>
      </c>
      <c r="T226" t="s">
        <v>624</v>
      </c>
    </row>
    <row r="227" spans="1:20" ht="15" customHeight="1" x14ac:dyDescent="0.25">
      <c r="A227">
        <f t="shared" si="3"/>
        <v>213</v>
      </c>
      <c r="B227" t="s">
        <v>859</v>
      </c>
      <c r="C227" t="s">
        <v>47</v>
      </c>
      <c r="D227">
        <v>98</v>
      </c>
      <c r="E2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27">
        <f ca="1">IF(Tabla142[[#This Row],[frecuencia_new]]="Diaria"," ",RANDBETWEEN(1,6))</f>
        <v>1</v>
      </c>
      <c r="G227" t="str">
        <f ca="1">IF(Tabla142[[#This Row],[frecuencia_new]]="Diaria","",IF(Tabla142[[#This Row],[frecuencia_new]]="Semanal","",IF(Tabla142[[#This Row],[frecuencia_new]]="Quincenal",RANDBETWEEN(1,2),RANDBETWEEN(1,4))))</f>
        <v/>
      </c>
      <c r="H2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27" t="s">
        <v>172</v>
      </c>
      <c r="K227">
        <f>SUM(MID(Tabla142[[#This Row],[Duración]],1,2)*60,MID(Tabla142[[#This Row],[Duración]],6,2))</f>
        <v>20</v>
      </c>
      <c r="L227" s="4" t="s">
        <v>82</v>
      </c>
      <c r="M227" t="s">
        <v>253</v>
      </c>
      <c r="N227" t="s">
        <v>256</v>
      </c>
      <c r="O227" t="s">
        <v>395</v>
      </c>
      <c r="P227" t="s">
        <v>363</v>
      </c>
      <c r="Q227" s="20">
        <v>46032.649155092593</v>
      </c>
      <c r="R227" t="s">
        <v>8</v>
      </c>
      <c r="T227" t="s">
        <v>624</v>
      </c>
    </row>
    <row r="228" spans="1:20" ht="15" customHeight="1" x14ac:dyDescent="0.25">
      <c r="A228">
        <f t="shared" si="3"/>
        <v>58</v>
      </c>
      <c r="B228" t="s">
        <v>860</v>
      </c>
      <c r="C228" s="18" t="s">
        <v>47</v>
      </c>
      <c r="D228" s="18">
        <v>145</v>
      </c>
      <c r="E2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28">
        <f ca="1">IF(Tabla142[[#This Row],[frecuencia_new]]="Diaria"," ",RANDBETWEEN(1,6))</f>
        <v>4</v>
      </c>
      <c r="G228">
        <f ca="1">IF(Tabla142[[#This Row],[frecuencia_new]]="Diaria","",IF(Tabla142[[#This Row],[frecuencia_new]]="Semanal","",IF(Tabla142[[#This Row],[frecuencia_new]]="Quincenal",RANDBETWEEN(1,2),RANDBETWEEN(1,4))))</f>
        <v>4</v>
      </c>
      <c r="H228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228" s="18" t="s">
        <v>46</v>
      </c>
      <c r="K228" s="18">
        <f>SUM(MID(Tabla142[[#This Row],[Duración]],1,2)*60,MID(Tabla142[[#This Row],[Duración]],6,2))</f>
        <v>30</v>
      </c>
      <c r="L228" s="19" t="s">
        <v>48</v>
      </c>
      <c r="M228" s="18" t="s">
        <v>253</v>
      </c>
      <c r="N228" t="s">
        <v>256</v>
      </c>
      <c r="O228" t="s">
        <v>384</v>
      </c>
      <c r="P228" t="s">
        <v>360</v>
      </c>
      <c r="Q228" s="20">
        <v>46032.649155092593</v>
      </c>
      <c r="R228" s="18" t="s">
        <v>5</v>
      </c>
      <c r="T228" t="s">
        <v>469</v>
      </c>
    </row>
    <row r="229" spans="1:20" ht="15" customHeight="1" x14ac:dyDescent="0.25">
      <c r="A229">
        <f t="shared" si="3"/>
        <v>58</v>
      </c>
      <c r="B229" t="s">
        <v>861</v>
      </c>
      <c r="C229" s="18" t="s">
        <v>47</v>
      </c>
      <c r="D229" s="18">
        <v>145</v>
      </c>
      <c r="E2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29">
        <f ca="1">IF(Tabla142[[#This Row],[frecuencia_new]]="Diaria"," ",RANDBETWEEN(1,6))</f>
        <v>5</v>
      </c>
      <c r="G229">
        <f ca="1">IF(Tabla142[[#This Row],[frecuencia_new]]="Diaria","",IF(Tabla142[[#This Row],[frecuencia_new]]="Semanal","",IF(Tabla142[[#This Row],[frecuencia_new]]="Quincenal",RANDBETWEEN(1,2),RANDBETWEEN(1,4))))</f>
        <v>1</v>
      </c>
      <c r="H229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229" s="18" t="s">
        <v>53</v>
      </c>
      <c r="K229" s="18">
        <f>SUM(MID(Tabla142[[#This Row],[Duración]],1,2)*60,MID(Tabla142[[#This Row],[Duración]],6,2))</f>
        <v>30</v>
      </c>
      <c r="L229" s="19" t="s">
        <v>48</v>
      </c>
      <c r="M229" s="18" t="s">
        <v>253</v>
      </c>
      <c r="N229" t="s">
        <v>256</v>
      </c>
      <c r="O229" t="s">
        <v>384</v>
      </c>
      <c r="P229" t="s">
        <v>360</v>
      </c>
      <c r="Q229" s="20">
        <v>46032.649155092593</v>
      </c>
      <c r="R229" s="18" t="s">
        <v>5</v>
      </c>
      <c r="T229" t="s">
        <v>469</v>
      </c>
    </row>
    <row r="230" spans="1:20" ht="15" customHeight="1" x14ac:dyDescent="0.25">
      <c r="A230">
        <f t="shared" si="3"/>
        <v>58</v>
      </c>
      <c r="B230" t="s">
        <v>862</v>
      </c>
      <c r="C230" s="18" t="s">
        <v>47</v>
      </c>
      <c r="D230" s="18">
        <v>145</v>
      </c>
      <c r="E2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30">
        <f ca="1">IF(Tabla142[[#This Row],[frecuencia_new]]="Diaria"," ",RANDBETWEEN(1,6))</f>
        <v>5</v>
      </c>
      <c r="G230">
        <f ca="1">IF(Tabla142[[#This Row],[frecuencia_new]]="Diaria","",IF(Tabla142[[#This Row],[frecuencia_new]]="Semanal","",IF(Tabla142[[#This Row],[frecuencia_new]]="Quincenal",RANDBETWEEN(1,2),RANDBETWEEN(1,4))))</f>
        <v>2</v>
      </c>
      <c r="H230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230" s="18" t="s">
        <v>217</v>
      </c>
      <c r="K230" s="18">
        <f>SUM(MID(Tabla142[[#This Row],[Duración]],1,2)*60,MID(Tabla142[[#This Row],[Duración]],6,2))</f>
        <v>30</v>
      </c>
      <c r="L230" s="19" t="s">
        <v>48</v>
      </c>
      <c r="M230" s="18" t="s">
        <v>253</v>
      </c>
      <c r="N230" t="s">
        <v>256</v>
      </c>
      <c r="O230" t="s">
        <v>384</v>
      </c>
      <c r="P230" t="s">
        <v>360</v>
      </c>
      <c r="Q230" s="20">
        <v>46032.649155092593</v>
      </c>
      <c r="R230" s="18" t="s">
        <v>5</v>
      </c>
      <c r="T230" t="s">
        <v>469</v>
      </c>
    </row>
    <row r="231" spans="1:20" ht="15" customHeight="1" x14ac:dyDescent="0.25">
      <c r="A231">
        <f t="shared" si="3"/>
        <v>58</v>
      </c>
      <c r="B231" t="s">
        <v>863</v>
      </c>
      <c r="C231" s="18" t="s">
        <v>47</v>
      </c>
      <c r="D231" s="18">
        <v>145</v>
      </c>
      <c r="E2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31">
        <f ca="1">IF(Tabla142[[#This Row],[frecuencia_new]]="Diaria"," ",RANDBETWEEN(1,6))</f>
        <v>5</v>
      </c>
      <c r="G231">
        <f ca="1">IF(Tabla142[[#This Row],[frecuencia_new]]="Diaria","",IF(Tabla142[[#This Row],[frecuencia_new]]="Semanal","",IF(Tabla142[[#This Row],[frecuencia_new]]="Quincenal",RANDBETWEEN(1,2),RANDBETWEEN(1,4))))</f>
        <v>4</v>
      </c>
      <c r="H23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231" s="18" t="s">
        <v>56</v>
      </c>
      <c r="K231" s="18">
        <f>SUM(MID(Tabla142[[#This Row],[Duración]],1,2)*60,MID(Tabla142[[#This Row],[Duración]],6,2))</f>
        <v>30</v>
      </c>
      <c r="L231" s="19" t="s">
        <v>48</v>
      </c>
      <c r="M231" s="18" t="s">
        <v>253</v>
      </c>
      <c r="N231" t="s">
        <v>256</v>
      </c>
      <c r="O231" t="s">
        <v>384</v>
      </c>
      <c r="P231" t="s">
        <v>360</v>
      </c>
      <c r="Q231" s="20">
        <v>46032.649155092593</v>
      </c>
      <c r="R231" s="18" t="s">
        <v>5</v>
      </c>
      <c r="T231" t="s">
        <v>469</v>
      </c>
    </row>
    <row r="232" spans="1:20" ht="15" customHeight="1" x14ac:dyDescent="0.25">
      <c r="A232">
        <f t="shared" si="3"/>
        <v>173</v>
      </c>
      <c r="B232" t="s">
        <v>864</v>
      </c>
      <c r="C232" s="18" t="s">
        <v>47</v>
      </c>
      <c r="D232" s="18">
        <v>145</v>
      </c>
      <c r="E2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32" t="str">
        <f ca="1">IF(Tabla142[[#This Row],[frecuencia_new]]="Diaria"," ",RANDBETWEEN(1,6))</f>
        <v xml:space="preserve"> </v>
      </c>
      <c r="G232" t="str">
        <f ca="1">IF(Tabla142[[#This Row],[frecuencia_new]]="Diaria","",IF(Tabla142[[#This Row],[frecuencia_new]]="Semanal","",IF(Tabla142[[#This Row],[frecuencia_new]]="Quincenal",RANDBETWEEN(1,2),RANDBETWEEN(1,4))))</f>
        <v/>
      </c>
      <c r="H2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2" s="18" t="s">
        <v>216</v>
      </c>
      <c r="K232" s="18">
        <f>SUM(MID(Tabla142[[#This Row],[Duración]],1,2)*60,MID(Tabla142[[#This Row],[Duración]],6,2))</f>
        <v>5</v>
      </c>
      <c r="L232" s="19" t="s">
        <v>50</v>
      </c>
      <c r="M232" s="18" t="s">
        <v>253</v>
      </c>
      <c r="N232" t="s">
        <v>256</v>
      </c>
      <c r="O232" t="s">
        <v>402</v>
      </c>
      <c r="P232" t="s">
        <v>361</v>
      </c>
      <c r="Q232" s="20">
        <v>46032.649155092593</v>
      </c>
      <c r="R232" s="18" t="s">
        <v>6</v>
      </c>
      <c r="T232" t="s">
        <v>584</v>
      </c>
    </row>
    <row r="233" spans="1:20" ht="15" customHeight="1" x14ac:dyDescent="0.25">
      <c r="A233">
        <f t="shared" si="3"/>
        <v>214</v>
      </c>
      <c r="B233" t="s">
        <v>865</v>
      </c>
      <c r="C233" s="18" t="s">
        <v>47</v>
      </c>
      <c r="D233" s="18">
        <v>145</v>
      </c>
      <c r="E2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33">
        <f ca="1">IF(Tabla142[[#This Row],[frecuencia_new]]="Diaria"," ",RANDBETWEEN(1,6))</f>
        <v>6</v>
      </c>
      <c r="G233">
        <f ca="1">IF(Tabla142[[#This Row],[frecuencia_new]]="Diaria","",IF(Tabla142[[#This Row],[frecuencia_new]]="Semanal","",IF(Tabla142[[#This Row],[frecuencia_new]]="Quincenal",RANDBETWEEN(1,2),RANDBETWEEN(1,4))))</f>
        <v>2</v>
      </c>
      <c r="H2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3" s="18" t="s">
        <v>213</v>
      </c>
      <c r="K233" s="18">
        <f>SUM(MID(Tabla142[[#This Row],[Duración]],1,2)*60,MID(Tabla142[[#This Row],[Duración]],6,2))</f>
        <v>10</v>
      </c>
      <c r="L233" s="19" t="s">
        <v>71</v>
      </c>
      <c r="M233" s="18" t="s">
        <v>253</v>
      </c>
      <c r="N233" t="s">
        <v>256</v>
      </c>
      <c r="O233" t="s">
        <v>395</v>
      </c>
      <c r="P233" t="s">
        <v>363</v>
      </c>
      <c r="Q233" s="20">
        <v>46032.649155092593</v>
      </c>
      <c r="R233" s="18" t="s">
        <v>7</v>
      </c>
      <c r="T233" t="s">
        <v>625</v>
      </c>
    </row>
    <row r="234" spans="1:20" ht="15" customHeight="1" x14ac:dyDescent="0.25">
      <c r="A234">
        <f t="shared" si="3"/>
        <v>214</v>
      </c>
      <c r="B234" t="s">
        <v>866</v>
      </c>
      <c r="C234" s="18" t="s">
        <v>47</v>
      </c>
      <c r="D234" s="18">
        <v>145</v>
      </c>
      <c r="E2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34">
        <f ca="1">IF(Tabla142[[#This Row],[frecuencia_new]]="Diaria"," ",RANDBETWEEN(1,6))</f>
        <v>5</v>
      </c>
      <c r="G234">
        <f ca="1">IF(Tabla142[[#This Row],[frecuencia_new]]="Diaria","",IF(Tabla142[[#This Row],[frecuencia_new]]="Semanal","",IF(Tabla142[[#This Row],[frecuencia_new]]="Quincenal",RANDBETWEEN(1,2),RANDBETWEEN(1,4))))</f>
        <v>4</v>
      </c>
      <c r="H2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4" s="18" t="s">
        <v>214</v>
      </c>
      <c r="K234" s="18">
        <f>SUM(MID(Tabla142[[#This Row],[Duración]],1,2)*60,MID(Tabla142[[#This Row],[Duración]],6,2))</f>
        <v>10</v>
      </c>
      <c r="L234" s="19" t="s">
        <v>71</v>
      </c>
      <c r="M234" s="18" t="s">
        <v>253</v>
      </c>
      <c r="N234" t="s">
        <v>256</v>
      </c>
      <c r="O234" t="s">
        <v>395</v>
      </c>
      <c r="P234" t="s">
        <v>363</v>
      </c>
      <c r="Q234" s="20">
        <v>46032.649155092593</v>
      </c>
      <c r="R234" s="18" t="s">
        <v>7</v>
      </c>
      <c r="T234" t="s">
        <v>625</v>
      </c>
    </row>
    <row r="235" spans="1:20" ht="15" customHeight="1" x14ac:dyDescent="0.25">
      <c r="A235">
        <f t="shared" si="3"/>
        <v>214</v>
      </c>
      <c r="B235" t="s">
        <v>867</v>
      </c>
      <c r="C235" s="18" t="s">
        <v>47</v>
      </c>
      <c r="D235" s="18">
        <v>145</v>
      </c>
      <c r="E2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35">
        <f ca="1">IF(Tabla142[[#This Row],[frecuencia_new]]="Diaria"," ",RANDBETWEEN(1,6))</f>
        <v>1</v>
      </c>
      <c r="G235">
        <f ca="1">IF(Tabla142[[#This Row],[frecuencia_new]]="Diaria","",IF(Tabla142[[#This Row],[frecuencia_new]]="Semanal","",IF(Tabla142[[#This Row],[frecuencia_new]]="Quincenal",RANDBETWEEN(1,2),RANDBETWEEN(1,4))))</f>
        <v>2</v>
      </c>
      <c r="H2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5" s="18" t="s">
        <v>215</v>
      </c>
      <c r="K235" s="18">
        <f>SUM(MID(Tabla142[[#This Row],[Duración]],1,2)*60,MID(Tabla142[[#This Row],[Duración]],6,2))</f>
        <v>10</v>
      </c>
      <c r="L235" s="19" t="s">
        <v>71</v>
      </c>
      <c r="M235" s="18" t="s">
        <v>253</v>
      </c>
      <c r="N235" t="s">
        <v>256</v>
      </c>
      <c r="O235" t="s">
        <v>395</v>
      </c>
      <c r="P235" t="s">
        <v>363</v>
      </c>
      <c r="Q235" s="20">
        <v>46032.649155092593</v>
      </c>
      <c r="R235" s="18" t="s">
        <v>7</v>
      </c>
      <c r="T235" t="s">
        <v>625</v>
      </c>
    </row>
    <row r="236" spans="1:20" ht="15" customHeight="1" x14ac:dyDescent="0.25">
      <c r="A236">
        <f t="shared" si="3"/>
        <v>214</v>
      </c>
      <c r="B236" t="s">
        <v>868</v>
      </c>
      <c r="C236" s="18" t="s">
        <v>47</v>
      </c>
      <c r="D236" s="18">
        <v>145</v>
      </c>
      <c r="E2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36">
        <f ca="1">IF(Tabla142[[#This Row],[frecuencia_new]]="Diaria"," ",RANDBETWEEN(1,6))</f>
        <v>1</v>
      </c>
      <c r="G236" t="str">
        <f ca="1">IF(Tabla142[[#This Row],[frecuencia_new]]="Diaria","",IF(Tabla142[[#This Row],[frecuencia_new]]="Semanal","",IF(Tabla142[[#This Row],[frecuencia_new]]="Quincenal",RANDBETWEEN(1,2),RANDBETWEEN(1,4))))</f>
        <v/>
      </c>
      <c r="H2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6" s="18" t="s">
        <v>172</v>
      </c>
      <c r="K236" s="18">
        <f>SUM(MID(Tabla142[[#This Row],[Duración]],1,2)*60,MID(Tabla142[[#This Row],[Duración]],6,2))</f>
        <v>5</v>
      </c>
      <c r="L236" s="19" t="s">
        <v>50</v>
      </c>
      <c r="M236" s="18" t="s">
        <v>253</v>
      </c>
      <c r="N236" t="s">
        <v>256</v>
      </c>
      <c r="O236" t="s">
        <v>395</v>
      </c>
      <c r="P236" t="s">
        <v>363</v>
      </c>
      <c r="Q236" s="20">
        <v>46032.649155092593</v>
      </c>
      <c r="R236" s="18" t="s">
        <v>8</v>
      </c>
      <c r="T236" t="s">
        <v>625</v>
      </c>
    </row>
    <row r="237" spans="1:20" ht="15" customHeight="1" x14ac:dyDescent="0.25">
      <c r="A237">
        <f t="shared" si="3"/>
        <v>130</v>
      </c>
      <c r="B237" t="s">
        <v>869</v>
      </c>
      <c r="C237" t="s">
        <v>47</v>
      </c>
      <c r="D237">
        <v>26</v>
      </c>
      <c r="E2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37">
        <f ca="1">IF(Tabla142[[#This Row],[frecuencia_new]]="Diaria"," ",RANDBETWEEN(1,6))</f>
        <v>5</v>
      </c>
      <c r="G237">
        <f ca="1">IF(Tabla142[[#This Row],[frecuencia_new]]="Diaria","",IF(Tabla142[[#This Row],[frecuencia_new]]="Semanal","",IF(Tabla142[[#This Row],[frecuencia_new]]="Quincenal",RANDBETWEEN(1,2),RANDBETWEEN(1,4))))</f>
        <v>2</v>
      </c>
      <c r="H237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237" t="s">
        <v>265</v>
      </c>
      <c r="K237">
        <f>SUM(MID(Tabla142[[#This Row],[Duración]],1,2)*60,MID(Tabla142[[#This Row],[Duración]],6,2))</f>
        <v>25</v>
      </c>
      <c r="L237" s="4" t="s">
        <v>184</v>
      </c>
      <c r="M237" t="s">
        <v>257</v>
      </c>
      <c r="N237" t="s">
        <v>359</v>
      </c>
      <c r="O237" t="s">
        <v>380</v>
      </c>
      <c r="P237" t="s">
        <v>360</v>
      </c>
      <c r="Q237" s="20">
        <v>46032.649155092593</v>
      </c>
      <c r="R237" t="s">
        <v>5</v>
      </c>
      <c r="T237" t="s">
        <v>541</v>
      </c>
    </row>
    <row r="238" spans="1:20" ht="15" customHeight="1" x14ac:dyDescent="0.25">
      <c r="A238">
        <f t="shared" si="3"/>
        <v>130</v>
      </c>
      <c r="B238" t="s">
        <v>870</v>
      </c>
      <c r="C238" t="s">
        <v>47</v>
      </c>
      <c r="D238">
        <v>26</v>
      </c>
      <c r="E2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38" t="str">
        <f ca="1">IF(Tabla142[[#This Row],[frecuencia_new]]="Diaria"," ",RANDBETWEEN(1,6))</f>
        <v xml:space="preserve"> </v>
      </c>
      <c r="G238" t="str">
        <f ca="1">IF(Tabla142[[#This Row],[frecuencia_new]]="Diaria","",IF(Tabla142[[#This Row],[frecuencia_new]]="Semanal","",IF(Tabla142[[#This Row],[frecuencia_new]]="Quincenal",RANDBETWEEN(1,2),RANDBETWEEN(1,4))))</f>
        <v/>
      </c>
      <c r="H23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8" t="s">
        <v>266</v>
      </c>
      <c r="K238">
        <f>SUM(MID(Tabla142[[#This Row],[Duración]],1,2)*60,MID(Tabla142[[#This Row],[Duración]],6,2))</f>
        <v>2</v>
      </c>
      <c r="L238" s="4" t="s">
        <v>60</v>
      </c>
      <c r="M238" t="s">
        <v>257</v>
      </c>
      <c r="N238" t="s">
        <v>359</v>
      </c>
      <c r="O238" t="s">
        <v>380</v>
      </c>
      <c r="P238" t="s">
        <v>360</v>
      </c>
      <c r="Q238" s="20">
        <v>46032.649155092593</v>
      </c>
      <c r="R238" t="s">
        <v>6</v>
      </c>
      <c r="T238" t="s">
        <v>541</v>
      </c>
    </row>
    <row r="239" spans="1:20" ht="15" customHeight="1" x14ac:dyDescent="0.25">
      <c r="A239">
        <f t="shared" si="3"/>
        <v>130</v>
      </c>
      <c r="B239" t="s">
        <v>871</v>
      </c>
      <c r="C239" t="s">
        <v>47</v>
      </c>
      <c r="D239">
        <v>26</v>
      </c>
      <c r="E2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39">
        <f ca="1">IF(Tabla142[[#This Row],[frecuencia_new]]="Diaria"," ",RANDBETWEEN(1,6))</f>
        <v>3</v>
      </c>
      <c r="G239">
        <f ca="1">IF(Tabla142[[#This Row],[frecuencia_new]]="Diaria","",IF(Tabla142[[#This Row],[frecuencia_new]]="Semanal","",IF(Tabla142[[#This Row],[frecuencia_new]]="Quincenal",RANDBETWEEN(1,2),RANDBETWEEN(1,4))))</f>
        <v>3</v>
      </c>
      <c r="H2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39" t="s">
        <v>267</v>
      </c>
      <c r="K239">
        <f>SUM(MID(Tabla142[[#This Row],[Duración]],1,2)*60,MID(Tabla142[[#This Row],[Duración]],6,2))</f>
        <v>10</v>
      </c>
      <c r="L239" s="4" t="s">
        <v>71</v>
      </c>
      <c r="M239" t="s">
        <v>257</v>
      </c>
      <c r="N239" t="s">
        <v>359</v>
      </c>
      <c r="O239" t="s">
        <v>380</v>
      </c>
      <c r="P239" t="s">
        <v>360</v>
      </c>
      <c r="Q239" s="20">
        <v>46032.649155092593</v>
      </c>
      <c r="R239" t="s">
        <v>7</v>
      </c>
      <c r="T239" t="s">
        <v>541</v>
      </c>
    </row>
    <row r="240" spans="1:20" ht="15" customHeight="1" x14ac:dyDescent="0.25">
      <c r="A240">
        <f t="shared" si="3"/>
        <v>130</v>
      </c>
      <c r="B240" t="s">
        <v>872</v>
      </c>
      <c r="C240" t="s">
        <v>47</v>
      </c>
      <c r="D240">
        <v>26</v>
      </c>
      <c r="E2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40">
        <f ca="1">IF(Tabla142[[#This Row],[frecuencia_new]]="Diaria"," ",RANDBETWEEN(1,6))</f>
        <v>5</v>
      </c>
      <c r="G240">
        <f ca="1">IF(Tabla142[[#This Row],[frecuencia_new]]="Diaria","",IF(Tabla142[[#This Row],[frecuencia_new]]="Semanal","",IF(Tabla142[[#This Row],[frecuencia_new]]="Quincenal",RANDBETWEEN(1,2),RANDBETWEEN(1,4))))</f>
        <v>2</v>
      </c>
      <c r="H2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0" t="s">
        <v>268</v>
      </c>
      <c r="K240">
        <f>SUM(MID(Tabla142[[#This Row],[Duración]],1,2)*60,MID(Tabla142[[#This Row],[Duración]],6,2))</f>
        <v>25</v>
      </c>
      <c r="L240" s="4" t="s">
        <v>184</v>
      </c>
      <c r="M240" t="s">
        <v>257</v>
      </c>
      <c r="N240" t="s">
        <v>359</v>
      </c>
      <c r="O240" t="s">
        <v>380</v>
      </c>
      <c r="P240" t="s">
        <v>360</v>
      </c>
      <c r="Q240" s="20">
        <v>46032.649155092593</v>
      </c>
      <c r="R240" t="s">
        <v>1846</v>
      </c>
      <c r="T240" t="s">
        <v>541</v>
      </c>
    </row>
    <row r="241" spans="1:20" ht="15" customHeight="1" x14ac:dyDescent="0.25">
      <c r="A241">
        <f t="shared" si="3"/>
        <v>130</v>
      </c>
      <c r="B241" t="s">
        <v>873</v>
      </c>
      <c r="C241" t="s">
        <v>47</v>
      </c>
      <c r="D241">
        <v>26</v>
      </c>
      <c r="E2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41">
        <f ca="1">IF(Tabla142[[#This Row],[frecuencia_new]]="Diaria"," ",RANDBETWEEN(1,6))</f>
        <v>5</v>
      </c>
      <c r="G241">
        <f ca="1">IF(Tabla142[[#This Row],[frecuencia_new]]="Diaria","",IF(Tabla142[[#This Row],[frecuencia_new]]="Semanal","",IF(Tabla142[[#This Row],[frecuencia_new]]="Quincenal",RANDBETWEEN(1,2),RANDBETWEEN(1,4))))</f>
        <v>1</v>
      </c>
      <c r="H2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1" t="s">
        <v>269</v>
      </c>
      <c r="K241">
        <f>SUM(MID(Tabla142[[#This Row],[Duración]],1,2)*60,MID(Tabla142[[#This Row],[Duración]],6,2))</f>
        <v>25</v>
      </c>
      <c r="L241" s="4" t="s">
        <v>184</v>
      </c>
      <c r="M241" t="s">
        <v>257</v>
      </c>
      <c r="N241" t="s">
        <v>359</v>
      </c>
      <c r="O241" t="s">
        <v>380</v>
      </c>
      <c r="P241" t="s">
        <v>360</v>
      </c>
      <c r="Q241" s="20">
        <v>46032.649155092593</v>
      </c>
      <c r="R241" t="s">
        <v>1846</v>
      </c>
      <c r="T241" t="s">
        <v>541</v>
      </c>
    </row>
    <row r="242" spans="1:20" ht="15" customHeight="1" x14ac:dyDescent="0.25">
      <c r="A242">
        <f t="shared" si="3"/>
        <v>130</v>
      </c>
      <c r="B242" t="s">
        <v>874</v>
      </c>
      <c r="C242" t="s">
        <v>47</v>
      </c>
      <c r="D242">
        <v>26</v>
      </c>
      <c r="E2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42">
        <f ca="1">IF(Tabla142[[#This Row],[frecuencia_new]]="Diaria"," ",RANDBETWEEN(1,6))</f>
        <v>5</v>
      </c>
      <c r="G242">
        <f ca="1">IF(Tabla142[[#This Row],[frecuencia_new]]="Diaria","",IF(Tabla142[[#This Row],[frecuencia_new]]="Semanal","",IF(Tabla142[[#This Row],[frecuencia_new]]="Quincenal",RANDBETWEEN(1,2),RANDBETWEEN(1,4))))</f>
        <v>1</v>
      </c>
      <c r="H2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2" t="s">
        <v>270</v>
      </c>
      <c r="K242">
        <f>SUM(MID(Tabla142[[#This Row],[Duración]],1,2)*60,MID(Tabla142[[#This Row],[Duración]],6,2))</f>
        <v>25</v>
      </c>
      <c r="L242" s="4" t="s">
        <v>184</v>
      </c>
      <c r="M242" t="s">
        <v>257</v>
      </c>
      <c r="N242" t="s">
        <v>359</v>
      </c>
      <c r="O242" t="s">
        <v>380</v>
      </c>
      <c r="P242" t="s">
        <v>360</v>
      </c>
      <c r="Q242" s="20">
        <v>46032.649155092593</v>
      </c>
      <c r="R242" t="s">
        <v>1846</v>
      </c>
      <c r="T242" t="s">
        <v>541</v>
      </c>
    </row>
    <row r="243" spans="1:20" ht="15" customHeight="1" x14ac:dyDescent="0.25">
      <c r="A243">
        <f t="shared" si="3"/>
        <v>130</v>
      </c>
      <c r="B243" t="s">
        <v>875</v>
      </c>
      <c r="C243" t="s">
        <v>47</v>
      </c>
      <c r="D243">
        <v>26</v>
      </c>
      <c r="E2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43">
        <f ca="1">IF(Tabla142[[#This Row],[frecuencia_new]]="Diaria"," ",RANDBETWEEN(1,6))</f>
        <v>3</v>
      </c>
      <c r="G243">
        <f ca="1">IF(Tabla142[[#This Row],[frecuencia_new]]="Diaria","",IF(Tabla142[[#This Row],[frecuencia_new]]="Semanal","",IF(Tabla142[[#This Row],[frecuencia_new]]="Quincenal",RANDBETWEEN(1,2),RANDBETWEEN(1,4))))</f>
        <v>1</v>
      </c>
      <c r="H2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3" t="s">
        <v>271</v>
      </c>
      <c r="K243">
        <f>SUM(MID(Tabla142[[#This Row],[Duración]],1,2)*60,MID(Tabla142[[#This Row],[Duración]],6,2))</f>
        <v>10</v>
      </c>
      <c r="L243" s="4" t="s">
        <v>71</v>
      </c>
      <c r="M243" t="s">
        <v>257</v>
      </c>
      <c r="N243" t="s">
        <v>359</v>
      </c>
      <c r="O243" t="s">
        <v>380</v>
      </c>
      <c r="P243" t="s">
        <v>360</v>
      </c>
      <c r="Q243" s="20">
        <v>46032.649155092593</v>
      </c>
      <c r="R243" t="s">
        <v>7</v>
      </c>
      <c r="T243" t="s">
        <v>541</v>
      </c>
    </row>
    <row r="244" spans="1:20" ht="15" customHeight="1" x14ac:dyDescent="0.25">
      <c r="A244">
        <f t="shared" si="3"/>
        <v>130</v>
      </c>
      <c r="B244" t="s">
        <v>876</v>
      </c>
      <c r="C244" t="s">
        <v>47</v>
      </c>
      <c r="D244">
        <v>26</v>
      </c>
      <c r="E2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44">
        <f ca="1">IF(Tabla142[[#This Row],[frecuencia_new]]="Diaria"," ",RANDBETWEEN(1,6))</f>
        <v>4</v>
      </c>
      <c r="G244">
        <f ca="1">IF(Tabla142[[#This Row],[frecuencia_new]]="Diaria","",IF(Tabla142[[#This Row],[frecuencia_new]]="Semanal","",IF(Tabla142[[#This Row],[frecuencia_new]]="Quincenal",RANDBETWEEN(1,2),RANDBETWEEN(1,4))))</f>
        <v>2</v>
      </c>
      <c r="H2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4" t="s">
        <v>272</v>
      </c>
      <c r="K244">
        <f>SUM(MID(Tabla142[[#This Row],[Duración]],1,2)*60,MID(Tabla142[[#This Row],[Duración]],6,2))</f>
        <v>10</v>
      </c>
      <c r="L244" s="4" t="s">
        <v>71</v>
      </c>
      <c r="M244" t="s">
        <v>257</v>
      </c>
      <c r="N244" t="s">
        <v>359</v>
      </c>
      <c r="O244" t="s">
        <v>380</v>
      </c>
      <c r="P244" t="s">
        <v>360</v>
      </c>
      <c r="Q244" s="20">
        <v>46032.649155092593</v>
      </c>
      <c r="R244" t="s">
        <v>7</v>
      </c>
      <c r="T244" t="s">
        <v>541</v>
      </c>
    </row>
    <row r="245" spans="1:20" ht="15" customHeight="1" x14ac:dyDescent="0.25">
      <c r="A245">
        <f t="shared" si="3"/>
        <v>130</v>
      </c>
      <c r="B245" t="s">
        <v>877</v>
      </c>
      <c r="C245" t="s">
        <v>47</v>
      </c>
      <c r="D245">
        <v>26</v>
      </c>
      <c r="E2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45" t="str">
        <f ca="1">IF(Tabla142[[#This Row],[frecuencia_new]]="Diaria"," ",RANDBETWEEN(1,6))</f>
        <v xml:space="preserve"> </v>
      </c>
      <c r="G245" t="str">
        <f ca="1">IF(Tabla142[[#This Row],[frecuencia_new]]="Diaria","",IF(Tabla142[[#This Row],[frecuencia_new]]="Semanal","",IF(Tabla142[[#This Row],[frecuencia_new]]="Quincenal",RANDBETWEEN(1,2),RANDBETWEEN(1,4))))</f>
        <v/>
      </c>
      <c r="H2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5" t="s">
        <v>273</v>
      </c>
      <c r="K245">
        <f>SUM(MID(Tabla142[[#This Row],[Duración]],1,2)*60,MID(Tabla142[[#This Row],[Duración]],6,2))</f>
        <v>2</v>
      </c>
      <c r="L245" s="4" t="s">
        <v>60</v>
      </c>
      <c r="M245" t="s">
        <v>257</v>
      </c>
      <c r="N245" t="s">
        <v>359</v>
      </c>
      <c r="O245" t="s">
        <v>380</v>
      </c>
      <c r="P245" t="s">
        <v>360</v>
      </c>
      <c r="Q245" s="20">
        <v>46032.649155092593</v>
      </c>
      <c r="R245" t="s">
        <v>6</v>
      </c>
      <c r="T245" t="s">
        <v>541</v>
      </c>
    </row>
    <row r="246" spans="1:20" ht="15" customHeight="1" x14ac:dyDescent="0.25">
      <c r="A246">
        <f t="shared" si="3"/>
        <v>130</v>
      </c>
      <c r="B246" t="s">
        <v>878</v>
      </c>
      <c r="C246" t="s">
        <v>47</v>
      </c>
      <c r="D246">
        <v>26</v>
      </c>
      <c r="E2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46">
        <f ca="1">IF(Tabla142[[#This Row],[frecuencia_new]]="Diaria"," ",RANDBETWEEN(1,6))</f>
        <v>2</v>
      </c>
      <c r="G246">
        <f ca="1">IF(Tabla142[[#This Row],[frecuencia_new]]="Diaria","",IF(Tabla142[[#This Row],[frecuencia_new]]="Semanal","",IF(Tabla142[[#This Row],[frecuencia_new]]="Quincenal",RANDBETWEEN(1,2),RANDBETWEEN(1,4))))</f>
        <v>4</v>
      </c>
      <c r="H2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6" t="s">
        <v>274</v>
      </c>
      <c r="K246">
        <f>SUM(MID(Tabla142[[#This Row],[Duración]],1,2)*60,MID(Tabla142[[#This Row],[Duración]],6,2))</f>
        <v>10</v>
      </c>
      <c r="L246" s="4" t="s">
        <v>71</v>
      </c>
      <c r="M246" t="s">
        <v>257</v>
      </c>
      <c r="N246" t="s">
        <v>359</v>
      </c>
      <c r="O246" t="s">
        <v>380</v>
      </c>
      <c r="P246" t="s">
        <v>360</v>
      </c>
      <c r="Q246" s="20">
        <v>46032.649155092593</v>
      </c>
      <c r="R246" t="s">
        <v>7</v>
      </c>
      <c r="T246" t="s">
        <v>541</v>
      </c>
    </row>
    <row r="247" spans="1:20" ht="15" customHeight="1" x14ac:dyDescent="0.25">
      <c r="A247">
        <f t="shared" si="3"/>
        <v>130</v>
      </c>
      <c r="B247" t="s">
        <v>879</v>
      </c>
      <c r="C247" t="s">
        <v>47</v>
      </c>
      <c r="D247">
        <v>26</v>
      </c>
      <c r="E2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47" t="str">
        <f ca="1">IF(Tabla142[[#This Row],[frecuencia_new]]="Diaria"," ",RANDBETWEEN(1,6))</f>
        <v xml:space="preserve"> </v>
      </c>
      <c r="G247" t="str">
        <f ca="1">IF(Tabla142[[#This Row],[frecuencia_new]]="Diaria","",IF(Tabla142[[#This Row],[frecuencia_new]]="Semanal","",IF(Tabla142[[#This Row],[frecuencia_new]]="Quincenal",RANDBETWEEN(1,2),RANDBETWEEN(1,4))))</f>
        <v/>
      </c>
      <c r="H2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7" t="s">
        <v>275</v>
      </c>
      <c r="K247">
        <f>SUM(MID(Tabla142[[#This Row],[Duración]],1,2)*60,MID(Tabla142[[#This Row],[Duración]],6,2))</f>
        <v>2</v>
      </c>
      <c r="L247" s="4" t="s">
        <v>60</v>
      </c>
      <c r="M247" t="s">
        <v>257</v>
      </c>
      <c r="N247" t="s">
        <v>359</v>
      </c>
      <c r="O247" t="s">
        <v>380</v>
      </c>
      <c r="P247" t="s">
        <v>360</v>
      </c>
      <c r="Q247" s="20">
        <v>46032.649155092593</v>
      </c>
      <c r="R247" t="s">
        <v>6</v>
      </c>
      <c r="T247" t="s">
        <v>541</v>
      </c>
    </row>
    <row r="248" spans="1:20" ht="15" customHeight="1" x14ac:dyDescent="0.25">
      <c r="A248">
        <f t="shared" si="3"/>
        <v>130</v>
      </c>
      <c r="B248" t="s">
        <v>880</v>
      </c>
      <c r="C248" t="s">
        <v>47</v>
      </c>
      <c r="D248">
        <v>26</v>
      </c>
      <c r="E2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48" t="str">
        <f ca="1">IF(Tabla142[[#This Row],[frecuencia_new]]="Diaria"," ",RANDBETWEEN(1,6))</f>
        <v xml:space="preserve"> </v>
      </c>
      <c r="G248" t="str">
        <f ca="1">IF(Tabla142[[#This Row],[frecuencia_new]]="Diaria","",IF(Tabla142[[#This Row],[frecuencia_new]]="Semanal","",IF(Tabla142[[#This Row],[frecuencia_new]]="Quincenal",RANDBETWEEN(1,2),RANDBETWEEN(1,4))))</f>
        <v/>
      </c>
      <c r="H2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8" t="s">
        <v>276</v>
      </c>
      <c r="K248">
        <f>SUM(MID(Tabla142[[#This Row],[Duración]],1,2)*60,MID(Tabla142[[#This Row],[Duración]],6,2))</f>
        <v>2</v>
      </c>
      <c r="L248" s="4" t="s">
        <v>60</v>
      </c>
      <c r="M248" t="s">
        <v>257</v>
      </c>
      <c r="N248" t="s">
        <v>359</v>
      </c>
      <c r="O248" t="s">
        <v>380</v>
      </c>
      <c r="P248" t="s">
        <v>360</v>
      </c>
      <c r="Q248" s="20">
        <v>46032.649155092593</v>
      </c>
      <c r="R248" t="s">
        <v>6</v>
      </c>
      <c r="T248" t="s">
        <v>541</v>
      </c>
    </row>
    <row r="249" spans="1:20" ht="15" customHeight="1" x14ac:dyDescent="0.25">
      <c r="A249">
        <f t="shared" si="3"/>
        <v>130</v>
      </c>
      <c r="B249" t="s">
        <v>881</v>
      </c>
      <c r="C249" t="s">
        <v>47</v>
      </c>
      <c r="D249">
        <v>26</v>
      </c>
      <c r="E2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49" t="str">
        <f ca="1">IF(Tabla142[[#This Row],[frecuencia_new]]="Diaria"," ",RANDBETWEEN(1,6))</f>
        <v xml:space="preserve"> </v>
      </c>
      <c r="G249" t="str">
        <f ca="1">IF(Tabla142[[#This Row],[frecuencia_new]]="Diaria","",IF(Tabla142[[#This Row],[frecuencia_new]]="Semanal","",IF(Tabla142[[#This Row],[frecuencia_new]]="Quincenal",RANDBETWEEN(1,2),RANDBETWEEN(1,4))))</f>
        <v/>
      </c>
      <c r="H2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49" t="s">
        <v>277</v>
      </c>
      <c r="K249">
        <f>SUM(MID(Tabla142[[#This Row],[Duración]],1,2)*60,MID(Tabla142[[#This Row],[Duración]],6,2))</f>
        <v>2</v>
      </c>
      <c r="L249" s="4" t="s">
        <v>60</v>
      </c>
      <c r="M249" t="s">
        <v>257</v>
      </c>
      <c r="N249" t="s">
        <v>359</v>
      </c>
      <c r="O249" t="s">
        <v>380</v>
      </c>
      <c r="P249" t="s">
        <v>360</v>
      </c>
      <c r="Q249" s="20">
        <v>46032.649155092593</v>
      </c>
      <c r="R249" t="s">
        <v>6</v>
      </c>
      <c r="T249" t="s">
        <v>541</v>
      </c>
    </row>
    <row r="250" spans="1:20" ht="15" customHeight="1" x14ac:dyDescent="0.25">
      <c r="A250">
        <f t="shared" si="3"/>
        <v>130</v>
      </c>
      <c r="B250" t="s">
        <v>882</v>
      </c>
      <c r="C250" t="s">
        <v>47</v>
      </c>
      <c r="D250">
        <v>26</v>
      </c>
      <c r="E2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50">
        <f ca="1">IF(Tabla142[[#This Row],[frecuencia_new]]="Diaria"," ",RANDBETWEEN(1,6))</f>
        <v>2</v>
      </c>
      <c r="G250" t="str">
        <f ca="1">IF(Tabla142[[#This Row],[frecuencia_new]]="Diaria","",IF(Tabla142[[#This Row],[frecuencia_new]]="Semanal","",IF(Tabla142[[#This Row],[frecuencia_new]]="Quincenal",RANDBETWEEN(1,2),RANDBETWEEN(1,4))))</f>
        <v/>
      </c>
      <c r="H25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0" t="s">
        <v>278</v>
      </c>
      <c r="K250">
        <f>SUM(MID(Tabla142[[#This Row],[Duración]],1,2)*60,MID(Tabla142[[#This Row],[Duración]],6,2))</f>
        <v>2</v>
      </c>
      <c r="L250" s="4" t="s">
        <v>60</v>
      </c>
      <c r="M250" t="s">
        <v>257</v>
      </c>
      <c r="N250" t="s">
        <v>359</v>
      </c>
      <c r="O250" t="s">
        <v>380</v>
      </c>
      <c r="P250" t="s">
        <v>360</v>
      </c>
      <c r="Q250" s="20">
        <v>46032.649155092593</v>
      </c>
      <c r="R250" t="s">
        <v>8</v>
      </c>
      <c r="T250" t="s">
        <v>541</v>
      </c>
    </row>
    <row r="251" spans="1:20" ht="15" customHeight="1" x14ac:dyDescent="0.25">
      <c r="A251">
        <f t="shared" si="3"/>
        <v>131</v>
      </c>
      <c r="B251" t="s">
        <v>883</v>
      </c>
      <c r="C251" s="8" t="s">
        <v>47</v>
      </c>
      <c r="D251" s="8">
        <v>27</v>
      </c>
      <c r="E2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51">
        <f ca="1">IF(Tabla142[[#This Row],[frecuencia_new]]="Diaria"," ",RANDBETWEEN(1,6))</f>
        <v>4</v>
      </c>
      <c r="G251">
        <f ca="1">IF(Tabla142[[#This Row],[frecuencia_new]]="Diaria","",IF(Tabla142[[#This Row],[frecuencia_new]]="Semanal","",IF(Tabla142[[#This Row],[frecuencia_new]]="Quincenal",RANDBETWEEN(1,2),RANDBETWEEN(1,4))))</f>
        <v>1</v>
      </c>
      <c r="H25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251" s="8" t="s">
        <v>265</v>
      </c>
      <c r="K251" s="8">
        <f>SUM(MID(Tabla142[[#This Row],[Duración]],1,2)*60,MID(Tabla142[[#This Row],[Duración]],6,2))</f>
        <v>25</v>
      </c>
      <c r="L251" s="14" t="s">
        <v>184</v>
      </c>
      <c r="M251" s="8" t="s">
        <v>257</v>
      </c>
      <c r="N251" t="s">
        <v>359</v>
      </c>
      <c r="O251" t="s">
        <v>380</v>
      </c>
      <c r="P251" t="s">
        <v>360</v>
      </c>
      <c r="Q251" s="20">
        <v>46032.649155092593</v>
      </c>
      <c r="R251" s="8" t="s">
        <v>5</v>
      </c>
      <c r="T251" t="s">
        <v>542</v>
      </c>
    </row>
    <row r="252" spans="1:20" ht="15" customHeight="1" x14ac:dyDescent="0.25">
      <c r="A252">
        <f t="shared" si="3"/>
        <v>131</v>
      </c>
      <c r="B252" t="s">
        <v>884</v>
      </c>
      <c r="C252" s="13" t="s">
        <v>47</v>
      </c>
      <c r="D252" s="8">
        <v>27</v>
      </c>
      <c r="E2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52" t="str">
        <f ca="1">IF(Tabla142[[#This Row],[frecuencia_new]]="Diaria"," ",RANDBETWEEN(1,6))</f>
        <v xml:space="preserve"> </v>
      </c>
      <c r="G252" t="str">
        <f ca="1">IF(Tabla142[[#This Row],[frecuencia_new]]="Diaria","",IF(Tabla142[[#This Row],[frecuencia_new]]="Semanal","",IF(Tabla142[[#This Row],[frecuencia_new]]="Quincenal",RANDBETWEEN(1,2),RANDBETWEEN(1,4))))</f>
        <v/>
      </c>
      <c r="H2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2" s="13" t="s">
        <v>266</v>
      </c>
      <c r="K252" s="13">
        <f>SUM(MID(Tabla142[[#This Row],[Duración]],1,2)*60,MID(Tabla142[[#This Row],[Duración]],6,2))</f>
        <v>2</v>
      </c>
      <c r="L252" s="16" t="s">
        <v>60</v>
      </c>
      <c r="M252" s="13" t="s">
        <v>257</v>
      </c>
      <c r="N252" t="s">
        <v>359</v>
      </c>
      <c r="O252" t="s">
        <v>380</v>
      </c>
      <c r="P252" t="s">
        <v>360</v>
      </c>
      <c r="Q252" s="20">
        <v>46032.649155092593</v>
      </c>
      <c r="R252" s="13" t="s">
        <v>6</v>
      </c>
      <c r="T252" t="s">
        <v>542</v>
      </c>
    </row>
    <row r="253" spans="1:20" ht="15" customHeight="1" x14ac:dyDescent="0.25">
      <c r="A253">
        <f t="shared" si="3"/>
        <v>131</v>
      </c>
      <c r="B253" t="s">
        <v>885</v>
      </c>
      <c r="C253" s="8" t="s">
        <v>47</v>
      </c>
      <c r="D253" s="8">
        <v>27</v>
      </c>
      <c r="E2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53">
        <f ca="1">IF(Tabla142[[#This Row],[frecuencia_new]]="Diaria"," ",RANDBETWEEN(1,6))</f>
        <v>3</v>
      </c>
      <c r="G253">
        <f ca="1">IF(Tabla142[[#This Row],[frecuencia_new]]="Diaria","",IF(Tabla142[[#This Row],[frecuencia_new]]="Semanal","",IF(Tabla142[[#This Row],[frecuencia_new]]="Quincenal",RANDBETWEEN(1,2),RANDBETWEEN(1,4))))</f>
        <v>1</v>
      </c>
      <c r="H2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3" s="8" t="s">
        <v>267</v>
      </c>
      <c r="K253" s="8">
        <f>SUM(MID(Tabla142[[#This Row],[Duración]],1,2)*60,MID(Tabla142[[#This Row],[Duración]],6,2))</f>
        <v>10</v>
      </c>
      <c r="L253" s="14" t="s">
        <v>71</v>
      </c>
      <c r="M253" s="8" t="s">
        <v>257</v>
      </c>
      <c r="N253" t="s">
        <v>359</v>
      </c>
      <c r="O253" t="s">
        <v>380</v>
      </c>
      <c r="P253" t="s">
        <v>360</v>
      </c>
      <c r="Q253" s="20">
        <v>46032.649155092593</v>
      </c>
      <c r="R253" s="8" t="s">
        <v>7</v>
      </c>
      <c r="T253" t="s">
        <v>542</v>
      </c>
    </row>
    <row r="254" spans="1:20" ht="15" customHeight="1" x14ac:dyDescent="0.25">
      <c r="A254">
        <f t="shared" si="3"/>
        <v>131</v>
      </c>
      <c r="B254" t="s">
        <v>886</v>
      </c>
      <c r="C254" s="13" t="s">
        <v>47</v>
      </c>
      <c r="D254" s="8">
        <v>27</v>
      </c>
      <c r="E2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54">
        <f ca="1">IF(Tabla142[[#This Row],[frecuencia_new]]="Diaria"," ",RANDBETWEEN(1,6))</f>
        <v>5</v>
      </c>
      <c r="G254">
        <f ca="1">IF(Tabla142[[#This Row],[frecuencia_new]]="Diaria","",IF(Tabla142[[#This Row],[frecuencia_new]]="Semanal","",IF(Tabla142[[#This Row],[frecuencia_new]]="Quincenal",RANDBETWEEN(1,2),RANDBETWEEN(1,4))))</f>
        <v>1</v>
      </c>
      <c r="H2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4" s="13" t="s">
        <v>268</v>
      </c>
      <c r="K254" s="13">
        <f>SUM(MID(Tabla142[[#This Row],[Duración]],1,2)*60,MID(Tabla142[[#This Row],[Duración]],6,2))</f>
        <v>25</v>
      </c>
      <c r="L254" s="16" t="s">
        <v>184</v>
      </c>
      <c r="M254" s="13" t="s">
        <v>257</v>
      </c>
      <c r="N254" t="s">
        <v>359</v>
      </c>
      <c r="O254" t="s">
        <v>380</v>
      </c>
      <c r="P254" t="s">
        <v>360</v>
      </c>
      <c r="Q254" s="20">
        <v>46032.649155092593</v>
      </c>
      <c r="R254" t="s">
        <v>1846</v>
      </c>
      <c r="T254" t="s">
        <v>542</v>
      </c>
    </row>
    <row r="255" spans="1:20" ht="15" customHeight="1" x14ac:dyDescent="0.25">
      <c r="A255">
        <f t="shared" si="3"/>
        <v>131</v>
      </c>
      <c r="B255" t="s">
        <v>887</v>
      </c>
      <c r="C255" s="8" t="s">
        <v>47</v>
      </c>
      <c r="D255" s="8">
        <v>27</v>
      </c>
      <c r="E2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55">
        <f ca="1">IF(Tabla142[[#This Row],[frecuencia_new]]="Diaria"," ",RANDBETWEEN(1,6))</f>
        <v>1</v>
      </c>
      <c r="G255">
        <f ca="1">IF(Tabla142[[#This Row],[frecuencia_new]]="Diaria","",IF(Tabla142[[#This Row],[frecuencia_new]]="Semanal","",IF(Tabla142[[#This Row],[frecuencia_new]]="Quincenal",RANDBETWEEN(1,2),RANDBETWEEN(1,4))))</f>
        <v>1</v>
      </c>
      <c r="H2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5" s="8" t="s">
        <v>269</v>
      </c>
      <c r="K255" s="8">
        <f>SUM(MID(Tabla142[[#This Row],[Duración]],1,2)*60,MID(Tabla142[[#This Row],[Duración]],6,2))</f>
        <v>25</v>
      </c>
      <c r="L255" s="14" t="s">
        <v>184</v>
      </c>
      <c r="M255" s="8" t="s">
        <v>257</v>
      </c>
      <c r="N255" t="s">
        <v>359</v>
      </c>
      <c r="O255" t="s">
        <v>380</v>
      </c>
      <c r="P255" t="s">
        <v>360</v>
      </c>
      <c r="Q255" s="20">
        <v>46032.649155092593</v>
      </c>
      <c r="R255" t="s">
        <v>1846</v>
      </c>
      <c r="T255" t="s">
        <v>542</v>
      </c>
    </row>
    <row r="256" spans="1:20" ht="15" customHeight="1" x14ac:dyDescent="0.25">
      <c r="A256">
        <f t="shared" si="3"/>
        <v>131</v>
      </c>
      <c r="B256" t="s">
        <v>888</v>
      </c>
      <c r="C256" s="13" t="s">
        <v>47</v>
      </c>
      <c r="D256" s="8">
        <v>27</v>
      </c>
      <c r="E2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56">
        <f ca="1">IF(Tabla142[[#This Row],[frecuencia_new]]="Diaria"," ",RANDBETWEEN(1,6))</f>
        <v>3</v>
      </c>
      <c r="G256">
        <f ca="1">IF(Tabla142[[#This Row],[frecuencia_new]]="Diaria","",IF(Tabla142[[#This Row],[frecuencia_new]]="Semanal","",IF(Tabla142[[#This Row],[frecuencia_new]]="Quincenal",RANDBETWEEN(1,2),RANDBETWEEN(1,4))))</f>
        <v>1</v>
      </c>
      <c r="H2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6" s="13" t="s">
        <v>270</v>
      </c>
      <c r="K256" s="13">
        <f>SUM(MID(Tabla142[[#This Row],[Duración]],1,2)*60,MID(Tabla142[[#This Row],[Duración]],6,2))</f>
        <v>25</v>
      </c>
      <c r="L256" s="16" t="s">
        <v>184</v>
      </c>
      <c r="M256" s="13" t="s">
        <v>257</v>
      </c>
      <c r="N256" t="s">
        <v>359</v>
      </c>
      <c r="O256" t="s">
        <v>380</v>
      </c>
      <c r="P256" t="s">
        <v>360</v>
      </c>
      <c r="Q256" s="20">
        <v>46032.649155092593</v>
      </c>
      <c r="R256" t="s">
        <v>1846</v>
      </c>
      <c r="T256" t="s">
        <v>542</v>
      </c>
    </row>
    <row r="257" spans="1:20" ht="15" customHeight="1" x14ac:dyDescent="0.25">
      <c r="A257">
        <f t="shared" si="3"/>
        <v>131</v>
      </c>
      <c r="B257" t="s">
        <v>889</v>
      </c>
      <c r="C257" s="8" t="s">
        <v>47</v>
      </c>
      <c r="D257" s="8">
        <v>27</v>
      </c>
      <c r="E2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57">
        <f ca="1">IF(Tabla142[[#This Row],[frecuencia_new]]="Diaria"," ",RANDBETWEEN(1,6))</f>
        <v>2</v>
      </c>
      <c r="G257">
        <f ca="1">IF(Tabla142[[#This Row],[frecuencia_new]]="Diaria","",IF(Tabla142[[#This Row],[frecuencia_new]]="Semanal","",IF(Tabla142[[#This Row],[frecuencia_new]]="Quincenal",RANDBETWEEN(1,2),RANDBETWEEN(1,4))))</f>
        <v>2</v>
      </c>
      <c r="H2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7" s="8" t="s">
        <v>271</v>
      </c>
      <c r="K257" s="8">
        <f>SUM(MID(Tabla142[[#This Row],[Duración]],1,2)*60,MID(Tabla142[[#This Row],[Duración]],6,2))</f>
        <v>10</v>
      </c>
      <c r="L257" s="14" t="s">
        <v>71</v>
      </c>
      <c r="M257" s="8" t="s">
        <v>257</v>
      </c>
      <c r="N257" t="s">
        <v>359</v>
      </c>
      <c r="O257" t="s">
        <v>380</v>
      </c>
      <c r="P257" t="s">
        <v>360</v>
      </c>
      <c r="Q257" s="20">
        <v>46032.649155092593</v>
      </c>
      <c r="R257" s="8" t="s">
        <v>7</v>
      </c>
      <c r="T257" t="s">
        <v>542</v>
      </c>
    </row>
    <row r="258" spans="1:20" ht="15" customHeight="1" x14ac:dyDescent="0.25">
      <c r="A258">
        <f t="shared" ref="A258:A321" si="4">VLOOKUP(T258,$V$2:$W$222,2,FALSE)</f>
        <v>131</v>
      </c>
      <c r="B258" t="s">
        <v>890</v>
      </c>
      <c r="C258" s="13" t="s">
        <v>47</v>
      </c>
      <c r="D258" s="8">
        <v>27</v>
      </c>
      <c r="E2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58">
        <f ca="1">IF(Tabla142[[#This Row],[frecuencia_new]]="Diaria"," ",RANDBETWEEN(1,6))</f>
        <v>1</v>
      </c>
      <c r="G258">
        <f ca="1">IF(Tabla142[[#This Row],[frecuencia_new]]="Diaria","",IF(Tabla142[[#This Row],[frecuencia_new]]="Semanal","",IF(Tabla142[[#This Row],[frecuencia_new]]="Quincenal",RANDBETWEEN(1,2),RANDBETWEEN(1,4))))</f>
        <v>3</v>
      </c>
      <c r="H25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8" s="13" t="s">
        <v>272</v>
      </c>
      <c r="K258" s="13">
        <f>SUM(MID(Tabla142[[#This Row],[Duración]],1,2)*60,MID(Tabla142[[#This Row],[Duración]],6,2))</f>
        <v>10</v>
      </c>
      <c r="L258" s="16" t="s">
        <v>71</v>
      </c>
      <c r="M258" s="13" t="s">
        <v>257</v>
      </c>
      <c r="N258" t="s">
        <v>359</v>
      </c>
      <c r="O258" t="s">
        <v>380</v>
      </c>
      <c r="P258" t="s">
        <v>360</v>
      </c>
      <c r="Q258" s="20">
        <v>46032.649155092593</v>
      </c>
      <c r="R258" s="13" t="s">
        <v>7</v>
      </c>
      <c r="T258" t="s">
        <v>542</v>
      </c>
    </row>
    <row r="259" spans="1:20" ht="15" customHeight="1" x14ac:dyDescent="0.25">
      <c r="A259">
        <f t="shared" si="4"/>
        <v>131</v>
      </c>
      <c r="B259" t="s">
        <v>891</v>
      </c>
      <c r="C259" s="8" t="s">
        <v>47</v>
      </c>
      <c r="D259" s="8">
        <v>27</v>
      </c>
      <c r="E2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59" t="str">
        <f ca="1">IF(Tabla142[[#This Row],[frecuencia_new]]="Diaria"," ",RANDBETWEEN(1,6))</f>
        <v xml:space="preserve"> </v>
      </c>
      <c r="G259" t="str">
        <f ca="1">IF(Tabla142[[#This Row],[frecuencia_new]]="Diaria","",IF(Tabla142[[#This Row],[frecuencia_new]]="Semanal","",IF(Tabla142[[#This Row],[frecuencia_new]]="Quincenal",RANDBETWEEN(1,2),RANDBETWEEN(1,4))))</f>
        <v/>
      </c>
      <c r="H25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59" s="8" t="s">
        <v>273</v>
      </c>
      <c r="K259" s="8">
        <f>SUM(MID(Tabla142[[#This Row],[Duración]],1,2)*60,MID(Tabla142[[#This Row],[Duración]],6,2))</f>
        <v>2</v>
      </c>
      <c r="L259" s="14" t="s">
        <v>60</v>
      </c>
      <c r="M259" s="8" t="s">
        <v>257</v>
      </c>
      <c r="N259" t="s">
        <v>359</v>
      </c>
      <c r="O259" t="s">
        <v>380</v>
      </c>
      <c r="P259" t="s">
        <v>360</v>
      </c>
      <c r="Q259" s="20">
        <v>46032.649155092593</v>
      </c>
      <c r="R259" s="8" t="s">
        <v>6</v>
      </c>
      <c r="T259" t="s">
        <v>542</v>
      </c>
    </row>
    <row r="260" spans="1:20" ht="15" customHeight="1" x14ac:dyDescent="0.25">
      <c r="A260">
        <f t="shared" si="4"/>
        <v>131</v>
      </c>
      <c r="B260" t="s">
        <v>892</v>
      </c>
      <c r="C260" s="13" t="s">
        <v>47</v>
      </c>
      <c r="D260" s="8">
        <v>27</v>
      </c>
      <c r="E2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60">
        <f ca="1">IF(Tabla142[[#This Row],[frecuencia_new]]="Diaria"," ",RANDBETWEEN(1,6))</f>
        <v>2</v>
      </c>
      <c r="G260">
        <f ca="1">IF(Tabla142[[#This Row],[frecuencia_new]]="Diaria","",IF(Tabla142[[#This Row],[frecuencia_new]]="Semanal","",IF(Tabla142[[#This Row],[frecuencia_new]]="Quincenal",RANDBETWEEN(1,2),RANDBETWEEN(1,4))))</f>
        <v>4</v>
      </c>
      <c r="H2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0" s="13" t="s">
        <v>274</v>
      </c>
      <c r="K260" s="13">
        <f>SUM(MID(Tabla142[[#This Row],[Duración]],1,2)*60,MID(Tabla142[[#This Row],[Duración]],6,2))</f>
        <v>10</v>
      </c>
      <c r="L260" s="16" t="s">
        <v>71</v>
      </c>
      <c r="M260" s="13" t="s">
        <v>257</v>
      </c>
      <c r="N260" t="s">
        <v>359</v>
      </c>
      <c r="O260" t="s">
        <v>380</v>
      </c>
      <c r="P260" t="s">
        <v>360</v>
      </c>
      <c r="Q260" s="20">
        <v>46032.649155092593</v>
      </c>
      <c r="R260" s="13" t="s">
        <v>7</v>
      </c>
      <c r="T260" t="s">
        <v>542</v>
      </c>
    </row>
    <row r="261" spans="1:20" ht="15" customHeight="1" x14ac:dyDescent="0.25">
      <c r="A261">
        <f t="shared" si="4"/>
        <v>131</v>
      </c>
      <c r="B261" t="s">
        <v>893</v>
      </c>
      <c r="C261" s="8" t="s">
        <v>47</v>
      </c>
      <c r="D261" s="8">
        <v>27</v>
      </c>
      <c r="E2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61" t="str">
        <f ca="1">IF(Tabla142[[#This Row],[frecuencia_new]]="Diaria"," ",RANDBETWEEN(1,6))</f>
        <v xml:space="preserve"> </v>
      </c>
      <c r="G261" t="str">
        <f ca="1">IF(Tabla142[[#This Row],[frecuencia_new]]="Diaria","",IF(Tabla142[[#This Row],[frecuencia_new]]="Semanal","",IF(Tabla142[[#This Row],[frecuencia_new]]="Quincenal",RANDBETWEEN(1,2),RANDBETWEEN(1,4))))</f>
        <v/>
      </c>
      <c r="H26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1" s="8" t="s">
        <v>275</v>
      </c>
      <c r="K261" s="8">
        <f>SUM(MID(Tabla142[[#This Row],[Duración]],1,2)*60,MID(Tabla142[[#This Row],[Duración]],6,2))</f>
        <v>2</v>
      </c>
      <c r="L261" s="14" t="s">
        <v>60</v>
      </c>
      <c r="M261" s="8" t="s">
        <v>257</v>
      </c>
      <c r="N261" t="s">
        <v>359</v>
      </c>
      <c r="O261" t="s">
        <v>380</v>
      </c>
      <c r="P261" t="s">
        <v>360</v>
      </c>
      <c r="Q261" s="20">
        <v>46032.649155092593</v>
      </c>
      <c r="R261" s="8" t="s">
        <v>6</v>
      </c>
      <c r="T261" t="s">
        <v>542</v>
      </c>
    </row>
    <row r="262" spans="1:20" ht="15" customHeight="1" x14ac:dyDescent="0.25">
      <c r="A262">
        <f t="shared" si="4"/>
        <v>131</v>
      </c>
      <c r="B262" t="s">
        <v>894</v>
      </c>
      <c r="C262" s="13" t="s">
        <v>47</v>
      </c>
      <c r="D262" s="8">
        <v>27</v>
      </c>
      <c r="E2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62" t="str">
        <f ca="1">IF(Tabla142[[#This Row],[frecuencia_new]]="Diaria"," ",RANDBETWEEN(1,6))</f>
        <v xml:space="preserve"> </v>
      </c>
      <c r="G262" t="str">
        <f ca="1">IF(Tabla142[[#This Row],[frecuencia_new]]="Diaria","",IF(Tabla142[[#This Row],[frecuencia_new]]="Semanal","",IF(Tabla142[[#This Row],[frecuencia_new]]="Quincenal",RANDBETWEEN(1,2),RANDBETWEEN(1,4))))</f>
        <v/>
      </c>
      <c r="H26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2" s="13" t="s">
        <v>276</v>
      </c>
      <c r="K262" s="13">
        <f>SUM(MID(Tabla142[[#This Row],[Duración]],1,2)*60,MID(Tabla142[[#This Row],[Duración]],6,2))</f>
        <v>2</v>
      </c>
      <c r="L262" s="16" t="s">
        <v>60</v>
      </c>
      <c r="M262" s="13" t="s">
        <v>257</v>
      </c>
      <c r="N262" t="s">
        <v>359</v>
      </c>
      <c r="O262" t="s">
        <v>380</v>
      </c>
      <c r="P262" t="s">
        <v>360</v>
      </c>
      <c r="Q262" s="20">
        <v>46032.649155092593</v>
      </c>
      <c r="R262" s="13" t="s">
        <v>6</v>
      </c>
      <c r="T262" t="s">
        <v>542</v>
      </c>
    </row>
    <row r="263" spans="1:20" ht="15" customHeight="1" x14ac:dyDescent="0.25">
      <c r="A263">
        <f t="shared" si="4"/>
        <v>131</v>
      </c>
      <c r="B263" t="s">
        <v>895</v>
      </c>
      <c r="C263" s="8" t="s">
        <v>47</v>
      </c>
      <c r="D263" s="8">
        <v>27</v>
      </c>
      <c r="E2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63" t="str">
        <f ca="1">IF(Tabla142[[#This Row],[frecuencia_new]]="Diaria"," ",RANDBETWEEN(1,6))</f>
        <v xml:space="preserve"> </v>
      </c>
      <c r="G263" t="str">
        <f ca="1">IF(Tabla142[[#This Row],[frecuencia_new]]="Diaria","",IF(Tabla142[[#This Row],[frecuencia_new]]="Semanal","",IF(Tabla142[[#This Row],[frecuencia_new]]="Quincenal",RANDBETWEEN(1,2),RANDBETWEEN(1,4))))</f>
        <v/>
      </c>
      <c r="H26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3" s="8" t="s">
        <v>277</v>
      </c>
      <c r="K263" s="8">
        <f>SUM(MID(Tabla142[[#This Row],[Duración]],1,2)*60,MID(Tabla142[[#This Row],[Duración]],6,2))</f>
        <v>2</v>
      </c>
      <c r="L263" s="14" t="s">
        <v>60</v>
      </c>
      <c r="M263" s="8" t="s">
        <v>257</v>
      </c>
      <c r="N263" t="s">
        <v>359</v>
      </c>
      <c r="O263" t="s">
        <v>380</v>
      </c>
      <c r="P263" t="s">
        <v>360</v>
      </c>
      <c r="Q263" s="20">
        <v>46032.649155092593</v>
      </c>
      <c r="R263" s="8" t="s">
        <v>6</v>
      </c>
      <c r="T263" t="s">
        <v>542</v>
      </c>
    </row>
    <row r="264" spans="1:20" ht="15" customHeight="1" x14ac:dyDescent="0.25">
      <c r="A264">
        <f t="shared" si="4"/>
        <v>131</v>
      </c>
      <c r="B264" t="s">
        <v>896</v>
      </c>
      <c r="C264" s="13" t="s">
        <v>47</v>
      </c>
      <c r="D264" s="8">
        <v>27</v>
      </c>
      <c r="E2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64">
        <f ca="1">IF(Tabla142[[#This Row],[frecuencia_new]]="Diaria"," ",RANDBETWEEN(1,6))</f>
        <v>4</v>
      </c>
      <c r="G264" t="str">
        <f ca="1">IF(Tabla142[[#This Row],[frecuencia_new]]="Diaria","",IF(Tabla142[[#This Row],[frecuencia_new]]="Semanal","",IF(Tabla142[[#This Row],[frecuencia_new]]="Quincenal",RANDBETWEEN(1,2),RANDBETWEEN(1,4))))</f>
        <v/>
      </c>
      <c r="H2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4" s="13" t="s">
        <v>278</v>
      </c>
      <c r="K264" s="13">
        <f>SUM(MID(Tabla142[[#This Row],[Duración]],1,2)*60,MID(Tabla142[[#This Row],[Duración]],6,2))</f>
        <v>2</v>
      </c>
      <c r="L264" s="16" t="s">
        <v>60</v>
      </c>
      <c r="M264" s="13" t="s">
        <v>257</v>
      </c>
      <c r="N264" t="s">
        <v>359</v>
      </c>
      <c r="O264" t="s">
        <v>380</v>
      </c>
      <c r="P264" t="s">
        <v>360</v>
      </c>
      <c r="Q264" s="20">
        <v>46032.649155092593</v>
      </c>
      <c r="R264" s="13" t="s">
        <v>8</v>
      </c>
      <c r="T264" t="s">
        <v>542</v>
      </c>
    </row>
    <row r="265" spans="1:20" ht="15" customHeight="1" x14ac:dyDescent="0.25">
      <c r="A265">
        <f t="shared" si="4"/>
        <v>132</v>
      </c>
      <c r="B265" t="s">
        <v>897</v>
      </c>
      <c r="C265" s="8" t="s">
        <v>47</v>
      </c>
      <c r="D265" s="8">
        <v>28</v>
      </c>
      <c r="E2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65">
        <f ca="1">IF(Tabla142[[#This Row],[frecuencia_new]]="Diaria"," ",RANDBETWEEN(1,6))</f>
        <v>6</v>
      </c>
      <c r="G265">
        <f ca="1">IF(Tabla142[[#This Row],[frecuencia_new]]="Diaria","",IF(Tabla142[[#This Row],[frecuencia_new]]="Semanal","",IF(Tabla142[[#This Row],[frecuencia_new]]="Quincenal",RANDBETWEEN(1,2),RANDBETWEEN(1,4))))</f>
        <v>4</v>
      </c>
      <c r="H265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265" s="8" t="s">
        <v>265</v>
      </c>
      <c r="K265" s="8">
        <f>SUM(MID(Tabla142[[#This Row],[Duración]],1,2)*60,MID(Tabla142[[#This Row],[Duración]],6,2))</f>
        <v>25</v>
      </c>
      <c r="L265" s="14" t="s">
        <v>184</v>
      </c>
      <c r="M265" s="8" t="s">
        <v>257</v>
      </c>
      <c r="N265" t="s">
        <v>359</v>
      </c>
      <c r="O265" t="s">
        <v>380</v>
      </c>
      <c r="P265" t="s">
        <v>360</v>
      </c>
      <c r="Q265" s="20">
        <v>46032.649155092593</v>
      </c>
      <c r="R265" s="8" t="s">
        <v>5</v>
      </c>
      <c r="T265" t="s">
        <v>543</v>
      </c>
    </row>
    <row r="266" spans="1:20" ht="15" customHeight="1" x14ac:dyDescent="0.25">
      <c r="A266">
        <f t="shared" si="4"/>
        <v>132</v>
      </c>
      <c r="B266" t="s">
        <v>898</v>
      </c>
      <c r="C266" s="13" t="s">
        <v>47</v>
      </c>
      <c r="D266" s="8">
        <v>28</v>
      </c>
      <c r="E2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66" t="str">
        <f ca="1">IF(Tabla142[[#This Row],[frecuencia_new]]="Diaria"," ",RANDBETWEEN(1,6))</f>
        <v xml:space="preserve"> </v>
      </c>
      <c r="G266" t="str">
        <f ca="1">IF(Tabla142[[#This Row],[frecuencia_new]]="Diaria","",IF(Tabla142[[#This Row],[frecuencia_new]]="Semanal","",IF(Tabla142[[#This Row],[frecuencia_new]]="Quincenal",RANDBETWEEN(1,2),RANDBETWEEN(1,4))))</f>
        <v/>
      </c>
      <c r="H2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6" s="13" t="s">
        <v>266</v>
      </c>
      <c r="K266" s="13">
        <f>SUM(MID(Tabla142[[#This Row],[Duración]],1,2)*60,MID(Tabla142[[#This Row],[Duración]],6,2))</f>
        <v>2</v>
      </c>
      <c r="L266" s="16" t="s">
        <v>60</v>
      </c>
      <c r="M266" s="13" t="s">
        <v>257</v>
      </c>
      <c r="N266" t="s">
        <v>359</v>
      </c>
      <c r="O266" t="s">
        <v>380</v>
      </c>
      <c r="P266" t="s">
        <v>360</v>
      </c>
      <c r="Q266" s="20">
        <v>46032.649155092593</v>
      </c>
      <c r="R266" s="13" t="s">
        <v>6</v>
      </c>
      <c r="T266" t="s">
        <v>543</v>
      </c>
    </row>
    <row r="267" spans="1:20" ht="15" customHeight="1" x14ac:dyDescent="0.25">
      <c r="A267">
        <f t="shared" si="4"/>
        <v>132</v>
      </c>
      <c r="B267" t="s">
        <v>899</v>
      </c>
      <c r="C267" s="8" t="s">
        <v>47</v>
      </c>
      <c r="D267" s="8">
        <v>28</v>
      </c>
      <c r="E2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67">
        <f ca="1">IF(Tabla142[[#This Row],[frecuencia_new]]="Diaria"," ",RANDBETWEEN(1,6))</f>
        <v>1</v>
      </c>
      <c r="G267">
        <f ca="1">IF(Tabla142[[#This Row],[frecuencia_new]]="Diaria","",IF(Tabla142[[#This Row],[frecuencia_new]]="Semanal","",IF(Tabla142[[#This Row],[frecuencia_new]]="Quincenal",RANDBETWEEN(1,2),RANDBETWEEN(1,4))))</f>
        <v>4</v>
      </c>
      <c r="H2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7" s="8" t="s">
        <v>267</v>
      </c>
      <c r="K267" s="8">
        <f>SUM(MID(Tabla142[[#This Row],[Duración]],1,2)*60,MID(Tabla142[[#This Row],[Duración]],6,2))</f>
        <v>10</v>
      </c>
      <c r="L267" s="14" t="s">
        <v>71</v>
      </c>
      <c r="M267" s="8" t="s">
        <v>257</v>
      </c>
      <c r="N267" t="s">
        <v>359</v>
      </c>
      <c r="O267" t="s">
        <v>380</v>
      </c>
      <c r="P267" t="s">
        <v>360</v>
      </c>
      <c r="Q267" s="20">
        <v>46032.649155092593</v>
      </c>
      <c r="R267" s="8" t="s">
        <v>7</v>
      </c>
      <c r="T267" t="s">
        <v>543</v>
      </c>
    </row>
    <row r="268" spans="1:20" ht="15" customHeight="1" x14ac:dyDescent="0.25">
      <c r="A268">
        <f t="shared" si="4"/>
        <v>132</v>
      </c>
      <c r="B268" t="s">
        <v>900</v>
      </c>
      <c r="C268" s="13" t="s">
        <v>47</v>
      </c>
      <c r="D268" s="8">
        <v>28</v>
      </c>
      <c r="E2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68">
        <f ca="1">IF(Tabla142[[#This Row],[frecuencia_new]]="Diaria"," ",RANDBETWEEN(1,6))</f>
        <v>2</v>
      </c>
      <c r="G268">
        <f ca="1">IF(Tabla142[[#This Row],[frecuencia_new]]="Diaria","",IF(Tabla142[[#This Row],[frecuencia_new]]="Semanal","",IF(Tabla142[[#This Row],[frecuencia_new]]="Quincenal",RANDBETWEEN(1,2),RANDBETWEEN(1,4))))</f>
        <v>1</v>
      </c>
      <c r="H2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8" s="13" t="s">
        <v>268</v>
      </c>
      <c r="K268" s="13">
        <f>SUM(MID(Tabla142[[#This Row],[Duración]],1,2)*60,MID(Tabla142[[#This Row],[Duración]],6,2))</f>
        <v>25</v>
      </c>
      <c r="L268" s="16" t="s">
        <v>184</v>
      </c>
      <c r="M268" s="13" t="s">
        <v>257</v>
      </c>
      <c r="N268" t="s">
        <v>359</v>
      </c>
      <c r="O268" t="s">
        <v>380</v>
      </c>
      <c r="P268" t="s">
        <v>360</v>
      </c>
      <c r="Q268" s="20">
        <v>46032.649155092593</v>
      </c>
      <c r="R268" t="s">
        <v>1846</v>
      </c>
      <c r="T268" t="s">
        <v>543</v>
      </c>
    </row>
    <row r="269" spans="1:20" ht="15" customHeight="1" x14ac:dyDescent="0.25">
      <c r="A269">
        <f t="shared" si="4"/>
        <v>132</v>
      </c>
      <c r="B269" t="s">
        <v>901</v>
      </c>
      <c r="C269" s="8" t="s">
        <v>47</v>
      </c>
      <c r="D269" s="8">
        <v>28</v>
      </c>
      <c r="E2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69">
        <f ca="1">IF(Tabla142[[#This Row],[frecuencia_new]]="Diaria"," ",RANDBETWEEN(1,6))</f>
        <v>5</v>
      </c>
      <c r="G269">
        <f ca="1">IF(Tabla142[[#This Row],[frecuencia_new]]="Diaria","",IF(Tabla142[[#This Row],[frecuencia_new]]="Semanal","",IF(Tabla142[[#This Row],[frecuencia_new]]="Quincenal",RANDBETWEEN(1,2),RANDBETWEEN(1,4))))</f>
        <v>1</v>
      </c>
      <c r="H2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69" s="8" t="s">
        <v>269</v>
      </c>
      <c r="K269" s="8">
        <f>SUM(MID(Tabla142[[#This Row],[Duración]],1,2)*60,MID(Tabla142[[#This Row],[Duración]],6,2))</f>
        <v>25</v>
      </c>
      <c r="L269" s="14" t="s">
        <v>184</v>
      </c>
      <c r="M269" s="8" t="s">
        <v>257</v>
      </c>
      <c r="N269" t="s">
        <v>359</v>
      </c>
      <c r="O269" t="s">
        <v>380</v>
      </c>
      <c r="P269" t="s">
        <v>360</v>
      </c>
      <c r="Q269" s="20">
        <v>46032.649155092593</v>
      </c>
      <c r="R269" t="s">
        <v>1846</v>
      </c>
      <c r="T269" t="s">
        <v>543</v>
      </c>
    </row>
    <row r="270" spans="1:20" ht="15" customHeight="1" x14ac:dyDescent="0.25">
      <c r="A270">
        <f t="shared" si="4"/>
        <v>132</v>
      </c>
      <c r="B270" t="s">
        <v>902</v>
      </c>
      <c r="C270" s="13" t="s">
        <v>47</v>
      </c>
      <c r="D270" s="8">
        <v>28</v>
      </c>
      <c r="E2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70">
        <f ca="1">IF(Tabla142[[#This Row],[frecuencia_new]]="Diaria"," ",RANDBETWEEN(1,6))</f>
        <v>4</v>
      </c>
      <c r="G270">
        <f ca="1">IF(Tabla142[[#This Row],[frecuencia_new]]="Diaria","",IF(Tabla142[[#This Row],[frecuencia_new]]="Semanal","",IF(Tabla142[[#This Row],[frecuencia_new]]="Quincenal",RANDBETWEEN(1,2),RANDBETWEEN(1,4))))</f>
        <v>1</v>
      </c>
      <c r="H2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0" s="13" t="s">
        <v>270</v>
      </c>
      <c r="K270" s="13">
        <f>SUM(MID(Tabla142[[#This Row],[Duración]],1,2)*60,MID(Tabla142[[#This Row],[Duración]],6,2))</f>
        <v>25</v>
      </c>
      <c r="L270" s="16" t="s">
        <v>184</v>
      </c>
      <c r="M270" s="13" t="s">
        <v>257</v>
      </c>
      <c r="N270" t="s">
        <v>359</v>
      </c>
      <c r="O270" t="s">
        <v>380</v>
      </c>
      <c r="P270" t="s">
        <v>360</v>
      </c>
      <c r="Q270" s="20">
        <v>46032.649155092593</v>
      </c>
      <c r="R270" t="s">
        <v>1846</v>
      </c>
      <c r="T270" t="s">
        <v>543</v>
      </c>
    </row>
    <row r="271" spans="1:20" ht="15" customHeight="1" x14ac:dyDescent="0.25">
      <c r="A271">
        <f t="shared" si="4"/>
        <v>132</v>
      </c>
      <c r="B271" t="s">
        <v>903</v>
      </c>
      <c r="C271" s="8" t="s">
        <v>47</v>
      </c>
      <c r="D271" s="8">
        <v>28</v>
      </c>
      <c r="E2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71">
        <f ca="1">IF(Tabla142[[#This Row],[frecuencia_new]]="Diaria"," ",RANDBETWEEN(1,6))</f>
        <v>5</v>
      </c>
      <c r="G271">
        <f ca="1">IF(Tabla142[[#This Row],[frecuencia_new]]="Diaria","",IF(Tabla142[[#This Row],[frecuencia_new]]="Semanal","",IF(Tabla142[[#This Row],[frecuencia_new]]="Quincenal",RANDBETWEEN(1,2),RANDBETWEEN(1,4))))</f>
        <v>4</v>
      </c>
      <c r="H2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1" s="8" t="s">
        <v>271</v>
      </c>
      <c r="K271" s="8">
        <f>SUM(MID(Tabla142[[#This Row],[Duración]],1,2)*60,MID(Tabla142[[#This Row],[Duración]],6,2))</f>
        <v>10</v>
      </c>
      <c r="L271" s="14" t="s">
        <v>71</v>
      </c>
      <c r="M271" s="8" t="s">
        <v>257</v>
      </c>
      <c r="N271" t="s">
        <v>359</v>
      </c>
      <c r="O271" t="s">
        <v>380</v>
      </c>
      <c r="P271" t="s">
        <v>360</v>
      </c>
      <c r="Q271" s="20">
        <v>46032.649155092593</v>
      </c>
      <c r="R271" s="8" t="s">
        <v>7</v>
      </c>
      <c r="T271" t="s">
        <v>543</v>
      </c>
    </row>
    <row r="272" spans="1:20" ht="15" customHeight="1" x14ac:dyDescent="0.25">
      <c r="A272">
        <f t="shared" si="4"/>
        <v>132</v>
      </c>
      <c r="B272" t="s">
        <v>904</v>
      </c>
      <c r="C272" s="13" t="s">
        <v>47</v>
      </c>
      <c r="D272" s="8">
        <v>28</v>
      </c>
      <c r="E2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72">
        <f ca="1">IF(Tabla142[[#This Row],[frecuencia_new]]="Diaria"," ",RANDBETWEEN(1,6))</f>
        <v>4</v>
      </c>
      <c r="G272">
        <f ca="1">IF(Tabla142[[#This Row],[frecuencia_new]]="Diaria","",IF(Tabla142[[#This Row],[frecuencia_new]]="Semanal","",IF(Tabla142[[#This Row],[frecuencia_new]]="Quincenal",RANDBETWEEN(1,2),RANDBETWEEN(1,4))))</f>
        <v>2</v>
      </c>
      <c r="H2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2" s="13" t="s">
        <v>272</v>
      </c>
      <c r="K272" s="13">
        <f>SUM(MID(Tabla142[[#This Row],[Duración]],1,2)*60,MID(Tabla142[[#This Row],[Duración]],6,2))</f>
        <v>10</v>
      </c>
      <c r="L272" s="16" t="s">
        <v>71</v>
      </c>
      <c r="M272" s="13" t="s">
        <v>257</v>
      </c>
      <c r="N272" t="s">
        <v>359</v>
      </c>
      <c r="O272" t="s">
        <v>380</v>
      </c>
      <c r="P272" t="s">
        <v>360</v>
      </c>
      <c r="Q272" s="20">
        <v>46032.649155092593</v>
      </c>
      <c r="R272" s="13" t="s">
        <v>7</v>
      </c>
      <c r="T272" t="s">
        <v>543</v>
      </c>
    </row>
    <row r="273" spans="1:20" ht="15" customHeight="1" x14ac:dyDescent="0.25">
      <c r="A273">
        <f t="shared" si="4"/>
        <v>132</v>
      </c>
      <c r="B273" t="s">
        <v>905</v>
      </c>
      <c r="C273" s="8" t="s">
        <v>47</v>
      </c>
      <c r="D273" s="8">
        <v>28</v>
      </c>
      <c r="E2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73" t="str">
        <f ca="1">IF(Tabla142[[#This Row],[frecuencia_new]]="Diaria"," ",RANDBETWEEN(1,6))</f>
        <v xml:space="preserve"> </v>
      </c>
      <c r="G273" t="str">
        <f ca="1">IF(Tabla142[[#This Row],[frecuencia_new]]="Diaria","",IF(Tabla142[[#This Row],[frecuencia_new]]="Semanal","",IF(Tabla142[[#This Row],[frecuencia_new]]="Quincenal",RANDBETWEEN(1,2),RANDBETWEEN(1,4))))</f>
        <v/>
      </c>
      <c r="H27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3" s="8" t="s">
        <v>273</v>
      </c>
      <c r="K273" s="8">
        <f>SUM(MID(Tabla142[[#This Row],[Duración]],1,2)*60,MID(Tabla142[[#This Row],[Duración]],6,2))</f>
        <v>2</v>
      </c>
      <c r="L273" s="14" t="s">
        <v>60</v>
      </c>
      <c r="M273" s="8" t="s">
        <v>257</v>
      </c>
      <c r="N273" t="s">
        <v>359</v>
      </c>
      <c r="O273" t="s">
        <v>380</v>
      </c>
      <c r="P273" t="s">
        <v>360</v>
      </c>
      <c r="Q273" s="20">
        <v>46032.649155092593</v>
      </c>
      <c r="R273" s="8" t="s">
        <v>6</v>
      </c>
      <c r="T273" t="s">
        <v>543</v>
      </c>
    </row>
    <row r="274" spans="1:20" ht="15" customHeight="1" x14ac:dyDescent="0.25">
      <c r="A274">
        <f t="shared" si="4"/>
        <v>132</v>
      </c>
      <c r="B274" t="s">
        <v>906</v>
      </c>
      <c r="C274" s="13" t="s">
        <v>47</v>
      </c>
      <c r="D274" s="8">
        <v>28</v>
      </c>
      <c r="E2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74">
        <f ca="1">IF(Tabla142[[#This Row],[frecuencia_new]]="Diaria"," ",RANDBETWEEN(1,6))</f>
        <v>4</v>
      </c>
      <c r="G274">
        <f ca="1">IF(Tabla142[[#This Row],[frecuencia_new]]="Diaria","",IF(Tabla142[[#This Row],[frecuencia_new]]="Semanal","",IF(Tabla142[[#This Row],[frecuencia_new]]="Quincenal",RANDBETWEEN(1,2),RANDBETWEEN(1,4))))</f>
        <v>4</v>
      </c>
      <c r="H27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4" s="13" t="s">
        <v>274</v>
      </c>
      <c r="K274" s="13">
        <f>SUM(MID(Tabla142[[#This Row],[Duración]],1,2)*60,MID(Tabla142[[#This Row],[Duración]],6,2))</f>
        <v>10</v>
      </c>
      <c r="L274" s="16" t="s">
        <v>71</v>
      </c>
      <c r="M274" s="13" t="s">
        <v>257</v>
      </c>
      <c r="N274" t="s">
        <v>359</v>
      </c>
      <c r="O274" t="s">
        <v>380</v>
      </c>
      <c r="P274" t="s">
        <v>360</v>
      </c>
      <c r="Q274" s="20">
        <v>46032.649155092593</v>
      </c>
      <c r="R274" s="13" t="s">
        <v>7</v>
      </c>
      <c r="T274" t="s">
        <v>543</v>
      </c>
    </row>
    <row r="275" spans="1:20" ht="15" customHeight="1" x14ac:dyDescent="0.25">
      <c r="A275">
        <f t="shared" si="4"/>
        <v>132</v>
      </c>
      <c r="B275" t="s">
        <v>907</v>
      </c>
      <c r="C275" s="8" t="s">
        <v>47</v>
      </c>
      <c r="D275" s="8">
        <v>28</v>
      </c>
      <c r="E2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75" t="str">
        <f ca="1">IF(Tabla142[[#This Row],[frecuencia_new]]="Diaria"," ",RANDBETWEEN(1,6))</f>
        <v xml:space="preserve"> </v>
      </c>
      <c r="G275" t="str">
        <f ca="1">IF(Tabla142[[#This Row],[frecuencia_new]]="Diaria","",IF(Tabla142[[#This Row],[frecuencia_new]]="Semanal","",IF(Tabla142[[#This Row],[frecuencia_new]]="Quincenal",RANDBETWEEN(1,2),RANDBETWEEN(1,4))))</f>
        <v/>
      </c>
      <c r="H27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5" s="8" t="s">
        <v>275</v>
      </c>
      <c r="K275" s="8">
        <f>SUM(MID(Tabla142[[#This Row],[Duración]],1,2)*60,MID(Tabla142[[#This Row],[Duración]],6,2))</f>
        <v>2</v>
      </c>
      <c r="L275" s="14" t="s">
        <v>60</v>
      </c>
      <c r="M275" s="8" t="s">
        <v>257</v>
      </c>
      <c r="N275" t="s">
        <v>359</v>
      </c>
      <c r="O275" t="s">
        <v>380</v>
      </c>
      <c r="P275" t="s">
        <v>360</v>
      </c>
      <c r="Q275" s="20">
        <v>46032.649155092593</v>
      </c>
      <c r="R275" s="8" t="s">
        <v>6</v>
      </c>
      <c r="T275" t="s">
        <v>543</v>
      </c>
    </row>
    <row r="276" spans="1:20" ht="15" customHeight="1" x14ac:dyDescent="0.25">
      <c r="A276">
        <f t="shared" si="4"/>
        <v>132</v>
      </c>
      <c r="B276" t="s">
        <v>908</v>
      </c>
      <c r="C276" s="13" t="s">
        <v>47</v>
      </c>
      <c r="D276" s="8">
        <v>28</v>
      </c>
      <c r="E2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76" t="str">
        <f ca="1">IF(Tabla142[[#This Row],[frecuencia_new]]="Diaria"," ",RANDBETWEEN(1,6))</f>
        <v xml:space="preserve"> </v>
      </c>
      <c r="G276" t="str">
        <f ca="1">IF(Tabla142[[#This Row],[frecuencia_new]]="Diaria","",IF(Tabla142[[#This Row],[frecuencia_new]]="Semanal","",IF(Tabla142[[#This Row],[frecuencia_new]]="Quincenal",RANDBETWEEN(1,2),RANDBETWEEN(1,4))))</f>
        <v/>
      </c>
      <c r="H2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6" s="13" t="s">
        <v>276</v>
      </c>
      <c r="K276" s="13">
        <f>SUM(MID(Tabla142[[#This Row],[Duración]],1,2)*60,MID(Tabla142[[#This Row],[Duración]],6,2))</f>
        <v>2</v>
      </c>
      <c r="L276" s="16" t="s">
        <v>60</v>
      </c>
      <c r="M276" s="13" t="s">
        <v>257</v>
      </c>
      <c r="N276" t="s">
        <v>359</v>
      </c>
      <c r="O276" t="s">
        <v>380</v>
      </c>
      <c r="P276" t="s">
        <v>360</v>
      </c>
      <c r="Q276" s="20">
        <v>46032.649155092593</v>
      </c>
      <c r="R276" s="13" t="s">
        <v>6</v>
      </c>
      <c r="T276" t="s">
        <v>543</v>
      </c>
    </row>
    <row r="277" spans="1:20" ht="15" customHeight="1" x14ac:dyDescent="0.25">
      <c r="A277">
        <f t="shared" si="4"/>
        <v>132</v>
      </c>
      <c r="B277" t="s">
        <v>909</v>
      </c>
      <c r="C277" s="8" t="s">
        <v>47</v>
      </c>
      <c r="D277" s="8">
        <v>28</v>
      </c>
      <c r="E2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77" t="str">
        <f ca="1">IF(Tabla142[[#This Row],[frecuencia_new]]="Diaria"," ",RANDBETWEEN(1,6))</f>
        <v xml:space="preserve"> </v>
      </c>
      <c r="G277" t="str">
        <f ca="1">IF(Tabla142[[#This Row],[frecuencia_new]]="Diaria","",IF(Tabla142[[#This Row],[frecuencia_new]]="Semanal","",IF(Tabla142[[#This Row],[frecuencia_new]]="Quincenal",RANDBETWEEN(1,2),RANDBETWEEN(1,4))))</f>
        <v/>
      </c>
      <c r="H2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7" s="8" t="s">
        <v>277</v>
      </c>
      <c r="K277" s="8">
        <f>SUM(MID(Tabla142[[#This Row],[Duración]],1,2)*60,MID(Tabla142[[#This Row],[Duración]],6,2))</f>
        <v>2</v>
      </c>
      <c r="L277" s="14" t="s">
        <v>60</v>
      </c>
      <c r="M277" s="8" t="s">
        <v>257</v>
      </c>
      <c r="N277" t="s">
        <v>359</v>
      </c>
      <c r="O277" t="s">
        <v>380</v>
      </c>
      <c r="P277" t="s">
        <v>360</v>
      </c>
      <c r="Q277" s="20">
        <v>46032.649155092593</v>
      </c>
      <c r="R277" s="8" t="s">
        <v>6</v>
      </c>
      <c r="T277" t="s">
        <v>543</v>
      </c>
    </row>
    <row r="278" spans="1:20" ht="15" customHeight="1" x14ac:dyDescent="0.25">
      <c r="A278">
        <f t="shared" si="4"/>
        <v>132</v>
      </c>
      <c r="B278" t="s">
        <v>910</v>
      </c>
      <c r="C278" s="13" t="s">
        <v>47</v>
      </c>
      <c r="D278" s="8">
        <v>28</v>
      </c>
      <c r="E2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78">
        <f ca="1">IF(Tabla142[[#This Row],[frecuencia_new]]="Diaria"," ",RANDBETWEEN(1,6))</f>
        <v>3</v>
      </c>
      <c r="G278" t="str">
        <f ca="1">IF(Tabla142[[#This Row],[frecuencia_new]]="Diaria","",IF(Tabla142[[#This Row],[frecuencia_new]]="Semanal","",IF(Tabla142[[#This Row],[frecuencia_new]]="Quincenal",RANDBETWEEN(1,2),RANDBETWEEN(1,4))))</f>
        <v/>
      </c>
      <c r="H2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78" s="13" t="s">
        <v>278</v>
      </c>
      <c r="K278" s="13">
        <f>SUM(MID(Tabla142[[#This Row],[Duración]],1,2)*60,MID(Tabla142[[#This Row],[Duración]],6,2))</f>
        <v>2</v>
      </c>
      <c r="L278" s="16" t="s">
        <v>60</v>
      </c>
      <c r="M278" s="13" t="s">
        <v>257</v>
      </c>
      <c r="N278" t="s">
        <v>359</v>
      </c>
      <c r="O278" t="s">
        <v>380</v>
      </c>
      <c r="P278" t="s">
        <v>360</v>
      </c>
      <c r="Q278" s="20">
        <v>46032.649155092593</v>
      </c>
      <c r="R278" s="13" t="s">
        <v>8</v>
      </c>
      <c r="T278" t="s">
        <v>543</v>
      </c>
    </row>
    <row r="279" spans="1:20" ht="15" customHeight="1" x14ac:dyDescent="0.25">
      <c r="A279">
        <f t="shared" si="4"/>
        <v>133</v>
      </c>
      <c r="B279" t="s">
        <v>911</v>
      </c>
      <c r="C279" s="8" t="s">
        <v>47</v>
      </c>
      <c r="D279" s="8">
        <v>29</v>
      </c>
      <c r="E2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79">
        <f ca="1">IF(Tabla142[[#This Row],[frecuencia_new]]="Diaria"," ",RANDBETWEEN(1,6))</f>
        <v>1</v>
      </c>
      <c r="G279">
        <f ca="1">IF(Tabla142[[#This Row],[frecuencia_new]]="Diaria","",IF(Tabla142[[#This Row],[frecuencia_new]]="Semanal","",IF(Tabla142[[#This Row],[frecuencia_new]]="Quincenal",RANDBETWEEN(1,2),RANDBETWEEN(1,4))))</f>
        <v>2</v>
      </c>
      <c r="H27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279" s="8" t="s">
        <v>265</v>
      </c>
      <c r="K279" s="8">
        <f>SUM(MID(Tabla142[[#This Row],[Duración]],1,2)*60,MID(Tabla142[[#This Row],[Duración]],6,2))</f>
        <v>25</v>
      </c>
      <c r="L279" s="14" t="s">
        <v>184</v>
      </c>
      <c r="M279" s="8" t="s">
        <v>257</v>
      </c>
      <c r="N279" t="s">
        <v>359</v>
      </c>
      <c r="O279" t="s">
        <v>380</v>
      </c>
      <c r="P279" t="s">
        <v>360</v>
      </c>
      <c r="Q279" s="20">
        <v>46032.649155092593</v>
      </c>
      <c r="R279" s="8" t="s">
        <v>5</v>
      </c>
      <c r="T279" t="s">
        <v>544</v>
      </c>
    </row>
    <row r="280" spans="1:20" ht="15" customHeight="1" x14ac:dyDescent="0.25">
      <c r="A280">
        <f t="shared" si="4"/>
        <v>133</v>
      </c>
      <c r="B280" t="s">
        <v>912</v>
      </c>
      <c r="C280" s="13" t="s">
        <v>47</v>
      </c>
      <c r="D280" s="8">
        <v>29</v>
      </c>
      <c r="E2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80" t="str">
        <f ca="1">IF(Tabla142[[#This Row],[frecuencia_new]]="Diaria"," ",RANDBETWEEN(1,6))</f>
        <v xml:space="preserve"> </v>
      </c>
      <c r="G280" t="str">
        <f ca="1">IF(Tabla142[[#This Row],[frecuencia_new]]="Diaria","",IF(Tabla142[[#This Row],[frecuencia_new]]="Semanal","",IF(Tabla142[[#This Row],[frecuencia_new]]="Quincenal",RANDBETWEEN(1,2),RANDBETWEEN(1,4))))</f>
        <v/>
      </c>
      <c r="H2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0" s="13" t="s">
        <v>266</v>
      </c>
      <c r="K280" s="13">
        <f>SUM(MID(Tabla142[[#This Row],[Duración]],1,2)*60,MID(Tabla142[[#This Row],[Duración]],6,2))</f>
        <v>2</v>
      </c>
      <c r="L280" s="16" t="s">
        <v>60</v>
      </c>
      <c r="M280" s="13" t="s">
        <v>257</v>
      </c>
      <c r="N280" t="s">
        <v>359</v>
      </c>
      <c r="O280" t="s">
        <v>380</v>
      </c>
      <c r="P280" t="s">
        <v>360</v>
      </c>
      <c r="Q280" s="20">
        <v>46032.649155092593</v>
      </c>
      <c r="R280" s="13" t="s">
        <v>6</v>
      </c>
      <c r="T280" t="s">
        <v>544</v>
      </c>
    </row>
    <row r="281" spans="1:20" ht="15" customHeight="1" x14ac:dyDescent="0.25">
      <c r="A281">
        <f t="shared" si="4"/>
        <v>133</v>
      </c>
      <c r="B281" t="s">
        <v>913</v>
      </c>
      <c r="C281" s="8" t="s">
        <v>47</v>
      </c>
      <c r="D281" s="8">
        <v>29</v>
      </c>
      <c r="E2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81">
        <f ca="1">IF(Tabla142[[#This Row],[frecuencia_new]]="Diaria"," ",RANDBETWEEN(1,6))</f>
        <v>3</v>
      </c>
      <c r="G281">
        <f ca="1">IF(Tabla142[[#This Row],[frecuencia_new]]="Diaria","",IF(Tabla142[[#This Row],[frecuencia_new]]="Semanal","",IF(Tabla142[[#This Row],[frecuencia_new]]="Quincenal",RANDBETWEEN(1,2),RANDBETWEEN(1,4))))</f>
        <v>1</v>
      </c>
      <c r="H28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1" s="8" t="s">
        <v>267</v>
      </c>
      <c r="K281" s="8">
        <f>SUM(MID(Tabla142[[#This Row],[Duración]],1,2)*60,MID(Tabla142[[#This Row],[Duración]],6,2))</f>
        <v>10</v>
      </c>
      <c r="L281" s="14" t="s">
        <v>71</v>
      </c>
      <c r="M281" s="8" t="s">
        <v>257</v>
      </c>
      <c r="N281" t="s">
        <v>359</v>
      </c>
      <c r="O281" t="s">
        <v>380</v>
      </c>
      <c r="P281" t="s">
        <v>360</v>
      </c>
      <c r="Q281" s="20">
        <v>46032.649155092593</v>
      </c>
      <c r="R281" s="8" t="s">
        <v>7</v>
      </c>
      <c r="T281" t="s">
        <v>544</v>
      </c>
    </row>
    <row r="282" spans="1:20" ht="15" customHeight="1" x14ac:dyDescent="0.25">
      <c r="A282">
        <f t="shared" si="4"/>
        <v>133</v>
      </c>
      <c r="B282" t="s">
        <v>914</v>
      </c>
      <c r="C282" s="13" t="s">
        <v>47</v>
      </c>
      <c r="D282" s="8">
        <v>29</v>
      </c>
      <c r="E2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82">
        <f ca="1">IF(Tabla142[[#This Row],[frecuencia_new]]="Diaria"," ",RANDBETWEEN(1,6))</f>
        <v>5</v>
      </c>
      <c r="G282">
        <f ca="1">IF(Tabla142[[#This Row],[frecuencia_new]]="Diaria","",IF(Tabla142[[#This Row],[frecuencia_new]]="Semanal","",IF(Tabla142[[#This Row],[frecuencia_new]]="Quincenal",RANDBETWEEN(1,2),RANDBETWEEN(1,4))))</f>
        <v>1</v>
      </c>
      <c r="H2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2" s="13" t="s">
        <v>268</v>
      </c>
      <c r="K282" s="13">
        <f>SUM(MID(Tabla142[[#This Row],[Duración]],1,2)*60,MID(Tabla142[[#This Row],[Duración]],6,2))</f>
        <v>25</v>
      </c>
      <c r="L282" s="16" t="s">
        <v>184</v>
      </c>
      <c r="M282" s="13" t="s">
        <v>257</v>
      </c>
      <c r="N282" t="s">
        <v>359</v>
      </c>
      <c r="O282" t="s">
        <v>380</v>
      </c>
      <c r="P282" t="s">
        <v>360</v>
      </c>
      <c r="Q282" s="20">
        <v>46032.649155092593</v>
      </c>
      <c r="R282" t="s">
        <v>1846</v>
      </c>
      <c r="T282" t="s">
        <v>544</v>
      </c>
    </row>
    <row r="283" spans="1:20" ht="15" customHeight="1" x14ac:dyDescent="0.25">
      <c r="A283">
        <f t="shared" si="4"/>
        <v>133</v>
      </c>
      <c r="B283" t="s">
        <v>915</v>
      </c>
      <c r="C283" s="8" t="s">
        <v>47</v>
      </c>
      <c r="D283" s="8">
        <v>29</v>
      </c>
      <c r="E2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83">
        <f ca="1">IF(Tabla142[[#This Row],[frecuencia_new]]="Diaria"," ",RANDBETWEEN(1,6))</f>
        <v>6</v>
      </c>
      <c r="G283">
        <f ca="1">IF(Tabla142[[#This Row],[frecuencia_new]]="Diaria","",IF(Tabla142[[#This Row],[frecuencia_new]]="Semanal","",IF(Tabla142[[#This Row],[frecuencia_new]]="Quincenal",RANDBETWEEN(1,2),RANDBETWEEN(1,4))))</f>
        <v>1</v>
      </c>
      <c r="H2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3" s="8" t="s">
        <v>269</v>
      </c>
      <c r="K283" s="8">
        <f>SUM(MID(Tabla142[[#This Row],[Duración]],1,2)*60,MID(Tabla142[[#This Row],[Duración]],6,2))</f>
        <v>25</v>
      </c>
      <c r="L283" s="14" t="s">
        <v>184</v>
      </c>
      <c r="M283" s="8" t="s">
        <v>257</v>
      </c>
      <c r="N283" t="s">
        <v>359</v>
      </c>
      <c r="O283" t="s">
        <v>380</v>
      </c>
      <c r="P283" t="s">
        <v>360</v>
      </c>
      <c r="Q283" s="20">
        <v>46032.649155092593</v>
      </c>
      <c r="R283" t="s">
        <v>1846</v>
      </c>
      <c r="T283" t="s">
        <v>544</v>
      </c>
    </row>
    <row r="284" spans="1:20" ht="15" customHeight="1" x14ac:dyDescent="0.25">
      <c r="A284">
        <f t="shared" si="4"/>
        <v>133</v>
      </c>
      <c r="B284" t="s">
        <v>916</v>
      </c>
      <c r="C284" s="13" t="s">
        <v>47</v>
      </c>
      <c r="D284" s="8">
        <v>29</v>
      </c>
      <c r="E2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84">
        <f ca="1">IF(Tabla142[[#This Row],[frecuencia_new]]="Diaria"," ",RANDBETWEEN(1,6))</f>
        <v>4</v>
      </c>
      <c r="G284">
        <f ca="1">IF(Tabla142[[#This Row],[frecuencia_new]]="Diaria","",IF(Tabla142[[#This Row],[frecuencia_new]]="Semanal","",IF(Tabla142[[#This Row],[frecuencia_new]]="Quincenal",RANDBETWEEN(1,2),RANDBETWEEN(1,4))))</f>
        <v>2</v>
      </c>
      <c r="H2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4" s="13" t="s">
        <v>270</v>
      </c>
      <c r="K284" s="13">
        <f>SUM(MID(Tabla142[[#This Row],[Duración]],1,2)*60,MID(Tabla142[[#This Row],[Duración]],6,2))</f>
        <v>25</v>
      </c>
      <c r="L284" s="16" t="s">
        <v>184</v>
      </c>
      <c r="M284" s="13" t="s">
        <v>257</v>
      </c>
      <c r="N284" t="s">
        <v>359</v>
      </c>
      <c r="O284" t="s">
        <v>380</v>
      </c>
      <c r="P284" t="s">
        <v>360</v>
      </c>
      <c r="Q284" s="20">
        <v>46032.649155092593</v>
      </c>
      <c r="R284" t="s">
        <v>1846</v>
      </c>
      <c r="T284" t="s">
        <v>544</v>
      </c>
    </row>
    <row r="285" spans="1:20" ht="15" customHeight="1" x14ac:dyDescent="0.25">
      <c r="A285">
        <f t="shared" si="4"/>
        <v>133</v>
      </c>
      <c r="B285" t="s">
        <v>917</v>
      </c>
      <c r="C285" s="8" t="s">
        <v>47</v>
      </c>
      <c r="D285" s="8">
        <v>29</v>
      </c>
      <c r="E2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85">
        <f ca="1">IF(Tabla142[[#This Row],[frecuencia_new]]="Diaria"," ",RANDBETWEEN(1,6))</f>
        <v>6</v>
      </c>
      <c r="G285">
        <f ca="1">IF(Tabla142[[#This Row],[frecuencia_new]]="Diaria","",IF(Tabla142[[#This Row],[frecuencia_new]]="Semanal","",IF(Tabla142[[#This Row],[frecuencia_new]]="Quincenal",RANDBETWEEN(1,2),RANDBETWEEN(1,4))))</f>
        <v>1</v>
      </c>
      <c r="H2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5" s="8" t="s">
        <v>271</v>
      </c>
      <c r="K285" s="8">
        <f>SUM(MID(Tabla142[[#This Row],[Duración]],1,2)*60,MID(Tabla142[[#This Row],[Duración]],6,2))</f>
        <v>10</v>
      </c>
      <c r="L285" s="14" t="s">
        <v>71</v>
      </c>
      <c r="M285" s="8" t="s">
        <v>257</v>
      </c>
      <c r="N285" t="s">
        <v>359</v>
      </c>
      <c r="O285" t="s">
        <v>380</v>
      </c>
      <c r="P285" t="s">
        <v>360</v>
      </c>
      <c r="Q285" s="20">
        <v>46032.649155092593</v>
      </c>
      <c r="R285" s="8" t="s">
        <v>7</v>
      </c>
      <c r="T285" t="s">
        <v>544</v>
      </c>
    </row>
    <row r="286" spans="1:20" ht="15" customHeight="1" x14ac:dyDescent="0.25">
      <c r="A286">
        <f t="shared" si="4"/>
        <v>133</v>
      </c>
      <c r="B286" t="s">
        <v>918</v>
      </c>
      <c r="C286" s="13" t="s">
        <v>47</v>
      </c>
      <c r="D286" s="8">
        <v>29</v>
      </c>
      <c r="E2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86">
        <f ca="1">IF(Tabla142[[#This Row],[frecuencia_new]]="Diaria"," ",RANDBETWEEN(1,6))</f>
        <v>3</v>
      </c>
      <c r="G286">
        <f ca="1">IF(Tabla142[[#This Row],[frecuencia_new]]="Diaria","",IF(Tabla142[[#This Row],[frecuencia_new]]="Semanal","",IF(Tabla142[[#This Row],[frecuencia_new]]="Quincenal",RANDBETWEEN(1,2),RANDBETWEEN(1,4))))</f>
        <v>4</v>
      </c>
      <c r="H28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6" s="13" t="s">
        <v>272</v>
      </c>
      <c r="K286" s="13">
        <f>SUM(MID(Tabla142[[#This Row],[Duración]],1,2)*60,MID(Tabla142[[#This Row],[Duración]],6,2))</f>
        <v>10</v>
      </c>
      <c r="L286" s="16" t="s">
        <v>71</v>
      </c>
      <c r="M286" s="13" t="s">
        <v>257</v>
      </c>
      <c r="N286" t="s">
        <v>359</v>
      </c>
      <c r="O286" t="s">
        <v>380</v>
      </c>
      <c r="P286" t="s">
        <v>360</v>
      </c>
      <c r="Q286" s="20">
        <v>46032.649155092593</v>
      </c>
      <c r="R286" s="13" t="s">
        <v>7</v>
      </c>
      <c r="T286" t="s">
        <v>544</v>
      </c>
    </row>
    <row r="287" spans="1:20" ht="15" customHeight="1" x14ac:dyDescent="0.25">
      <c r="A287">
        <f t="shared" si="4"/>
        <v>133</v>
      </c>
      <c r="B287" t="s">
        <v>919</v>
      </c>
      <c r="C287" s="8" t="s">
        <v>47</v>
      </c>
      <c r="D287" s="8">
        <v>29</v>
      </c>
      <c r="E2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87" t="str">
        <f ca="1">IF(Tabla142[[#This Row],[frecuencia_new]]="Diaria"," ",RANDBETWEEN(1,6))</f>
        <v xml:space="preserve"> </v>
      </c>
      <c r="G287" t="str">
        <f ca="1">IF(Tabla142[[#This Row],[frecuencia_new]]="Diaria","",IF(Tabla142[[#This Row],[frecuencia_new]]="Semanal","",IF(Tabla142[[#This Row],[frecuencia_new]]="Quincenal",RANDBETWEEN(1,2),RANDBETWEEN(1,4))))</f>
        <v/>
      </c>
      <c r="H2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7" s="8" t="s">
        <v>273</v>
      </c>
      <c r="K287" s="8">
        <f>SUM(MID(Tabla142[[#This Row],[Duración]],1,2)*60,MID(Tabla142[[#This Row],[Duración]],6,2))</f>
        <v>2</v>
      </c>
      <c r="L287" s="14" t="s">
        <v>60</v>
      </c>
      <c r="M287" s="8" t="s">
        <v>257</v>
      </c>
      <c r="N287" t="s">
        <v>359</v>
      </c>
      <c r="O287" t="s">
        <v>380</v>
      </c>
      <c r="P287" t="s">
        <v>360</v>
      </c>
      <c r="Q287" s="20">
        <v>46032.649155092593</v>
      </c>
      <c r="R287" s="8" t="s">
        <v>6</v>
      </c>
      <c r="T287" t="s">
        <v>544</v>
      </c>
    </row>
    <row r="288" spans="1:20" ht="15" customHeight="1" x14ac:dyDescent="0.25">
      <c r="A288">
        <f t="shared" si="4"/>
        <v>133</v>
      </c>
      <c r="B288" t="s">
        <v>920</v>
      </c>
      <c r="C288" s="13" t="s">
        <v>47</v>
      </c>
      <c r="D288" s="8">
        <v>29</v>
      </c>
      <c r="E2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88">
        <f ca="1">IF(Tabla142[[#This Row],[frecuencia_new]]="Diaria"," ",RANDBETWEEN(1,6))</f>
        <v>5</v>
      </c>
      <c r="G288">
        <f ca="1">IF(Tabla142[[#This Row],[frecuencia_new]]="Diaria","",IF(Tabla142[[#This Row],[frecuencia_new]]="Semanal","",IF(Tabla142[[#This Row],[frecuencia_new]]="Quincenal",RANDBETWEEN(1,2),RANDBETWEEN(1,4))))</f>
        <v>1</v>
      </c>
      <c r="H2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8" s="13" t="s">
        <v>274</v>
      </c>
      <c r="K288" s="13">
        <f>SUM(MID(Tabla142[[#This Row],[Duración]],1,2)*60,MID(Tabla142[[#This Row],[Duración]],6,2))</f>
        <v>10</v>
      </c>
      <c r="L288" s="16" t="s">
        <v>71</v>
      </c>
      <c r="M288" s="13" t="s">
        <v>257</v>
      </c>
      <c r="N288" t="s">
        <v>359</v>
      </c>
      <c r="O288" t="s">
        <v>380</v>
      </c>
      <c r="P288" t="s">
        <v>360</v>
      </c>
      <c r="Q288" s="20">
        <v>46032.649155092593</v>
      </c>
      <c r="R288" s="13" t="s">
        <v>7</v>
      </c>
      <c r="T288" t="s">
        <v>544</v>
      </c>
    </row>
    <row r="289" spans="1:20" ht="15" customHeight="1" x14ac:dyDescent="0.25">
      <c r="A289">
        <f t="shared" si="4"/>
        <v>133</v>
      </c>
      <c r="B289" t="s">
        <v>921</v>
      </c>
      <c r="C289" s="8" t="s">
        <v>47</v>
      </c>
      <c r="D289" s="8">
        <v>29</v>
      </c>
      <c r="E2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89" t="str">
        <f ca="1">IF(Tabla142[[#This Row],[frecuencia_new]]="Diaria"," ",RANDBETWEEN(1,6))</f>
        <v xml:space="preserve"> </v>
      </c>
      <c r="G289" t="str">
        <f ca="1">IF(Tabla142[[#This Row],[frecuencia_new]]="Diaria","",IF(Tabla142[[#This Row],[frecuencia_new]]="Semanal","",IF(Tabla142[[#This Row],[frecuencia_new]]="Quincenal",RANDBETWEEN(1,2),RANDBETWEEN(1,4))))</f>
        <v/>
      </c>
      <c r="H2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89" s="8" t="s">
        <v>275</v>
      </c>
      <c r="K289" s="8">
        <f>SUM(MID(Tabla142[[#This Row],[Duración]],1,2)*60,MID(Tabla142[[#This Row],[Duración]],6,2))</f>
        <v>2</v>
      </c>
      <c r="L289" s="14" t="s">
        <v>60</v>
      </c>
      <c r="M289" s="8" t="s">
        <v>257</v>
      </c>
      <c r="N289" t="s">
        <v>359</v>
      </c>
      <c r="O289" t="s">
        <v>380</v>
      </c>
      <c r="P289" t="s">
        <v>360</v>
      </c>
      <c r="Q289" s="20">
        <v>46032.649155092593</v>
      </c>
      <c r="R289" s="8" t="s">
        <v>6</v>
      </c>
      <c r="T289" t="s">
        <v>544</v>
      </c>
    </row>
    <row r="290" spans="1:20" ht="15" customHeight="1" x14ac:dyDescent="0.25">
      <c r="A290">
        <f t="shared" si="4"/>
        <v>133</v>
      </c>
      <c r="B290" t="s">
        <v>922</v>
      </c>
      <c r="C290" s="13" t="s">
        <v>47</v>
      </c>
      <c r="D290" s="8">
        <v>29</v>
      </c>
      <c r="E2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90" t="str">
        <f ca="1">IF(Tabla142[[#This Row],[frecuencia_new]]="Diaria"," ",RANDBETWEEN(1,6))</f>
        <v xml:space="preserve"> </v>
      </c>
      <c r="G290" t="str">
        <f ca="1">IF(Tabla142[[#This Row],[frecuencia_new]]="Diaria","",IF(Tabla142[[#This Row],[frecuencia_new]]="Semanal","",IF(Tabla142[[#This Row],[frecuencia_new]]="Quincenal",RANDBETWEEN(1,2),RANDBETWEEN(1,4))))</f>
        <v/>
      </c>
      <c r="H2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0" s="13" t="s">
        <v>276</v>
      </c>
      <c r="K290" s="13">
        <f>SUM(MID(Tabla142[[#This Row],[Duración]],1,2)*60,MID(Tabla142[[#This Row],[Duración]],6,2))</f>
        <v>2</v>
      </c>
      <c r="L290" s="16" t="s">
        <v>60</v>
      </c>
      <c r="M290" s="13" t="s">
        <v>257</v>
      </c>
      <c r="N290" t="s">
        <v>359</v>
      </c>
      <c r="O290" t="s">
        <v>380</v>
      </c>
      <c r="P290" t="s">
        <v>360</v>
      </c>
      <c r="Q290" s="20">
        <v>46032.649155092593</v>
      </c>
      <c r="R290" s="13" t="s">
        <v>6</v>
      </c>
      <c r="T290" t="s">
        <v>544</v>
      </c>
    </row>
    <row r="291" spans="1:20" ht="15" customHeight="1" x14ac:dyDescent="0.25">
      <c r="A291">
        <f t="shared" si="4"/>
        <v>133</v>
      </c>
      <c r="B291" t="s">
        <v>923</v>
      </c>
      <c r="C291" s="8" t="s">
        <v>47</v>
      </c>
      <c r="D291" s="8">
        <v>29</v>
      </c>
      <c r="E2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91" t="str">
        <f ca="1">IF(Tabla142[[#This Row],[frecuencia_new]]="Diaria"," ",RANDBETWEEN(1,6))</f>
        <v xml:space="preserve"> </v>
      </c>
      <c r="G291" t="str">
        <f ca="1">IF(Tabla142[[#This Row],[frecuencia_new]]="Diaria","",IF(Tabla142[[#This Row],[frecuencia_new]]="Semanal","",IF(Tabla142[[#This Row],[frecuencia_new]]="Quincenal",RANDBETWEEN(1,2),RANDBETWEEN(1,4))))</f>
        <v/>
      </c>
      <c r="H2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1" s="8" t="s">
        <v>277</v>
      </c>
      <c r="K291" s="8">
        <f>SUM(MID(Tabla142[[#This Row],[Duración]],1,2)*60,MID(Tabla142[[#This Row],[Duración]],6,2))</f>
        <v>2</v>
      </c>
      <c r="L291" s="14" t="s">
        <v>60</v>
      </c>
      <c r="M291" s="8" t="s">
        <v>257</v>
      </c>
      <c r="N291" t="s">
        <v>359</v>
      </c>
      <c r="O291" t="s">
        <v>380</v>
      </c>
      <c r="P291" t="s">
        <v>360</v>
      </c>
      <c r="Q291" s="20">
        <v>46032.649155092593</v>
      </c>
      <c r="R291" s="8" t="s">
        <v>6</v>
      </c>
      <c r="T291" t="s">
        <v>544</v>
      </c>
    </row>
    <row r="292" spans="1:20" ht="15" customHeight="1" x14ac:dyDescent="0.25">
      <c r="A292">
        <f t="shared" si="4"/>
        <v>133</v>
      </c>
      <c r="B292" t="s">
        <v>924</v>
      </c>
      <c r="C292" s="13" t="s">
        <v>47</v>
      </c>
      <c r="D292" s="8">
        <v>29</v>
      </c>
      <c r="E2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292">
        <f ca="1">IF(Tabla142[[#This Row],[frecuencia_new]]="Diaria"," ",RANDBETWEEN(1,6))</f>
        <v>5</v>
      </c>
      <c r="G292" t="str">
        <f ca="1">IF(Tabla142[[#This Row],[frecuencia_new]]="Diaria","",IF(Tabla142[[#This Row],[frecuencia_new]]="Semanal","",IF(Tabla142[[#This Row],[frecuencia_new]]="Quincenal",RANDBETWEEN(1,2),RANDBETWEEN(1,4))))</f>
        <v/>
      </c>
      <c r="H2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2" s="13" t="s">
        <v>278</v>
      </c>
      <c r="K292" s="13">
        <f>SUM(MID(Tabla142[[#This Row],[Duración]],1,2)*60,MID(Tabla142[[#This Row],[Duración]],6,2))</f>
        <v>2</v>
      </c>
      <c r="L292" s="16" t="s">
        <v>60</v>
      </c>
      <c r="M292" s="13" t="s">
        <v>257</v>
      </c>
      <c r="N292" t="s">
        <v>359</v>
      </c>
      <c r="O292" t="s">
        <v>380</v>
      </c>
      <c r="P292" t="s">
        <v>360</v>
      </c>
      <c r="Q292" s="20">
        <v>46032.649155092593</v>
      </c>
      <c r="R292" s="13" t="s">
        <v>8</v>
      </c>
      <c r="T292" t="s">
        <v>544</v>
      </c>
    </row>
    <row r="293" spans="1:20" ht="15" customHeight="1" x14ac:dyDescent="0.25">
      <c r="A293">
        <f t="shared" si="4"/>
        <v>134</v>
      </c>
      <c r="B293" t="s">
        <v>925</v>
      </c>
      <c r="C293" s="8" t="s">
        <v>47</v>
      </c>
      <c r="D293" s="8">
        <v>30</v>
      </c>
      <c r="E2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293">
        <f ca="1">IF(Tabla142[[#This Row],[frecuencia_new]]="Diaria"," ",RANDBETWEEN(1,6))</f>
        <v>5</v>
      </c>
      <c r="G293">
        <f ca="1">IF(Tabla142[[#This Row],[frecuencia_new]]="Diaria","",IF(Tabla142[[#This Row],[frecuencia_new]]="Semanal","",IF(Tabla142[[#This Row],[frecuencia_new]]="Quincenal",RANDBETWEEN(1,2),RANDBETWEEN(1,4))))</f>
        <v>3</v>
      </c>
      <c r="H29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293" s="8" t="s">
        <v>265</v>
      </c>
      <c r="K293" s="8">
        <f>SUM(MID(Tabla142[[#This Row],[Duración]],1,2)*60,MID(Tabla142[[#This Row],[Duración]],6,2))</f>
        <v>25</v>
      </c>
      <c r="L293" s="14" t="s">
        <v>184</v>
      </c>
      <c r="M293" s="8" t="s">
        <v>257</v>
      </c>
      <c r="N293" t="s">
        <v>359</v>
      </c>
      <c r="O293" t="s">
        <v>380</v>
      </c>
      <c r="P293" t="s">
        <v>360</v>
      </c>
      <c r="Q293" s="20">
        <v>46032.649155092593</v>
      </c>
      <c r="R293" s="8" t="s">
        <v>5</v>
      </c>
      <c r="T293" t="s">
        <v>545</v>
      </c>
    </row>
    <row r="294" spans="1:20" ht="15" customHeight="1" x14ac:dyDescent="0.25">
      <c r="A294">
        <f t="shared" si="4"/>
        <v>134</v>
      </c>
      <c r="B294" t="s">
        <v>926</v>
      </c>
      <c r="C294" s="13" t="s">
        <v>47</v>
      </c>
      <c r="D294" s="8">
        <v>30</v>
      </c>
      <c r="E2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294" t="str">
        <f ca="1">IF(Tabla142[[#This Row],[frecuencia_new]]="Diaria"," ",RANDBETWEEN(1,6))</f>
        <v xml:space="preserve"> </v>
      </c>
      <c r="G294" t="str">
        <f ca="1">IF(Tabla142[[#This Row],[frecuencia_new]]="Diaria","",IF(Tabla142[[#This Row],[frecuencia_new]]="Semanal","",IF(Tabla142[[#This Row],[frecuencia_new]]="Quincenal",RANDBETWEEN(1,2),RANDBETWEEN(1,4))))</f>
        <v/>
      </c>
      <c r="H2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4" s="13" t="s">
        <v>266</v>
      </c>
      <c r="K294" s="13">
        <f>SUM(MID(Tabla142[[#This Row],[Duración]],1,2)*60,MID(Tabla142[[#This Row],[Duración]],6,2))</f>
        <v>2</v>
      </c>
      <c r="L294" s="16" t="s">
        <v>60</v>
      </c>
      <c r="M294" s="13" t="s">
        <v>257</v>
      </c>
      <c r="N294" t="s">
        <v>359</v>
      </c>
      <c r="O294" t="s">
        <v>380</v>
      </c>
      <c r="P294" t="s">
        <v>360</v>
      </c>
      <c r="Q294" s="20">
        <v>46032.649155092593</v>
      </c>
      <c r="R294" s="13" t="s">
        <v>6</v>
      </c>
      <c r="T294" t="s">
        <v>545</v>
      </c>
    </row>
    <row r="295" spans="1:20" ht="15" customHeight="1" x14ac:dyDescent="0.25">
      <c r="A295">
        <f t="shared" si="4"/>
        <v>134</v>
      </c>
      <c r="B295" t="s">
        <v>927</v>
      </c>
      <c r="C295" s="8" t="s">
        <v>47</v>
      </c>
      <c r="D295" s="8">
        <v>30</v>
      </c>
      <c r="E2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95">
        <f ca="1">IF(Tabla142[[#This Row],[frecuencia_new]]="Diaria"," ",RANDBETWEEN(1,6))</f>
        <v>1</v>
      </c>
      <c r="G295">
        <f ca="1">IF(Tabla142[[#This Row],[frecuencia_new]]="Diaria","",IF(Tabla142[[#This Row],[frecuencia_new]]="Semanal","",IF(Tabla142[[#This Row],[frecuencia_new]]="Quincenal",RANDBETWEEN(1,2),RANDBETWEEN(1,4))))</f>
        <v>1</v>
      </c>
      <c r="H2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5" s="8" t="s">
        <v>267</v>
      </c>
      <c r="K295" s="8">
        <f>SUM(MID(Tabla142[[#This Row],[Duración]],1,2)*60,MID(Tabla142[[#This Row],[Duración]],6,2))</f>
        <v>10</v>
      </c>
      <c r="L295" s="14" t="s">
        <v>71</v>
      </c>
      <c r="M295" s="8" t="s">
        <v>257</v>
      </c>
      <c r="N295" t="s">
        <v>359</v>
      </c>
      <c r="O295" t="s">
        <v>380</v>
      </c>
      <c r="P295" t="s">
        <v>360</v>
      </c>
      <c r="Q295" s="20">
        <v>46032.649155092593</v>
      </c>
      <c r="R295" s="8" t="s">
        <v>7</v>
      </c>
      <c r="T295" t="s">
        <v>545</v>
      </c>
    </row>
    <row r="296" spans="1:20" ht="15" customHeight="1" x14ac:dyDescent="0.25">
      <c r="A296">
        <f t="shared" si="4"/>
        <v>134</v>
      </c>
      <c r="B296" t="s">
        <v>928</v>
      </c>
      <c r="C296" s="13" t="s">
        <v>47</v>
      </c>
      <c r="D296" s="8">
        <v>30</v>
      </c>
      <c r="E2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96">
        <f ca="1">IF(Tabla142[[#This Row],[frecuencia_new]]="Diaria"," ",RANDBETWEEN(1,6))</f>
        <v>5</v>
      </c>
      <c r="G296">
        <f ca="1">IF(Tabla142[[#This Row],[frecuencia_new]]="Diaria","",IF(Tabla142[[#This Row],[frecuencia_new]]="Semanal","",IF(Tabla142[[#This Row],[frecuencia_new]]="Quincenal",RANDBETWEEN(1,2),RANDBETWEEN(1,4))))</f>
        <v>1</v>
      </c>
      <c r="H2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6" s="13" t="s">
        <v>268</v>
      </c>
      <c r="K296" s="13">
        <f>SUM(MID(Tabla142[[#This Row],[Duración]],1,2)*60,MID(Tabla142[[#This Row],[Duración]],6,2))</f>
        <v>25</v>
      </c>
      <c r="L296" s="16" t="s">
        <v>184</v>
      </c>
      <c r="M296" s="13" t="s">
        <v>257</v>
      </c>
      <c r="N296" t="s">
        <v>359</v>
      </c>
      <c r="O296" t="s">
        <v>380</v>
      </c>
      <c r="P296" t="s">
        <v>360</v>
      </c>
      <c r="Q296" s="20">
        <v>46032.649155092593</v>
      </c>
      <c r="R296" t="s">
        <v>1846</v>
      </c>
      <c r="T296" t="s">
        <v>545</v>
      </c>
    </row>
    <row r="297" spans="1:20" ht="15" customHeight="1" x14ac:dyDescent="0.25">
      <c r="A297">
        <f t="shared" si="4"/>
        <v>134</v>
      </c>
      <c r="B297" t="s">
        <v>929</v>
      </c>
      <c r="C297" s="8" t="s">
        <v>47</v>
      </c>
      <c r="D297" s="8">
        <v>30</v>
      </c>
      <c r="E2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97">
        <f ca="1">IF(Tabla142[[#This Row],[frecuencia_new]]="Diaria"," ",RANDBETWEEN(1,6))</f>
        <v>1</v>
      </c>
      <c r="G297">
        <f ca="1">IF(Tabla142[[#This Row],[frecuencia_new]]="Diaria","",IF(Tabla142[[#This Row],[frecuencia_new]]="Semanal","",IF(Tabla142[[#This Row],[frecuencia_new]]="Quincenal",RANDBETWEEN(1,2),RANDBETWEEN(1,4))))</f>
        <v>2</v>
      </c>
      <c r="H2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7" s="8" t="s">
        <v>269</v>
      </c>
      <c r="K297" s="8">
        <f>SUM(MID(Tabla142[[#This Row],[Duración]],1,2)*60,MID(Tabla142[[#This Row],[Duración]],6,2))</f>
        <v>25</v>
      </c>
      <c r="L297" s="14" t="s">
        <v>184</v>
      </c>
      <c r="M297" s="8" t="s">
        <v>257</v>
      </c>
      <c r="N297" t="s">
        <v>359</v>
      </c>
      <c r="O297" t="s">
        <v>380</v>
      </c>
      <c r="P297" t="s">
        <v>360</v>
      </c>
      <c r="Q297" s="20">
        <v>46032.649155092593</v>
      </c>
      <c r="R297" t="s">
        <v>1846</v>
      </c>
      <c r="T297" t="s">
        <v>545</v>
      </c>
    </row>
    <row r="298" spans="1:20" ht="15" customHeight="1" x14ac:dyDescent="0.25">
      <c r="A298">
        <f t="shared" si="4"/>
        <v>134</v>
      </c>
      <c r="B298" t="s">
        <v>930</v>
      </c>
      <c r="C298" s="13" t="s">
        <v>47</v>
      </c>
      <c r="D298" s="8">
        <v>30</v>
      </c>
      <c r="E2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298">
        <f ca="1">IF(Tabla142[[#This Row],[frecuencia_new]]="Diaria"," ",RANDBETWEEN(1,6))</f>
        <v>5</v>
      </c>
      <c r="G298">
        <f ca="1">IF(Tabla142[[#This Row],[frecuencia_new]]="Diaria","",IF(Tabla142[[#This Row],[frecuencia_new]]="Semanal","",IF(Tabla142[[#This Row],[frecuencia_new]]="Quincenal",RANDBETWEEN(1,2),RANDBETWEEN(1,4))))</f>
        <v>2</v>
      </c>
      <c r="H2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8" s="13" t="s">
        <v>270</v>
      </c>
      <c r="K298" s="13">
        <f>SUM(MID(Tabla142[[#This Row],[Duración]],1,2)*60,MID(Tabla142[[#This Row],[Duración]],6,2))</f>
        <v>25</v>
      </c>
      <c r="L298" s="16" t="s">
        <v>184</v>
      </c>
      <c r="M298" s="13" t="s">
        <v>257</v>
      </c>
      <c r="N298" t="s">
        <v>359</v>
      </c>
      <c r="O298" t="s">
        <v>380</v>
      </c>
      <c r="P298" t="s">
        <v>360</v>
      </c>
      <c r="Q298" s="20">
        <v>46032.649155092593</v>
      </c>
      <c r="R298" t="s">
        <v>1846</v>
      </c>
      <c r="T298" t="s">
        <v>545</v>
      </c>
    </row>
    <row r="299" spans="1:20" ht="15" customHeight="1" x14ac:dyDescent="0.25">
      <c r="A299">
        <f t="shared" si="4"/>
        <v>134</v>
      </c>
      <c r="B299" t="s">
        <v>931</v>
      </c>
      <c r="C299" s="8" t="s">
        <v>47</v>
      </c>
      <c r="D299" s="8">
        <v>30</v>
      </c>
      <c r="E2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299">
        <f ca="1">IF(Tabla142[[#This Row],[frecuencia_new]]="Diaria"," ",RANDBETWEEN(1,6))</f>
        <v>6</v>
      </c>
      <c r="G299">
        <f ca="1">IF(Tabla142[[#This Row],[frecuencia_new]]="Diaria","",IF(Tabla142[[#This Row],[frecuencia_new]]="Semanal","",IF(Tabla142[[#This Row],[frecuencia_new]]="Quincenal",RANDBETWEEN(1,2),RANDBETWEEN(1,4))))</f>
        <v>2</v>
      </c>
      <c r="H29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299" s="8" t="s">
        <v>271</v>
      </c>
      <c r="K299" s="8">
        <f>SUM(MID(Tabla142[[#This Row],[Duración]],1,2)*60,MID(Tabla142[[#This Row],[Duración]],6,2))</f>
        <v>10</v>
      </c>
      <c r="L299" s="14" t="s">
        <v>71</v>
      </c>
      <c r="M299" s="8" t="s">
        <v>257</v>
      </c>
      <c r="N299" t="s">
        <v>359</v>
      </c>
      <c r="O299" t="s">
        <v>380</v>
      </c>
      <c r="P299" t="s">
        <v>360</v>
      </c>
      <c r="Q299" s="20">
        <v>46032.649155092593</v>
      </c>
      <c r="R299" s="8" t="s">
        <v>7</v>
      </c>
      <c r="T299" t="s">
        <v>545</v>
      </c>
    </row>
    <row r="300" spans="1:20" ht="15" customHeight="1" x14ac:dyDescent="0.25">
      <c r="A300">
        <f t="shared" si="4"/>
        <v>134</v>
      </c>
      <c r="B300" t="s">
        <v>932</v>
      </c>
      <c r="C300" s="13" t="s">
        <v>47</v>
      </c>
      <c r="D300" s="8">
        <v>30</v>
      </c>
      <c r="E3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00">
        <f ca="1">IF(Tabla142[[#This Row],[frecuencia_new]]="Diaria"," ",RANDBETWEEN(1,6))</f>
        <v>5</v>
      </c>
      <c r="G300">
        <f ca="1">IF(Tabla142[[#This Row],[frecuencia_new]]="Diaria","",IF(Tabla142[[#This Row],[frecuencia_new]]="Semanal","",IF(Tabla142[[#This Row],[frecuencia_new]]="Quincenal",RANDBETWEEN(1,2),RANDBETWEEN(1,4))))</f>
        <v>4</v>
      </c>
      <c r="H30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0" s="13" t="s">
        <v>272</v>
      </c>
      <c r="K300" s="13">
        <f>SUM(MID(Tabla142[[#This Row],[Duración]],1,2)*60,MID(Tabla142[[#This Row],[Duración]],6,2))</f>
        <v>10</v>
      </c>
      <c r="L300" s="16" t="s">
        <v>71</v>
      </c>
      <c r="M300" s="13" t="s">
        <v>257</v>
      </c>
      <c r="N300" t="s">
        <v>359</v>
      </c>
      <c r="O300" t="s">
        <v>380</v>
      </c>
      <c r="P300" t="s">
        <v>360</v>
      </c>
      <c r="Q300" s="20">
        <v>46032.649155092593</v>
      </c>
      <c r="R300" s="13" t="s">
        <v>7</v>
      </c>
      <c r="T300" t="s">
        <v>545</v>
      </c>
    </row>
    <row r="301" spans="1:20" ht="15" customHeight="1" x14ac:dyDescent="0.25">
      <c r="A301">
        <f t="shared" si="4"/>
        <v>134</v>
      </c>
      <c r="B301" t="s">
        <v>933</v>
      </c>
      <c r="C301" s="8" t="s">
        <v>47</v>
      </c>
      <c r="D301" s="8">
        <v>30</v>
      </c>
      <c r="E3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01" t="str">
        <f ca="1">IF(Tabla142[[#This Row],[frecuencia_new]]="Diaria"," ",RANDBETWEEN(1,6))</f>
        <v xml:space="preserve"> </v>
      </c>
      <c r="G301" t="str">
        <f ca="1">IF(Tabla142[[#This Row],[frecuencia_new]]="Diaria","",IF(Tabla142[[#This Row],[frecuencia_new]]="Semanal","",IF(Tabla142[[#This Row],[frecuencia_new]]="Quincenal",RANDBETWEEN(1,2),RANDBETWEEN(1,4))))</f>
        <v/>
      </c>
      <c r="H3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1" s="8" t="s">
        <v>273</v>
      </c>
      <c r="K301" s="8">
        <f>SUM(MID(Tabla142[[#This Row],[Duración]],1,2)*60,MID(Tabla142[[#This Row],[Duración]],6,2))</f>
        <v>2</v>
      </c>
      <c r="L301" s="14" t="s">
        <v>60</v>
      </c>
      <c r="M301" s="8" t="s">
        <v>257</v>
      </c>
      <c r="N301" t="s">
        <v>359</v>
      </c>
      <c r="O301" t="s">
        <v>380</v>
      </c>
      <c r="P301" t="s">
        <v>360</v>
      </c>
      <c r="Q301" s="20">
        <v>46032.649155092593</v>
      </c>
      <c r="R301" s="8" t="s">
        <v>6</v>
      </c>
      <c r="T301" t="s">
        <v>545</v>
      </c>
    </row>
    <row r="302" spans="1:20" ht="15" customHeight="1" x14ac:dyDescent="0.25">
      <c r="A302">
        <f t="shared" si="4"/>
        <v>134</v>
      </c>
      <c r="B302" t="s">
        <v>934</v>
      </c>
      <c r="C302" s="13" t="s">
        <v>47</v>
      </c>
      <c r="D302" s="8">
        <v>30</v>
      </c>
      <c r="E3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02">
        <f ca="1">IF(Tabla142[[#This Row],[frecuencia_new]]="Diaria"," ",RANDBETWEEN(1,6))</f>
        <v>6</v>
      </c>
      <c r="G302">
        <f ca="1">IF(Tabla142[[#This Row],[frecuencia_new]]="Diaria","",IF(Tabla142[[#This Row],[frecuencia_new]]="Semanal","",IF(Tabla142[[#This Row],[frecuencia_new]]="Quincenal",RANDBETWEEN(1,2),RANDBETWEEN(1,4))))</f>
        <v>4</v>
      </c>
      <c r="H30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2" s="13" t="s">
        <v>274</v>
      </c>
      <c r="K302" s="13">
        <f>SUM(MID(Tabla142[[#This Row],[Duración]],1,2)*60,MID(Tabla142[[#This Row],[Duración]],6,2))</f>
        <v>10</v>
      </c>
      <c r="L302" s="16" t="s">
        <v>71</v>
      </c>
      <c r="M302" s="13" t="s">
        <v>257</v>
      </c>
      <c r="N302" t="s">
        <v>359</v>
      </c>
      <c r="O302" t="s">
        <v>380</v>
      </c>
      <c r="P302" t="s">
        <v>360</v>
      </c>
      <c r="Q302" s="20">
        <v>46032.649155092593</v>
      </c>
      <c r="R302" s="13" t="s">
        <v>7</v>
      </c>
      <c r="T302" t="s">
        <v>545</v>
      </c>
    </row>
    <row r="303" spans="1:20" ht="15" customHeight="1" x14ac:dyDescent="0.25">
      <c r="A303">
        <f t="shared" si="4"/>
        <v>134</v>
      </c>
      <c r="B303" t="s">
        <v>935</v>
      </c>
      <c r="C303" s="8" t="s">
        <v>47</v>
      </c>
      <c r="D303" s="8">
        <v>30</v>
      </c>
      <c r="E3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03" t="str">
        <f ca="1">IF(Tabla142[[#This Row],[frecuencia_new]]="Diaria"," ",RANDBETWEEN(1,6))</f>
        <v xml:space="preserve"> </v>
      </c>
      <c r="G303" t="str">
        <f ca="1">IF(Tabla142[[#This Row],[frecuencia_new]]="Diaria","",IF(Tabla142[[#This Row],[frecuencia_new]]="Semanal","",IF(Tabla142[[#This Row],[frecuencia_new]]="Quincenal",RANDBETWEEN(1,2),RANDBETWEEN(1,4))))</f>
        <v/>
      </c>
      <c r="H3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3" s="8" t="s">
        <v>275</v>
      </c>
      <c r="K303" s="8">
        <f>SUM(MID(Tabla142[[#This Row],[Duración]],1,2)*60,MID(Tabla142[[#This Row],[Duración]],6,2))</f>
        <v>2</v>
      </c>
      <c r="L303" s="14" t="s">
        <v>60</v>
      </c>
      <c r="M303" s="8" t="s">
        <v>257</v>
      </c>
      <c r="N303" t="s">
        <v>359</v>
      </c>
      <c r="O303" t="s">
        <v>380</v>
      </c>
      <c r="P303" t="s">
        <v>360</v>
      </c>
      <c r="Q303" s="20">
        <v>46032.649155092593</v>
      </c>
      <c r="R303" s="8" t="s">
        <v>6</v>
      </c>
      <c r="T303" t="s">
        <v>545</v>
      </c>
    </row>
    <row r="304" spans="1:20" ht="15" customHeight="1" x14ac:dyDescent="0.25">
      <c r="A304">
        <f t="shared" si="4"/>
        <v>134</v>
      </c>
      <c r="B304" t="s">
        <v>936</v>
      </c>
      <c r="C304" s="13" t="s">
        <v>47</v>
      </c>
      <c r="D304" s="8">
        <v>30</v>
      </c>
      <c r="E3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04" t="str">
        <f ca="1">IF(Tabla142[[#This Row],[frecuencia_new]]="Diaria"," ",RANDBETWEEN(1,6))</f>
        <v xml:space="preserve"> </v>
      </c>
      <c r="G304" t="str">
        <f ca="1">IF(Tabla142[[#This Row],[frecuencia_new]]="Diaria","",IF(Tabla142[[#This Row],[frecuencia_new]]="Semanal","",IF(Tabla142[[#This Row],[frecuencia_new]]="Quincenal",RANDBETWEEN(1,2),RANDBETWEEN(1,4))))</f>
        <v/>
      </c>
      <c r="H3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4" s="13" t="s">
        <v>276</v>
      </c>
      <c r="K304" s="13">
        <f>SUM(MID(Tabla142[[#This Row],[Duración]],1,2)*60,MID(Tabla142[[#This Row],[Duración]],6,2))</f>
        <v>2</v>
      </c>
      <c r="L304" s="16" t="s">
        <v>60</v>
      </c>
      <c r="M304" s="13" t="s">
        <v>257</v>
      </c>
      <c r="N304" t="s">
        <v>359</v>
      </c>
      <c r="O304" t="s">
        <v>380</v>
      </c>
      <c r="P304" t="s">
        <v>360</v>
      </c>
      <c r="Q304" s="20">
        <v>46032.649155092593</v>
      </c>
      <c r="R304" s="13" t="s">
        <v>6</v>
      </c>
      <c r="T304" t="s">
        <v>545</v>
      </c>
    </row>
    <row r="305" spans="1:20" ht="15" customHeight="1" x14ac:dyDescent="0.25">
      <c r="A305">
        <f t="shared" si="4"/>
        <v>134</v>
      </c>
      <c r="B305" t="s">
        <v>937</v>
      </c>
      <c r="C305" s="8" t="s">
        <v>47</v>
      </c>
      <c r="D305" s="8">
        <v>30</v>
      </c>
      <c r="E3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05" t="str">
        <f ca="1">IF(Tabla142[[#This Row],[frecuencia_new]]="Diaria"," ",RANDBETWEEN(1,6))</f>
        <v xml:space="preserve"> </v>
      </c>
      <c r="G305" t="str">
        <f ca="1">IF(Tabla142[[#This Row],[frecuencia_new]]="Diaria","",IF(Tabla142[[#This Row],[frecuencia_new]]="Semanal","",IF(Tabla142[[#This Row],[frecuencia_new]]="Quincenal",RANDBETWEEN(1,2),RANDBETWEEN(1,4))))</f>
        <v/>
      </c>
      <c r="H3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5" s="8" t="s">
        <v>277</v>
      </c>
      <c r="K305" s="8">
        <f>SUM(MID(Tabla142[[#This Row],[Duración]],1,2)*60,MID(Tabla142[[#This Row],[Duración]],6,2))</f>
        <v>2</v>
      </c>
      <c r="L305" s="14" t="s">
        <v>60</v>
      </c>
      <c r="M305" s="8" t="s">
        <v>257</v>
      </c>
      <c r="N305" t="s">
        <v>359</v>
      </c>
      <c r="O305" t="s">
        <v>380</v>
      </c>
      <c r="P305" t="s">
        <v>360</v>
      </c>
      <c r="Q305" s="20">
        <v>46032.649155092593</v>
      </c>
      <c r="R305" s="8" t="s">
        <v>6</v>
      </c>
      <c r="T305" t="s">
        <v>545</v>
      </c>
    </row>
    <row r="306" spans="1:20" ht="15" customHeight="1" x14ac:dyDescent="0.25">
      <c r="A306">
        <f t="shared" si="4"/>
        <v>134</v>
      </c>
      <c r="B306" t="s">
        <v>938</v>
      </c>
      <c r="C306" s="13" t="s">
        <v>47</v>
      </c>
      <c r="D306" s="8">
        <v>30</v>
      </c>
      <c r="E3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06">
        <f ca="1">IF(Tabla142[[#This Row],[frecuencia_new]]="Diaria"," ",RANDBETWEEN(1,6))</f>
        <v>2</v>
      </c>
      <c r="G306" t="str">
        <f ca="1">IF(Tabla142[[#This Row],[frecuencia_new]]="Diaria","",IF(Tabla142[[#This Row],[frecuencia_new]]="Semanal","",IF(Tabla142[[#This Row],[frecuencia_new]]="Quincenal",RANDBETWEEN(1,2),RANDBETWEEN(1,4))))</f>
        <v/>
      </c>
      <c r="H3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6" s="13" t="s">
        <v>278</v>
      </c>
      <c r="K306" s="13">
        <f>SUM(MID(Tabla142[[#This Row],[Duración]],1,2)*60,MID(Tabla142[[#This Row],[Duración]],6,2))</f>
        <v>2</v>
      </c>
      <c r="L306" s="16" t="s">
        <v>60</v>
      </c>
      <c r="M306" s="13" t="s">
        <v>257</v>
      </c>
      <c r="N306" t="s">
        <v>359</v>
      </c>
      <c r="O306" t="s">
        <v>380</v>
      </c>
      <c r="P306" t="s">
        <v>360</v>
      </c>
      <c r="Q306" s="20">
        <v>46032.649155092593</v>
      </c>
      <c r="R306" s="13" t="s">
        <v>8</v>
      </c>
      <c r="T306" t="s">
        <v>545</v>
      </c>
    </row>
    <row r="307" spans="1:20" ht="15" hidden="1" customHeight="1" x14ac:dyDescent="0.25">
      <c r="A307">
        <f t="shared" si="4"/>
        <v>26</v>
      </c>
      <c r="B307" t="s">
        <v>939</v>
      </c>
      <c r="C307" t="s">
        <v>290</v>
      </c>
      <c r="D307">
        <v>68</v>
      </c>
      <c r="E3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07">
        <f ca="1">IF(Tabla142[[#This Row],[frecuencia_new]]="Diaria"," ",RANDBETWEEN(1,6))</f>
        <v>3</v>
      </c>
      <c r="G307">
        <f ca="1">IF(Tabla142[[#This Row],[frecuencia_new]]="Diaria","",IF(Tabla142[[#This Row],[frecuencia_new]]="Semanal","",IF(Tabla142[[#This Row],[frecuencia_new]]="Quincenal",RANDBETWEEN(1,2),RANDBETWEEN(1,4))))</f>
        <v>4</v>
      </c>
      <c r="H3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7" t="s">
        <v>350</v>
      </c>
      <c r="K307">
        <f>SUM(MID(Tabla142[[#This Row],[Duración]],1,2)*60,MID(Tabla142[[#This Row],[Duración]],6,2))</f>
        <v>240</v>
      </c>
      <c r="L307" s="4" t="s">
        <v>167</v>
      </c>
      <c r="M307" s="13" t="s">
        <v>257</v>
      </c>
      <c r="N307" t="s">
        <v>259</v>
      </c>
      <c r="O307" t="s">
        <v>396</v>
      </c>
      <c r="P307" t="s">
        <v>363</v>
      </c>
      <c r="Q307" s="20">
        <v>46032.649155092593</v>
      </c>
      <c r="R307">
        <v>1200</v>
      </c>
      <c r="T307" t="s">
        <v>437</v>
      </c>
    </row>
    <row r="308" spans="1:20" ht="15" hidden="1" customHeight="1" x14ac:dyDescent="0.25">
      <c r="A308">
        <f t="shared" si="4"/>
        <v>26</v>
      </c>
      <c r="B308" t="s">
        <v>940</v>
      </c>
      <c r="C308" t="s">
        <v>47</v>
      </c>
      <c r="D308">
        <v>68</v>
      </c>
      <c r="E3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08">
        <f ca="1">IF(Tabla142[[#This Row],[frecuencia_new]]="Diaria"," ",RANDBETWEEN(1,6))</f>
        <v>6</v>
      </c>
      <c r="G308">
        <f ca="1">IF(Tabla142[[#This Row],[frecuencia_new]]="Diaria","",IF(Tabla142[[#This Row],[frecuencia_new]]="Semanal","",IF(Tabla142[[#This Row],[frecuencia_new]]="Quincenal",RANDBETWEEN(1,2),RANDBETWEEN(1,4))))</f>
        <v>2</v>
      </c>
      <c r="H3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8" t="s">
        <v>347</v>
      </c>
      <c r="K308">
        <f>SUM(MID(Tabla142[[#This Row],[Duración]],1,2)*60,MID(Tabla142[[#This Row],[Duración]],6,2))</f>
        <v>480</v>
      </c>
      <c r="L308" s="4" t="s">
        <v>348</v>
      </c>
      <c r="M308" s="13" t="s">
        <v>257</v>
      </c>
      <c r="N308" t="s">
        <v>259</v>
      </c>
      <c r="O308" t="s">
        <v>396</v>
      </c>
      <c r="P308" t="s">
        <v>363</v>
      </c>
      <c r="Q308" s="20">
        <v>46032.649155092593</v>
      </c>
      <c r="R308">
        <v>1200</v>
      </c>
      <c r="T308" t="s">
        <v>437</v>
      </c>
    </row>
    <row r="309" spans="1:20" ht="15" hidden="1" customHeight="1" x14ac:dyDescent="0.25">
      <c r="A309">
        <f t="shared" si="4"/>
        <v>70</v>
      </c>
      <c r="B309" t="s">
        <v>941</v>
      </c>
      <c r="C309" t="s">
        <v>290</v>
      </c>
      <c r="D309">
        <v>68</v>
      </c>
      <c r="E3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09">
        <f ca="1">IF(Tabla142[[#This Row],[frecuencia_new]]="Diaria"," ",RANDBETWEEN(1,6))</f>
        <v>4</v>
      </c>
      <c r="G309">
        <f ca="1">IF(Tabla142[[#This Row],[frecuencia_new]]="Diaria","",IF(Tabla142[[#This Row],[frecuencia_new]]="Semanal","",IF(Tabla142[[#This Row],[frecuencia_new]]="Quincenal",RANDBETWEEN(1,2),RANDBETWEEN(1,4))))</f>
        <v>4</v>
      </c>
      <c r="H30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09" t="s">
        <v>340</v>
      </c>
      <c r="K309">
        <f>SUM(MID(Tabla142[[#This Row],[Duración]],1,2)*60,MID(Tabla142[[#This Row],[Duración]],6,2))</f>
        <v>0</v>
      </c>
      <c r="L309" s="4" t="s">
        <v>341</v>
      </c>
      <c r="M309" s="13" t="s">
        <v>257</v>
      </c>
      <c r="N309" t="s">
        <v>259</v>
      </c>
      <c r="O309" t="s">
        <v>396</v>
      </c>
      <c r="P309" t="s">
        <v>363</v>
      </c>
      <c r="Q309" s="20">
        <v>46032.649155092593</v>
      </c>
      <c r="R309">
        <v>1200</v>
      </c>
      <c r="T309" t="s">
        <v>481</v>
      </c>
    </row>
    <row r="310" spans="1:20" ht="15" hidden="1" customHeight="1" x14ac:dyDescent="0.25">
      <c r="A310">
        <f t="shared" si="4"/>
        <v>70</v>
      </c>
      <c r="B310" t="s">
        <v>942</v>
      </c>
      <c r="C310" t="s">
        <v>47</v>
      </c>
      <c r="D310">
        <v>68</v>
      </c>
      <c r="E3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10">
        <f ca="1">IF(Tabla142[[#This Row],[frecuencia_new]]="Diaria"," ",RANDBETWEEN(1,6))</f>
        <v>3</v>
      </c>
      <c r="G310">
        <f ca="1">IF(Tabla142[[#This Row],[frecuencia_new]]="Diaria","",IF(Tabla142[[#This Row],[frecuencia_new]]="Semanal","",IF(Tabla142[[#This Row],[frecuencia_new]]="Quincenal",RANDBETWEEN(1,2),RANDBETWEEN(1,4))))</f>
        <v>1</v>
      </c>
      <c r="H31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0" t="s">
        <v>353</v>
      </c>
      <c r="K310">
        <f>SUM(MID(Tabla142[[#This Row],[Duración]],1,2)*60,MID(Tabla142[[#This Row],[Duración]],6,2))</f>
        <v>60</v>
      </c>
      <c r="L310" s="4" t="s">
        <v>58</v>
      </c>
      <c r="M310" s="13" t="s">
        <v>257</v>
      </c>
      <c r="N310" t="s">
        <v>259</v>
      </c>
      <c r="O310" t="s">
        <v>396</v>
      </c>
      <c r="P310" t="s">
        <v>363</v>
      </c>
      <c r="Q310" s="20">
        <v>46032.649155092593</v>
      </c>
      <c r="R310">
        <v>1200</v>
      </c>
      <c r="T310" t="s">
        <v>481</v>
      </c>
    </row>
    <row r="311" spans="1:20" ht="15" customHeight="1" x14ac:dyDescent="0.25">
      <c r="A311">
        <f t="shared" si="4"/>
        <v>70</v>
      </c>
      <c r="B311" t="s">
        <v>943</v>
      </c>
      <c r="C311" t="s">
        <v>54</v>
      </c>
      <c r="D311">
        <v>20</v>
      </c>
      <c r="E3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11">
        <f ca="1">IF(Tabla142[[#This Row],[frecuencia_new]]="Diaria"," ",RANDBETWEEN(1,6))</f>
        <v>3</v>
      </c>
      <c r="G311">
        <f ca="1">IF(Tabla142[[#This Row],[frecuencia_new]]="Diaria","",IF(Tabla142[[#This Row],[frecuencia_new]]="Semanal","",IF(Tabla142[[#This Row],[frecuencia_new]]="Quincenal",RANDBETWEEN(1,2),RANDBETWEEN(1,4))))</f>
        <v>2</v>
      </c>
      <c r="H3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1" t="s">
        <v>282</v>
      </c>
      <c r="K311">
        <f>SUM(MID(Tabla142[[#This Row],[Duración]],1,2)*60,MID(Tabla142[[#This Row],[Duración]],6,2))</f>
        <v>5</v>
      </c>
      <c r="L311" s="4" t="s">
        <v>50</v>
      </c>
      <c r="M311" t="s">
        <v>257</v>
      </c>
      <c r="N311" t="s">
        <v>325</v>
      </c>
      <c r="O311" t="s">
        <v>396</v>
      </c>
      <c r="P311" t="s">
        <v>363</v>
      </c>
      <c r="Q311" s="20">
        <v>46032.649155092593</v>
      </c>
      <c r="R311" t="s">
        <v>262</v>
      </c>
      <c r="T311" t="s">
        <v>481</v>
      </c>
    </row>
    <row r="312" spans="1:20" ht="15" hidden="1" customHeight="1" x14ac:dyDescent="0.25">
      <c r="A312">
        <f t="shared" si="4"/>
        <v>70</v>
      </c>
      <c r="B312" t="s">
        <v>944</v>
      </c>
      <c r="C312" t="s">
        <v>47</v>
      </c>
      <c r="D312">
        <v>69</v>
      </c>
      <c r="E3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12">
        <f ca="1">IF(Tabla142[[#This Row],[frecuencia_new]]="Diaria"," ",RANDBETWEEN(1,6))</f>
        <v>2</v>
      </c>
      <c r="G312">
        <f ca="1">IF(Tabla142[[#This Row],[frecuencia_new]]="Diaria","",IF(Tabla142[[#This Row],[frecuencia_new]]="Semanal","",IF(Tabla142[[#This Row],[frecuencia_new]]="Quincenal",RANDBETWEEN(1,2),RANDBETWEEN(1,4))))</f>
        <v>4</v>
      </c>
      <c r="H31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2" t="s">
        <v>350</v>
      </c>
      <c r="K312">
        <f>SUM(MID(Tabla142[[#This Row],[Duración]],1,2)*60,MID(Tabla142[[#This Row],[Duración]],6,2))</f>
        <v>240</v>
      </c>
      <c r="L312" s="4" t="s">
        <v>167</v>
      </c>
      <c r="M312" s="13" t="s">
        <v>257</v>
      </c>
      <c r="N312" t="s">
        <v>259</v>
      </c>
      <c r="O312" t="s">
        <v>396</v>
      </c>
      <c r="P312" t="s">
        <v>363</v>
      </c>
      <c r="Q312" s="20">
        <v>46032.649155092593</v>
      </c>
      <c r="R312">
        <v>1200</v>
      </c>
      <c r="T312" t="s">
        <v>481</v>
      </c>
    </row>
    <row r="313" spans="1:20" ht="15" hidden="1" customHeight="1" x14ac:dyDescent="0.25">
      <c r="A313">
        <f t="shared" si="4"/>
        <v>70</v>
      </c>
      <c r="B313" t="s">
        <v>945</v>
      </c>
      <c r="C313" t="s">
        <v>54</v>
      </c>
      <c r="D313">
        <v>69</v>
      </c>
      <c r="E3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13">
        <f ca="1">IF(Tabla142[[#This Row],[frecuencia_new]]="Diaria"," ",RANDBETWEEN(1,6))</f>
        <v>4</v>
      </c>
      <c r="G313">
        <f ca="1">IF(Tabla142[[#This Row],[frecuencia_new]]="Diaria","",IF(Tabla142[[#This Row],[frecuencia_new]]="Semanal","",IF(Tabla142[[#This Row],[frecuencia_new]]="Quincenal",RANDBETWEEN(1,2),RANDBETWEEN(1,4))))</f>
        <v>2</v>
      </c>
      <c r="H3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3" t="s">
        <v>347</v>
      </c>
      <c r="K313">
        <f>SUM(MID(Tabla142[[#This Row],[Duración]],1,2)*60,MID(Tabla142[[#This Row],[Duración]],6,2))</f>
        <v>480</v>
      </c>
      <c r="L313" s="4" t="s">
        <v>348</v>
      </c>
      <c r="M313" s="13" t="s">
        <v>257</v>
      </c>
      <c r="N313" t="s">
        <v>259</v>
      </c>
      <c r="O313" t="s">
        <v>396</v>
      </c>
      <c r="P313" t="s">
        <v>363</v>
      </c>
      <c r="Q313" s="20">
        <v>46032.649155092593</v>
      </c>
      <c r="R313">
        <v>1200</v>
      </c>
      <c r="T313" t="s">
        <v>481</v>
      </c>
    </row>
    <row r="314" spans="1:20" ht="15" hidden="1" customHeight="1" x14ac:dyDescent="0.25">
      <c r="A314">
        <f t="shared" si="4"/>
        <v>70</v>
      </c>
      <c r="B314" t="s">
        <v>946</v>
      </c>
      <c r="C314" t="s">
        <v>54</v>
      </c>
      <c r="D314">
        <v>69</v>
      </c>
      <c r="E3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14">
        <f ca="1">IF(Tabla142[[#This Row],[frecuencia_new]]="Diaria"," ",RANDBETWEEN(1,6))</f>
        <v>6</v>
      </c>
      <c r="G314">
        <f ca="1">IF(Tabla142[[#This Row],[frecuencia_new]]="Diaria","",IF(Tabla142[[#This Row],[frecuencia_new]]="Semanal","",IF(Tabla142[[#This Row],[frecuencia_new]]="Quincenal",RANDBETWEEN(1,2),RANDBETWEEN(1,4))))</f>
        <v>4</v>
      </c>
      <c r="H31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4" t="s">
        <v>340</v>
      </c>
      <c r="K314">
        <f>SUM(MID(Tabla142[[#This Row],[Duración]],1,2)*60,MID(Tabla142[[#This Row],[Duración]],6,2))</f>
        <v>0</v>
      </c>
      <c r="L314" s="4" t="s">
        <v>341</v>
      </c>
      <c r="M314" s="13" t="s">
        <v>257</v>
      </c>
      <c r="N314" t="s">
        <v>259</v>
      </c>
      <c r="O314" t="s">
        <v>396</v>
      </c>
      <c r="P314" t="s">
        <v>363</v>
      </c>
      <c r="Q314" s="20">
        <v>46032.649155092593</v>
      </c>
      <c r="R314">
        <v>1200</v>
      </c>
      <c r="T314" t="s">
        <v>481</v>
      </c>
    </row>
    <row r="315" spans="1:20" ht="15" customHeight="1" x14ac:dyDescent="0.25">
      <c r="A315">
        <f t="shared" si="4"/>
        <v>70</v>
      </c>
      <c r="B315" t="s">
        <v>947</v>
      </c>
      <c r="C315" t="s">
        <v>47</v>
      </c>
      <c r="D315">
        <v>20</v>
      </c>
      <c r="E3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15" t="str">
        <f ca="1">IF(Tabla142[[#This Row],[frecuencia_new]]="Diaria"," ",RANDBETWEEN(1,6))</f>
        <v xml:space="preserve"> </v>
      </c>
      <c r="G315" t="str">
        <f ca="1">IF(Tabla142[[#This Row],[frecuencia_new]]="Diaria","",IF(Tabla142[[#This Row],[frecuencia_new]]="Semanal","",IF(Tabla142[[#This Row],[frecuencia_new]]="Quincenal",RANDBETWEEN(1,2),RANDBETWEEN(1,4))))</f>
        <v/>
      </c>
      <c r="H31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5" t="s">
        <v>286</v>
      </c>
      <c r="K315">
        <f>SUM(MID(Tabla142[[#This Row],[Duración]],1,2)*60,MID(Tabla142[[#This Row],[Duración]],6,2))</f>
        <v>2</v>
      </c>
      <c r="L315" s="4" t="s">
        <v>60</v>
      </c>
      <c r="M315" t="s">
        <v>257</v>
      </c>
      <c r="N315" t="s">
        <v>325</v>
      </c>
      <c r="O315" t="s">
        <v>396</v>
      </c>
      <c r="P315" t="s">
        <v>363</v>
      </c>
      <c r="Q315" s="20">
        <v>46032.649155092593</v>
      </c>
      <c r="R315" t="s">
        <v>6</v>
      </c>
      <c r="T315" t="s">
        <v>481</v>
      </c>
    </row>
    <row r="316" spans="1:20" ht="15" customHeight="1" x14ac:dyDescent="0.25">
      <c r="A316">
        <f t="shared" si="4"/>
        <v>70</v>
      </c>
      <c r="B316" t="s">
        <v>948</v>
      </c>
      <c r="C316" t="s">
        <v>54</v>
      </c>
      <c r="D316">
        <v>20</v>
      </c>
      <c r="E3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16">
        <f ca="1">IF(Tabla142[[#This Row],[frecuencia_new]]="Diaria"," ",RANDBETWEEN(1,6))</f>
        <v>6</v>
      </c>
      <c r="G316" t="str">
        <f ca="1">IF(Tabla142[[#This Row],[frecuencia_new]]="Diaria","",IF(Tabla142[[#This Row],[frecuencia_new]]="Semanal","",IF(Tabla142[[#This Row],[frecuencia_new]]="Quincenal",RANDBETWEEN(1,2),RANDBETWEEN(1,4))))</f>
        <v/>
      </c>
      <c r="H3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6" t="s">
        <v>287</v>
      </c>
      <c r="K316">
        <f>SUM(MID(Tabla142[[#This Row],[Duración]],1,2)*60,MID(Tabla142[[#This Row],[Duración]],6,2))</f>
        <v>15</v>
      </c>
      <c r="L316" s="4" t="s">
        <v>77</v>
      </c>
      <c r="M316" t="s">
        <v>257</v>
      </c>
      <c r="N316" t="s">
        <v>325</v>
      </c>
      <c r="O316" t="s">
        <v>396</v>
      </c>
      <c r="P316" t="s">
        <v>363</v>
      </c>
      <c r="Q316" s="20">
        <v>46032.649155092593</v>
      </c>
      <c r="R316" t="s">
        <v>264</v>
      </c>
      <c r="T316" t="s">
        <v>481</v>
      </c>
    </row>
    <row r="317" spans="1:20" ht="15" hidden="1" customHeight="1" x14ac:dyDescent="0.25">
      <c r="A317">
        <f t="shared" si="4"/>
        <v>70</v>
      </c>
      <c r="B317" t="s">
        <v>949</v>
      </c>
      <c r="C317" t="s">
        <v>47</v>
      </c>
      <c r="D317">
        <v>69</v>
      </c>
      <c r="E3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17">
        <f ca="1">IF(Tabla142[[#This Row],[frecuencia_new]]="Diaria"," ",RANDBETWEEN(1,6))</f>
        <v>6</v>
      </c>
      <c r="G317">
        <f ca="1">IF(Tabla142[[#This Row],[frecuencia_new]]="Diaria","",IF(Tabla142[[#This Row],[frecuencia_new]]="Semanal","",IF(Tabla142[[#This Row],[frecuencia_new]]="Quincenal",RANDBETWEEN(1,2),RANDBETWEEN(1,4))))</f>
        <v>4</v>
      </c>
      <c r="H3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7" t="s">
        <v>353</v>
      </c>
      <c r="K317">
        <f>SUM(MID(Tabla142[[#This Row],[Duración]],1,2)*60,MID(Tabla142[[#This Row],[Duración]],6,2))</f>
        <v>60</v>
      </c>
      <c r="L317" s="4" t="s">
        <v>58</v>
      </c>
      <c r="M317" s="13" t="s">
        <v>257</v>
      </c>
      <c r="N317" t="s">
        <v>259</v>
      </c>
      <c r="O317" t="s">
        <v>396</v>
      </c>
      <c r="P317" t="s">
        <v>363</v>
      </c>
      <c r="Q317" s="20">
        <v>46032.649155092593</v>
      </c>
      <c r="R317">
        <v>1200</v>
      </c>
      <c r="T317" t="s">
        <v>481</v>
      </c>
    </row>
    <row r="318" spans="1:20" ht="15" customHeight="1" x14ac:dyDescent="0.25">
      <c r="A318">
        <f t="shared" si="4"/>
        <v>70</v>
      </c>
      <c r="B318" t="s">
        <v>950</v>
      </c>
      <c r="C318" t="s">
        <v>47</v>
      </c>
      <c r="D318">
        <v>20</v>
      </c>
      <c r="E3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18">
        <f ca="1">IF(Tabla142[[#This Row],[frecuencia_new]]="Diaria"," ",RANDBETWEEN(1,6))</f>
        <v>4</v>
      </c>
      <c r="G318" t="str">
        <f ca="1">IF(Tabla142[[#This Row],[frecuencia_new]]="Diaria","",IF(Tabla142[[#This Row],[frecuencia_new]]="Semanal","",IF(Tabla142[[#This Row],[frecuencia_new]]="Quincenal",RANDBETWEEN(1,2),RANDBETWEEN(1,4))))</f>
        <v/>
      </c>
      <c r="H3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8" t="s">
        <v>289</v>
      </c>
      <c r="K318">
        <f>SUM(MID(Tabla142[[#This Row],[Duración]],1,2)*60,MID(Tabla142[[#This Row],[Duración]],6,2))</f>
        <v>2</v>
      </c>
      <c r="L318" s="4" t="s">
        <v>60</v>
      </c>
      <c r="M318" t="s">
        <v>257</v>
      </c>
      <c r="N318" t="s">
        <v>325</v>
      </c>
      <c r="O318" t="s">
        <v>396</v>
      </c>
      <c r="P318" t="s">
        <v>363</v>
      </c>
      <c r="Q318" s="20">
        <v>46032.649155092593</v>
      </c>
      <c r="R318" t="s">
        <v>8</v>
      </c>
      <c r="T318" t="s">
        <v>481</v>
      </c>
    </row>
    <row r="319" spans="1:20" ht="15" hidden="1" customHeight="1" x14ac:dyDescent="0.25">
      <c r="A319">
        <f t="shared" si="4"/>
        <v>27</v>
      </c>
      <c r="B319" t="s">
        <v>951</v>
      </c>
      <c r="C319" t="s">
        <v>290</v>
      </c>
      <c r="D319">
        <v>68</v>
      </c>
      <c r="E3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19">
        <f ca="1">IF(Tabla142[[#This Row],[frecuencia_new]]="Diaria"," ",RANDBETWEEN(1,6))</f>
        <v>5</v>
      </c>
      <c r="G319">
        <f ca="1">IF(Tabla142[[#This Row],[frecuencia_new]]="Diaria","",IF(Tabla142[[#This Row],[frecuencia_new]]="Semanal","",IF(Tabla142[[#This Row],[frecuencia_new]]="Quincenal",RANDBETWEEN(1,2),RANDBETWEEN(1,4))))</f>
        <v>3</v>
      </c>
      <c r="H3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19" t="s">
        <v>346</v>
      </c>
      <c r="K319">
        <f>SUM(MID(Tabla142[[#This Row],[Duración]],1,2)*60,MID(Tabla142[[#This Row],[Duración]],6,2))</f>
        <v>30</v>
      </c>
      <c r="L319" s="4" t="s">
        <v>48</v>
      </c>
      <c r="M319" s="13" t="s">
        <v>257</v>
      </c>
      <c r="N319" t="s">
        <v>259</v>
      </c>
      <c r="O319" t="s">
        <v>396</v>
      </c>
      <c r="P319" t="s">
        <v>363</v>
      </c>
      <c r="Q319" s="20">
        <v>46032.649155092593</v>
      </c>
      <c r="R319">
        <v>100</v>
      </c>
      <c r="T319" t="s">
        <v>438</v>
      </c>
    </row>
    <row r="320" spans="1:20" ht="15" hidden="1" customHeight="1" x14ac:dyDescent="0.25">
      <c r="A320">
        <f t="shared" si="4"/>
        <v>27</v>
      </c>
      <c r="B320" t="s">
        <v>952</v>
      </c>
      <c r="C320" t="s">
        <v>47</v>
      </c>
      <c r="D320">
        <v>68</v>
      </c>
      <c r="E3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0">
        <f ca="1">IF(Tabla142[[#This Row],[frecuencia_new]]="Diaria"," ",RANDBETWEEN(1,6))</f>
        <v>2</v>
      </c>
      <c r="G320">
        <f ca="1">IF(Tabla142[[#This Row],[frecuencia_new]]="Diaria","",IF(Tabla142[[#This Row],[frecuencia_new]]="Semanal","",IF(Tabla142[[#This Row],[frecuencia_new]]="Quincenal",RANDBETWEEN(1,2),RANDBETWEEN(1,4))))</f>
        <v>4</v>
      </c>
      <c r="H3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0" t="s">
        <v>344</v>
      </c>
      <c r="K320">
        <f>SUM(MID(Tabla142[[#This Row],[Duración]],1,2)*60,MID(Tabla142[[#This Row],[Duración]],6,2))</f>
        <v>3</v>
      </c>
      <c r="L320" s="4" t="s">
        <v>345</v>
      </c>
      <c r="M320" s="13" t="s">
        <v>257</v>
      </c>
      <c r="N320" t="s">
        <v>259</v>
      </c>
      <c r="O320" t="s">
        <v>396</v>
      </c>
      <c r="P320" t="s">
        <v>363</v>
      </c>
      <c r="Q320" s="20">
        <v>46032.649155092593</v>
      </c>
      <c r="R320">
        <v>100</v>
      </c>
      <c r="T320" t="s">
        <v>438</v>
      </c>
    </row>
    <row r="321" spans="1:20" ht="15" hidden="1" customHeight="1" x14ac:dyDescent="0.25">
      <c r="A321">
        <f t="shared" si="4"/>
        <v>71</v>
      </c>
      <c r="B321" t="s">
        <v>953</v>
      </c>
      <c r="C321" t="s">
        <v>290</v>
      </c>
      <c r="D321">
        <v>68</v>
      </c>
      <c r="E3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1">
        <f ca="1">IF(Tabla142[[#This Row],[frecuencia_new]]="Diaria"," ",RANDBETWEEN(1,6))</f>
        <v>5</v>
      </c>
      <c r="G321">
        <f ca="1">IF(Tabla142[[#This Row],[frecuencia_new]]="Diaria","",IF(Tabla142[[#This Row],[frecuencia_new]]="Semanal","",IF(Tabla142[[#This Row],[frecuencia_new]]="Quincenal",RANDBETWEEN(1,2),RANDBETWEEN(1,4))))</f>
        <v>2</v>
      </c>
      <c r="H3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1" t="s">
        <v>343</v>
      </c>
      <c r="K321">
        <f>SUM(MID(Tabla142[[#This Row],[Duración]],1,2)*60,MID(Tabla142[[#This Row],[Duración]],6,2))</f>
        <v>30</v>
      </c>
      <c r="L321" s="4" t="s">
        <v>48</v>
      </c>
      <c r="M321" s="13" t="s">
        <v>257</v>
      </c>
      <c r="N321" t="s">
        <v>259</v>
      </c>
      <c r="O321" t="s">
        <v>396</v>
      </c>
      <c r="P321" t="s">
        <v>363</v>
      </c>
      <c r="Q321" s="20">
        <v>46032.649155092593</v>
      </c>
      <c r="R321">
        <v>100</v>
      </c>
      <c r="T321" t="s">
        <v>482</v>
      </c>
    </row>
    <row r="322" spans="1:20" ht="15" hidden="1" customHeight="1" x14ac:dyDescent="0.25">
      <c r="A322">
        <f t="shared" ref="A322:A385" si="5">VLOOKUP(T322,$V$2:$W$222,2,FALSE)</f>
        <v>71</v>
      </c>
      <c r="B322" t="s">
        <v>954</v>
      </c>
      <c r="C322" t="s">
        <v>47</v>
      </c>
      <c r="D322">
        <v>68</v>
      </c>
      <c r="E3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2">
        <f ca="1">IF(Tabla142[[#This Row],[frecuencia_new]]="Diaria"," ",RANDBETWEEN(1,6))</f>
        <v>4</v>
      </c>
      <c r="G322">
        <f ca="1">IF(Tabla142[[#This Row],[frecuencia_new]]="Diaria","",IF(Tabla142[[#This Row],[frecuencia_new]]="Semanal","",IF(Tabla142[[#This Row],[frecuencia_new]]="Quincenal",RANDBETWEEN(1,2),RANDBETWEEN(1,4))))</f>
        <v>3</v>
      </c>
      <c r="H3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2" t="s">
        <v>342</v>
      </c>
      <c r="K322">
        <f>SUM(MID(Tabla142[[#This Row],[Duración]],1,2)*60,MID(Tabla142[[#This Row],[Duración]],6,2))</f>
        <v>30</v>
      </c>
      <c r="L322" s="4" t="s">
        <v>48</v>
      </c>
      <c r="M322" s="13" t="s">
        <v>257</v>
      </c>
      <c r="N322" t="s">
        <v>259</v>
      </c>
      <c r="O322" t="s">
        <v>396</v>
      </c>
      <c r="P322" t="s">
        <v>363</v>
      </c>
      <c r="Q322" s="20">
        <v>46032.649155092593</v>
      </c>
      <c r="R322">
        <v>100</v>
      </c>
      <c r="T322" t="s">
        <v>482</v>
      </c>
    </row>
    <row r="323" spans="1:20" ht="15" customHeight="1" x14ac:dyDescent="0.25">
      <c r="A323">
        <f t="shared" si="5"/>
        <v>71</v>
      </c>
      <c r="B323" t="s">
        <v>955</v>
      </c>
      <c r="C323" t="s">
        <v>54</v>
      </c>
      <c r="D323">
        <v>21</v>
      </c>
      <c r="E3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23">
        <f ca="1">IF(Tabla142[[#This Row],[frecuencia_new]]="Diaria"," ",RANDBETWEEN(1,6))</f>
        <v>2</v>
      </c>
      <c r="G323">
        <f ca="1">IF(Tabla142[[#This Row],[frecuencia_new]]="Diaria","",IF(Tabla142[[#This Row],[frecuencia_new]]="Semanal","",IF(Tabla142[[#This Row],[frecuencia_new]]="Quincenal",RANDBETWEEN(1,2),RANDBETWEEN(1,4))))</f>
        <v>4</v>
      </c>
      <c r="H3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3" t="s">
        <v>282</v>
      </c>
      <c r="K323">
        <f>SUM(MID(Tabla142[[#This Row],[Duración]],1,2)*60,MID(Tabla142[[#This Row],[Duración]],6,2))</f>
        <v>5</v>
      </c>
      <c r="L323" s="4" t="s">
        <v>50</v>
      </c>
      <c r="M323" t="s">
        <v>257</v>
      </c>
      <c r="N323" t="s">
        <v>325</v>
      </c>
      <c r="O323" t="s">
        <v>396</v>
      </c>
      <c r="P323" t="s">
        <v>363</v>
      </c>
      <c r="Q323" s="20">
        <v>46032.649155092593</v>
      </c>
      <c r="R323" t="s">
        <v>262</v>
      </c>
      <c r="T323" t="s">
        <v>482</v>
      </c>
    </row>
    <row r="324" spans="1:20" ht="15" hidden="1" customHeight="1" x14ac:dyDescent="0.25">
      <c r="A324">
        <f t="shared" si="5"/>
        <v>71</v>
      </c>
      <c r="B324" t="s">
        <v>956</v>
      </c>
      <c r="C324" t="s">
        <v>47</v>
      </c>
      <c r="D324">
        <v>68</v>
      </c>
      <c r="E3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4">
        <f ca="1">IF(Tabla142[[#This Row],[frecuencia_new]]="Diaria"," ",RANDBETWEEN(1,6))</f>
        <v>6</v>
      </c>
      <c r="G324">
        <f ca="1">IF(Tabla142[[#This Row],[frecuencia_new]]="Diaria","",IF(Tabla142[[#This Row],[frecuencia_new]]="Semanal","",IF(Tabla142[[#This Row],[frecuencia_new]]="Quincenal",RANDBETWEEN(1,2),RANDBETWEEN(1,4))))</f>
        <v>4</v>
      </c>
      <c r="H3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4" t="s">
        <v>339</v>
      </c>
      <c r="K324">
        <f>SUM(MID(Tabla142[[#This Row],[Duración]],1,2)*60,MID(Tabla142[[#This Row],[Duración]],6,2))</f>
        <v>30</v>
      </c>
      <c r="L324" s="4" t="s">
        <v>48</v>
      </c>
      <c r="M324" s="13" t="s">
        <v>257</v>
      </c>
      <c r="N324" t="s">
        <v>259</v>
      </c>
      <c r="O324" t="s">
        <v>396</v>
      </c>
      <c r="P324" t="s">
        <v>363</v>
      </c>
      <c r="Q324" s="20">
        <v>46032.649155092593</v>
      </c>
      <c r="R324">
        <v>100</v>
      </c>
      <c r="T324" t="s">
        <v>482</v>
      </c>
    </row>
    <row r="325" spans="1:20" ht="15" hidden="1" customHeight="1" x14ac:dyDescent="0.25">
      <c r="A325">
        <f t="shared" si="5"/>
        <v>71</v>
      </c>
      <c r="B325" t="s">
        <v>957</v>
      </c>
      <c r="C325" t="s">
        <v>54</v>
      </c>
      <c r="D325">
        <v>68</v>
      </c>
      <c r="E3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5">
        <f ca="1">IF(Tabla142[[#This Row],[frecuencia_new]]="Diaria"," ",RANDBETWEEN(1,6))</f>
        <v>2</v>
      </c>
      <c r="G325">
        <f ca="1">IF(Tabla142[[#This Row],[frecuencia_new]]="Diaria","",IF(Tabla142[[#This Row],[frecuencia_new]]="Semanal","",IF(Tabla142[[#This Row],[frecuencia_new]]="Quincenal",RANDBETWEEN(1,2),RANDBETWEEN(1,4))))</f>
        <v>1</v>
      </c>
      <c r="H3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5" t="s">
        <v>338</v>
      </c>
      <c r="K325">
        <f>SUM(MID(Tabla142[[#This Row],[Duración]],1,2)*60,MID(Tabla142[[#This Row],[Duración]],6,2))</f>
        <v>10</v>
      </c>
      <c r="L325" s="4" t="s">
        <v>71</v>
      </c>
      <c r="M325" s="13" t="s">
        <v>257</v>
      </c>
      <c r="N325" t="s">
        <v>259</v>
      </c>
      <c r="O325" t="s">
        <v>396</v>
      </c>
      <c r="P325" t="s">
        <v>363</v>
      </c>
      <c r="Q325" s="20">
        <v>46032.649155092593</v>
      </c>
      <c r="R325">
        <v>100</v>
      </c>
      <c r="T325" t="s">
        <v>482</v>
      </c>
    </row>
    <row r="326" spans="1:20" ht="15" hidden="1" customHeight="1" x14ac:dyDescent="0.25">
      <c r="A326">
        <f t="shared" si="5"/>
        <v>71</v>
      </c>
      <c r="B326" t="s">
        <v>958</v>
      </c>
      <c r="C326" t="s">
        <v>54</v>
      </c>
      <c r="D326">
        <v>68</v>
      </c>
      <c r="E3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6">
        <f ca="1">IF(Tabla142[[#This Row],[frecuencia_new]]="Diaria"," ",RANDBETWEEN(1,6))</f>
        <v>2</v>
      </c>
      <c r="G326">
        <f ca="1">IF(Tabla142[[#This Row],[frecuencia_new]]="Diaria","",IF(Tabla142[[#This Row],[frecuencia_new]]="Semanal","",IF(Tabla142[[#This Row],[frecuencia_new]]="Quincenal",RANDBETWEEN(1,2),RANDBETWEEN(1,4))))</f>
        <v>3</v>
      </c>
      <c r="H3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6" t="s">
        <v>356</v>
      </c>
      <c r="K326">
        <f>SUM(MID(Tabla142[[#This Row],[Duración]],1,2)*60,MID(Tabla142[[#This Row],[Duración]],6,2))</f>
        <v>10</v>
      </c>
      <c r="L326" s="4" t="s">
        <v>71</v>
      </c>
      <c r="M326" s="13" t="s">
        <v>257</v>
      </c>
      <c r="N326" t="s">
        <v>259</v>
      </c>
      <c r="O326" t="s">
        <v>396</v>
      </c>
      <c r="P326" t="s">
        <v>363</v>
      </c>
      <c r="Q326" s="20">
        <v>46032.649155092593</v>
      </c>
      <c r="R326">
        <v>100</v>
      </c>
      <c r="T326" t="s">
        <v>482</v>
      </c>
    </row>
    <row r="327" spans="1:20" ht="15" customHeight="1" x14ac:dyDescent="0.25">
      <c r="A327">
        <f t="shared" si="5"/>
        <v>71</v>
      </c>
      <c r="B327" t="s">
        <v>959</v>
      </c>
      <c r="C327" t="s">
        <v>47</v>
      </c>
      <c r="D327">
        <v>21</v>
      </c>
      <c r="E3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27" t="str">
        <f ca="1">IF(Tabla142[[#This Row],[frecuencia_new]]="Diaria"," ",RANDBETWEEN(1,6))</f>
        <v xml:space="preserve"> </v>
      </c>
      <c r="G327" t="str">
        <f ca="1">IF(Tabla142[[#This Row],[frecuencia_new]]="Diaria","",IF(Tabla142[[#This Row],[frecuencia_new]]="Semanal","",IF(Tabla142[[#This Row],[frecuencia_new]]="Quincenal",RANDBETWEEN(1,2),RANDBETWEEN(1,4))))</f>
        <v/>
      </c>
      <c r="H3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7" t="s">
        <v>286</v>
      </c>
      <c r="K327">
        <f>SUM(MID(Tabla142[[#This Row],[Duración]],1,2)*60,MID(Tabla142[[#This Row],[Duración]],6,2))</f>
        <v>2</v>
      </c>
      <c r="L327" s="4" t="s">
        <v>60</v>
      </c>
      <c r="M327" t="s">
        <v>257</v>
      </c>
      <c r="N327" t="s">
        <v>325</v>
      </c>
      <c r="O327" t="s">
        <v>396</v>
      </c>
      <c r="P327" t="s">
        <v>363</v>
      </c>
      <c r="Q327" s="20">
        <v>46032.649155092593</v>
      </c>
      <c r="R327" t="s">
        <v>6</v>
      </c>
      <c r="T327" t="s">
        <v>482</v>
      </c>
    </row>
    <row r="328" spans="1:20" ht="15" customHeight="1" x14ac:dyDescent="0.25">
      <c r="A328">
        <f t="shared" si="5"/>
        <v>71</v>
      </c>
      <c r="B328" t="s">
        <v>960</v>
      </c>
      <c r="C328" t="s">
        <v>54</v>
      </c>
      <c r="D328">
        <v>21</v>
      </c>
      <c r="E3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28">
        <f ca="1">IF(Tabla142[[#This Row],[frecuencia_new]]="Diaria"," ",RANDBETWEEN(1,6))</f>
        <v>2</v>
      </c>
      <c r="G328" t="str">
        <f ca="1">IF(Tabla142[[#This Row],[frecuencia_new]]="Diaria","",IF(Tabla142[[#This Row],[frecuencia_new]]="Semanal","",IF(Tabla142[[#This Row],[frecuencia_new]]="Quincenal",RANDBETWEEN(1,2),RANDBETWEEN(1,4))))</f>
        <v/>
      </c>
      <c r="H32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8" t="s">
        <v>287</v>
      </c>
      <c r="K328">
        <f>SUM(MID(Tabla142[[#This Row],[Duración]],1,2)*60,MID(Tabla142[[#This Row],[Duración]],6,2))</f>
        <v>15</v>
      </c>
      <c r="L328" s="4" t="s">
        <v>77</v>
      </c>
      <c r="M328" t="s">
        <v>257</v>
      </c>
      <c r="N328" t="s">
        <v>325</v>
      </c>
      <c r="O328" t="s">
        <v>396</v>
      </c>
      <c r="P328" t="s">
        <v>363</v>
      </c>
      <c r="Q328" s="20">
        <v>46032.649155092593</v>
      </c>
      <c r="R328" t="s">
        <v>264</v>
      </c>
      <c r="T328" t="s">
        <v>482</v>
      </c>
    </row>
    <row r="329" spans="1:20" ht="15" hidden="1" customHeight="1" x14ac:dyDescent="0.25">
      <c r="A329">
        <f t="shared" si="5"/>
        <v>71</v>
      </c>
      <c r="B329" t="s">
        <v>961</v>
      </c>
      <c r="C329" t="s">
        <v>47</v>
      </c>
      <c r="D329">
        <v>68</v>
      </c>
      <c r="E3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329">
        <f ca="1">IF(Tabla142[[#This Row],[frecuencia_new]]="Diaria"," ",RANDBETWEEN(1,6))</f>
        <v>1</v>
      </c>
      <c r="G329">
        <f ca="1">IF(Tabla142[[#This Row],[frecuencia_new]]="Diaria","",IF(Tabla142[[#This Row],[frecuencia_new]]="Semanal","",IF(Tabla142[[#This Row],[frecuencia_new]]="Quincenal",RANDBETWEEN(1,2),RANDBETWEEN(1,4))))</f>
        <v>2</v>
      </c>
      <c r="H3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29" t="s">
        <v>355</v>
      </c>
      <c r="K329">
        <f>SUM(MID(Tabla142[[#This Row],[Duración]],1,2)*60,MID(Tabla142[[#This Row],[Duración]],6,2))</f>
        <v>30</v>
      </c>
      <c r="L329" s="4" t="s">
        <v>48</v>
      </c>
      <c r="M329" s="13" t="s">
        <v>257</v>
      </c>
      <c r="N329" t="s">
        <v>259</v>
      </c>
      <c r="O329" t="s">
        <v>396</v>
      </c>
      <c r="P329" t="s">
        <v>363</v>
      </c>
      <c r="Q329" s="20">
        <v>46032.649155092593</v>
      </c>
      <c r="R329">
        <v>100</v>
      </c>
      <c r="T329" t="s">
        <v>482</v>
      </c>
    </row>
    <row r="330" spans="1:20" ht="15" customHeight="1" x14ac:dyDescent="0.25">
      <c r="A330">
        <f t="shared" si="5"/>
        <v>71</v>
      </c>
      <c r="B330" t="s">
        <v>962</v>
      </c>
      <c r="C330" t="s">
        <v>47</v>
      </c>
      <c r="D330">
        <v>21</v>
      </c>
      <c r="E3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30">
        <f ca="1">IF(Tabla142[[#This Row],[frecuencia_new]]="Diaria"," ",RANDBETWEEN(1,6))</f>
        <v>2</v>
      </c>
      <c r="G330" t="str">
        <f ca="1">IF(Tabla142[[#This Row],[frecuencia_new]]="Diaria","",IF(Tabla142[[#This Row],[frecuencia_new]]="Semanal","",IF(Tabla142[[#This Row],[frecuencia_new]]="Quincenal",RANDBETWEEN(1,2),RANDBETWEEN(1,4))))</f>
        <v/>
      </c>
      <c r="H33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0" t="s">
        <v>289</v>
      </c>
      <c r="K330">
        <f>SUM(MID(Tabla142[[#This Row],[Duración]],1,2)*60,MID(Tabla142[[#This Row],[Duración]],6,2))</f>
        <v>2</v>
      </c>
      <c r="L330" s="4" t="s">
        <v>60</v>
      </c>
      <c r="M330" t="s">
        <v>257</v>
      </c>
      <c r="N330" t="s">
        <v>325</v>
      </c>
      <c r="O330" t="s">
        <v>396</v>
      </c>
      <c r="P330" t="s">
        <v>363</v>
      </c>
      <c r="Q330" s="20">
        <v>46032.649155092593</v>
      </c>
      <c r="R330" t="s">
        <v>8</v>
      </c>
      <c r="T330" t="s">
        <v>482</v>
      </c>
    </row>
    <row r="331" spans="1:20" ht="15" customHeight="1" x14ac:dyDescent="0.25">
      <c r="A331">
        <f t="shared" si="5"/>
        <v>17</v>
      </c>
      <c r="B331" t="s">
        <v>963</v>
      </c>
      <c r="C331" t="s">
        <v>47</v>
      </c>
      <c r="D331">
        <v>204</v>
      </c>
      <c r="E3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31">
        <f ca="1">IF(Tabla142[[#This Row],[frecuencia_new]]="Diaria"," ",RANDBETWEEN(1,6))</f>
        <v>6</v>
      </c>
      <c r="G331">
        <f ca="1">IF(Tabla142[[#This Row],[frecuencia_new]]="Diaria","",IF(Tabla142[[#This Row],[frecuencia_new]]="Semanal","",IF(Tabla142[[#This Row],[frecuencia_new]]="Quincenal",RANDBETWEEN(1,2),RANDBETWEEN(1,4))))</f>
        <v>4</v>
      </c>
      <c r="H33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1" t="s">
        <v>99</v>
      </c>
      <c r="K331">
        <f>SUM(MID(Tabla142[[#This Row],[Duración]],1,2)*60,MID(Tabla142[[#This Row],[Duración]],6,2))</f>
        <v>30</v>
      </c>
      <c r="L331" t="s">
        <v>48</v>
      </c>
      <c r="M331" t="s">
        <v>239</v>
      </c>
      <c r="N331" t="s">
        <v>378</v>
      </c>
      <c r="O331" t="s">
        <v>390</v>
      </c>
      <c r="P331" t="s">
        <v>363</v>
      </c>
      <c r="Q331" s="20">
        <v>46032.649155092593</v>
      </c>
      <c r="R331" t="s">
        <v>7</v>
      </c>
      <c r="T331" t="s">
        <v>428</v>
      </c>
    </row>
    <row r="332" spans="1:20" ht="15" customHeight="1" x14ac:dyDescent="0.25">
      <c r="A332">
        <f t="shared" si="5"/>
        <v>17</v>
      </c>
      <c r="B332" t="s">
        <v>964</v>
      </c>
      <c r="C332" t="s">
        <v>47</v>
      </c>
      <c r="D332">
        <v>204</v>
      </c>
      <c r="E3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32">
        <f ca="1">IF(Tabla142[[#This Row],[frecuencia_new]]="Diaria"," ",RANDBETWEEN(1,6))</f>
        <v>6</v>
      </c>
      <c r="G332" t="str">
        <f ca="1">IF(Tabla142[[#This Row],[frecuencia_new]]="Diaria","",IF(Tabla142[[#This Row],[frecuencia_new]]="Semanal","",IF(Tabla142[[#This Row],[frecuencia_new]]="Quincenal",RANDBETWEEN(1,2),RANDBETWEEN(1,4))))</f>
        <v/>
      </c>
      <c r="H3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2" t="s">
        <v>100</v>
      </c>
      <c r="K332">
        <f>SUM(MID(Tabla142[[#This Row],[Duración]],1,2)*60,MID(Tabla142[[#This Row],[Duración]],6,2))</f>
        <v>20</v>
      </c>
      <c r="L332" t="s">
        <v>82</v>
      </c>
      <c r="M332" t="s">
        <v>239</v>
      </c>
      <c r="N332" t="s">
        <v>378</v>
      </c>
      <c r="O332" t="s">
        <v>390</v>
      </c>
      <c r="P332" t="s">
        <v>363</v>
      </c>
      <c r="Q332" s="20">
        <v>46032.649155092593</v>
      </c>
      <c r="R332" t="s">
        <v>8</v>
      </c>
      <c r="T332" t="s">
        <v>428</v>
      </c>
    </row>
    <row r="333" spans="1:20" ht="15" customHeight="1" x14ac:dyDescent="0.25">
      <c r="A333">
        <f t="shared" si="5"/>
        <v>17</v>
      </c>
      <c r="B333" t="s">
        <v>965</v>
      </c>
      <c r="C333" t="s">
        <v>47</v>
      </c>
      <c r="D333">
        <v>204</v>
      </c>
      <c r="E3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33" t="str">
        <f ca="1">IF(Tabla142[[#This Row],[frecuencia_new]]="Diaria"," ",RANDBETWEEN(1,6))</f>
        <v xml:space="preserve"> </v>
      </c>
      <c r="G333" t="str">
        <f ca="1">IF(Tabla142[[#This Row],[frecuencia_new]]="Diaria","",IF(Tabla142[[#This Row],[frecuencia_new]]="Semanal","",IF(Tabla142[[#This Row],[frecuencia_new]]="Quincenal",RANDBETWEEN(1,2),RANDBETWEEN(1,4))))</f>
        <v/>
      </c>
      <c r="H3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3" t="s">
        <v>101</v>
      </c>
      <c r="K333">
        <f>SUM(MID(Tabla142[[#This Row],[Duración]],1,2)*60,MID(Tabla142[[#This Row],[Duración]],6,2))</f>
        <v>5</v>
      </c>
      <c r="L333" t="s">
        <v>50</v>
      </c>
      <c r="M333" t="s">
        <v>239</v>
      </c>
      <c r="N333" t="s">
        <v>378</v>
      </c>
      <c r="O333" t="s">
        <v>390</v>
      </c>
      <c r="P333" t="s">
        <v>361</v>
      </c>
      <c r="Q333" s="20">
        <v>46032.649155092593</v>
      </c>
      <c r="R333" t="s">
        <v>6</v>
      </c>
      <c r="T333" t="s">
        <v>428</v>
      </c>
    </row>
    <row r="334" spans="1:20" ht="15" customHeight="1" x14ac:dyDescent="0.25">
      <c r="A334">
        <f t="shared" si="5"/>
        <v>17</v>
      </c>
      <c r="B334" t="s">
        <v>966</v>
      </c>
      <c r="C334" t="s">
        <v>47</v>
      </c>
      <c r="D334">
        <v>204</v>
      </c>
      <c r="E3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34">
        <f ca="1">IF(Tabla142[[#This Row],[frecuencia_new]]="Diaria"," ",RANDBETWEEN(1,6))</f>
        <v>3</v>
      </c>
      <c r="G334">
        <f ca="1">IF(Tabla142[[#This Row],[frecuencia_new]]="Diaria","",IF(Tabla142[[#This Row],[frecuencia_new]]="Semanal","",IF(Tabla142[[#This Row],[frecuencia_new]]="Quincenal",RANDBETWEEN(1,2),RANDBETWEEN(1,4))))</f>
        <v>1</v>
      </c>
      <c r="H33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334" t="s">
        <v>102</v>
      </c>
      <c r="K334">
        <f>SUM(MID(Tabla142[[#This Row],[Duración]],1,2)*60,MID(Tabla142[[#This Row],[Duración]],6,2))</f>
        <v>180</v>
      </c>
      <c r="L334" t="s">
        <v>65</v>
      </c>
      <c r="M334" t="s">
        <v>239</v>
      </c>
      <c r="N334" t="s">
        <v>378</v>
      </c>
      <c r="O334" t="s">
        <v>390</v>
      </c>
      <c r="P334" t="s">
        <v>363</v>
      </c>
      <c r="Q334" s="20">
        <v>46032.649155092593</v>
      </c>
      <c r="R334" t="s">
        <v>5</v>
      </c>
      <c r="T334" t="s">
        <v>428</v>
      </c>
    </row>
    <row r="335" spans="1:20" ht="15" customHeight="1" x14ac:dyDescent="0.25">
      <c r="A335">
        <f t="shared" si="5"/>
        <v>17</v>
      </c>
      <c r="B335" t="s">
        <v>967</v>
      </c>
      <c r="C335" t="s">
        <v>47</v>
      </c>
      <c r="D335">
        <v>204</v>
      </c>
      <c r="E3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35">
        <f ca="1">IF(Tabla142[[#This Row],[frecuencia_new]]="Diaria"," ",RANDBETWEEN(1,6))</f>
        <v>2</v>
      </c>
      <c r="G335" t="str">
        <f ca="1">IF(Tabla142[[#This Row],[frecuencia_new]]="Diaria","",IF(Tabla142[[#This Row],[frecuencia_new]]="Semanal","",IF(Tabla142[[#This Row],[frecuencia_new]]="Quincenal",RANDBETWEEN(1,2),RANDBETWEEN(1,4))))</f>
        <v/>
      </c>
      <c r="H3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5" t="s">
        <v>80</v>
      </c>
      <c r="K335">
        <f>SUM(MID(Tabla142[[#This Row],[Duración]],1,2)*60,MID(Tabla142[[#This Row],[Duración]],6,2))</f>
        <v>20</v>
      </c>
      <c r="L335" t="s">
        <v>82</v>
      </c>
      <c r="M335" t="s">
        <v>239</v>
      </c>
      <c r="N335" t="s">
        <v>378</v>
      </c>
      <c r="O335" t="s">
        <v>390</v>
      </c>
      <c r="P335" t="s">
        <v>363</v>
      </c>
      <c r="Q335" s="20">
        <v>46032.649155092593</v>
      </c>
      <c r="R335" t="s">
        <v>8</v>
      </c>
      <c r="T335" t="s">
        <v>428</v>
      </c>
    </row>
    <row r="336" spans="1:20" x14ac:dyDescent="0.25">
      <c r="A336">
        <f t="shared" si="5"/>
        <v>17</v>
      </c>
      <c r="B336" t="s">
        <v>968</v>
      </c>
      <c r="C336" t="s">
        <v>47</v>
      </c>
      <c r="D336">
        <v>204</v>
      </c>
      <c r="E3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336">
        <f ca="1">IF(Tabla142[[#This Row],[frecuencia_new]]="Diaria"," ",RANDBETWEEN(1,6))</f>
        <v>2</v>
      </c>
      <c r="G336">
        <f ca="1">IF(Tabla142[[#This Row],[frecuencia_new]]="Diaria","",IF(Tabla142[[#This Row],[frecuencia_new]]="Semanal","",IF(Tabla142[[#This Row],[frecuencia_new]]="Quincenal",RANDBETWEEN(1,2),RANDBETWEEN(1,4))))</f>
        <v>3</v>
      </c>
      <c r="H336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336" t="s">
        <v>103</v>
      </c>
      <c r="K336">
        <f>SUM(MID(Tabla142[[#This Row],[Duración]],1,2)*60,MID(Tabla142[[#This Row],[Duración]],6,2))</f>
        <v>30</v>
      </c>
      <c r="L336" t="s">
        <v>48</v>
      </c>
      <c r="M336" t="s">
        <v>239</v>
      </c>
      <c r="N336" t="s">
        <v>378</v>
      </c>
      <c r="O336" t="s">
        <v>390</v>
      </c>
      <c r="P336" t="s">
        <v>363</v>
      </c>
      <c r="Q336" s="20">
        <v>46032.649155092593</v>
      </c>
      <c r="R336" t="s">
        <v>20</v>
      </c>
      <c r="T336" t="s">
        <v>428</v>
      </c>
    </row>
    <row r="337" spans="1:20" ht="15" customHeight="1" x14ac:dyDescent="0.25">
      <c r="A337">
        <f t="shared" si="5"/>
        <v>17</v>
      </c>
      <c r="B337" t="s">
        <v>969</v>
      </c>
      <c r="C337" t="s">
        <v>47</v>
      </c>
      <c r="D337">
        <v>204</v>
      </c>
      <c r="E3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37">
        <f ca="1">IF(Tabla142[[#This Row],[frecuencia_new]]="Diaria"," ",RANDBETWEEN(1,6))</f>
        <v>1</v>
      </c>
      <c r="G337" t="str">
        <f ca="1">IF(Tabla142[[#This Row],[frecuencia_new]]="Diaria","",IF(Tabla142[[#This Row],[frecuencia_new]]="Semanal","",IF(Tabla142[[#This Row],[frecuencia_new]]="Quincenal",RANDBETWEEN(1,2),RANDBETWEEN(1,4))))</f>
        <v/>
      </c>
      <c r="H33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7" t="s">
        <v>57</v>
      </c>
      <c r="K337">
        <f>SUM(MID(Tabla142[[#This Row],[Duración]],1,2)*60,MID(Tabla142[[#This Row],[Duración]],6,2))</f>
        <v>20</v>
      </c>
      <c r="L337" t="s">
        <v>82</v>
      </c>
      <c r="M337" t="s">
        <v>239</v>
      </c>
      <c r="N337" t="s">
        <v>378</v>
      </c>
      <c r="O337" t="s">
        <v>390</v>
      </c>
      <c r="P337" t="s">
        <v>363</v>
      </c>
      <c r="Q337" s="20">
        <v>46032.649155092593</v>
      </c>
      <c r="R337" t="s">
        <v>8</v>
      </c>
      <c r="T337" t="s">
        <v>428</v>
      </c>
    </row>
    <row r="338" spans="1:20" ht="15" customHeight="1" x14ac:dyDescent="0.25">
      <c r="A338">
        <f t="shared" si="5"/>
        <v>17</v>
      </c>
      <c r="B338" t="s">
        <v>970</v>
      </c>
      <c r="C338" t="s">
        <v>47</v>
      </c>
      <c r="D338">
        <v>204</v>
      </c>
      <c r="E3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38">
        <f ca="1">IF(Tabla142[[#This Row],[frecuencia_new]]="Diaria"," ",RANDBETWEEN(1,6))</f>
        <v>6</v>
      </c>
      <c r="G338">
        <f ca="1">IF(Tabla142[[#This Row],[frecuencia_new]]="Diaria","",IF(Tabla142[[#This Row],[frecuencia_new]]="Semanal","",IF(Tabla142[[#This Row],[frecuencia_new]]="Quincenal",RANDBETWEEN(1,2),RANDBETWEEN(1,4))))</f>
        <v>2</v>
      </c>
      <c r="H33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8" t="s">
        <v>104</v>
      </c>
      <c r="K338">
        <f>SUM(MID(Tabla142[[#This Row],[Duración]],1,2)*60,MID(Tabla142[[#This Row],[Duración]],6,2))</f>
        <v>30</v>
      </c>
      <c r="L338" t="s">
        <v>48</v>
      </c>
      <c r="M338" t="s">
        <v>239</v>
      </c>
      <c r="N338" t="s">
        <v>378</v>
      </c>
      <c r="O338" t="s">
        <v>390</v>
      </c>
      <c r="P338" t="s">
        <v>363</v>
      </c>
      <c r="Q338" s="20">
        <v>46032.649155092593</v>
      </c>
      <c r="R338" t="s">
        <v>7</v>
      </c>
      <c r="T338" t="s">
        <v>428</v>
      </c>
    </row>
    <row r="339" spans="1:20" ht="15" customHeight="1" x14ac:dyDescent="0.25">
      <c r="A339">
        <f t="shared" si="5"/>
        <v>16</v>
      </c>
      <c r="B339" t="s">
        <v>971</v>
      </c>
      <c r="C339" t="s">
        <v>47</v>
      </c>
      <c r="D339">
        <v>203</v>
      </c>
      <c r="E3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39">
        <f ca="1">IF(Tabla142[[#This Row],[frecuencia_new]]="Diaria"," ",RANDBETWEEN(1,6))</f>
        <v>2</v>
      </c>
      <c r="G339">
        <f ca="1">IF(Tabla142[[#This Row],[frecuencia_new]]="Diaria","",IF(Tabla142[[#This Row],[frecuencia_new]]="Semanal","",IF(Tabla142[[#This Row],[frecuencia_new]]="Quincenal",RANDBETWEEN(1,2),RANDBETWEEN(1,4))))</f>
        <v>2</v>
      </c>
      <c r="H3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39" t="s">
        <v>66</v>
      </c>
      <c r="K339">
        <f>SUM(MID(Tabla142[[#This Row],[Duración]],1,2)*60,MID(Tabla142[[#This Row],[Duración]],6,2))</f>
        <v>60</v>
      </c>
      <c r="L339" s="4" t="s">
        <v>58</v>
      </c>
      <c r="M339" t="s">
        <v>239</v>
      </c>
      <c r="N339" t="s">
        <v>378</v>
      </c>
      <c r="O339" t="s">
        <v>390</v>
      </c>
      <c r="P339" t="s">
        <v>363</v>
      </c>
      <c r="Q339" s="20">
        <v>46032.649155092593</v>
      </c>
      <c r="R339" t="s">
        <v>7</v>
      </c>
      <c r="T339" t="s">
        <v>427</v>
      </c>
    </row>
    <row r="340" spans="1:20" ht="15" customHeight="1" x14ac:dyDescent="0.25">
      <c r="A340">
        <f t="shared" si="5"/>
        <v>16</v>
      </c>
      <c r="B340" t="s">
        <v>972</v>
      </c>
      <c r="C340" t="s">
        <v>47</v>
      </c>
      <c r="D340">
        <v>203</v>
      </c>
      <c r="E3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40" t="str">
        <f ca="1">IF(Tabla142[[#This Row],[frecuencia_new]]="Diaria"," ",RANDBETWEEN(1,6))</f>
        <v xml:space="preserve"> </v>
      </c>
      <c r="G340" t="str">
        <f ca="1">IF(Tabla142[[#This Row],[frecuencia_new]]="Diaria","",IF(Tabla142[[#This Row],[frecuencia_new]]="Semanal","",IF(Tabla142[[#This Row],[frecuencia_new]]="Quincenal",RANDBETWEEN(1,2),RANDBETWEEN(1,4))))</f>
        <v/>
      </c>
      <c r="H3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0" t="s">
        <v>67</v>
      </c>
      <c r="K340">
        <f>SUM(MID(Tabla142[[#This Row],[Duración]],1,2)*60,MID(Tabla142[[#This Row],[Duración]],6,2))</f>
        <v>5</v>
      </c>
      <c r="L340" s="4" t="s">
        <v>50</v>
      </c>
      <c r="M340" t="s">
        <v>239</v>
      </c>
      <c r="N340" t="s">
        <v>378</v>
      </c>
      <c r="O340" t="s">
        <v>390</v>
      </c>
      <c r="P340" t="s">
        <v>361</v>
      </c>
      <c r="Q340" s="20">
        <v>46032.649155092593</v>
      </c>
      <c r="R340" t="s">
        <v>6</v>
      </c>
      <c r="T340" t="s">
        <v>427</v>
      </c>
    </row>
    <row r="341" spans="1:20" ht="15" customHeight="1" x14ac:dyDescent="0.25">
      <c r="A341">
        <f t="shared" si="5"/>
        <v>16</v>
      </c>
      <c r="B341" t="s">
        <v>973</v>
      </c>
      <c r="C341" t="s">
        <v>47</v>
      </c>
      <c r="D341">
        <v>203</v>
      </c>
      <c r="E3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41" t="str">
        <f ca="1">IF(Tabla142[[#This Row],[frecuencia_new]]="Diaria"," ",RANDBETWEEN(1,6))</f>
        <v xml:space="preserve"> </v>
      </c>
      <c r="G341" t="str">
        <f ca="1">IF(Tabla142[[#This Row],[frecuencia_new]]="Diaria","",IF(Tabla142[[#This Row],[frecuencia_new]]="Semanal","",IF(Tabla142[[#This Row],[frecuencia_new]]="Quincenal",RANDBETWEEN(1,2),RANDBETWEEN(1,4))))</f>
        <v/>
      </c>
      <c r="H3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1" t="s">
        <v>68</v>
      </c>
      <c r="K341">
        <f>SUM(MID(Tabla142[[#This Row],[Duración]],1,2)*60,MID(Tabla142[[#This Row],[Duración]],6,2))</f>
        <v>5</v>
      </c>
      <c r="L341" s="4" t="s">
        <v>50</v>
      </c>
      <c r="M341" t="s">
        <v>239</v>
      </c>
      <c r="N341" t="s">
        <v>378</v>
      </c>
      <c r="O341" t="s">
        <v>390</v>
      </c>
      <c r="P341" t="s">
        <v>361</v>
      </c>
      <c r="Q341" s="20">
        <v>46032.649155092593</v>
      </c>
      <c r="R341" t="s">
        <v>6</v>
      </c>
      <c r="T341" t="s">
        <v>427</v>
      </c>
    </row>
    <row r="342" spans="1:20" ht="15" customHeight="1" x14ac:dyDescent="0.25">
      <c r="A342">
        <f t="shared" si="5"/>
        <v>16</v>
      </c>
      <c r="B342" t="s">
        <v>974</v>
      </c>
      <c r="C342" t="s">
        <v>47</v>
      </c>
      <c r="D342">
        <v>203</v>
      </c>
      <c r="E3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42">
        <f ca="1">IF(Tabla142[[#This Row],[frecuencia_new]]="Diaria"," ",RANDBETWEEN(1,6))</f>
        <v>5</v>
      </c>
      <c r="G342">
        <f ca="1">IF(Tabla142[[#This Row],[frecuencia_new]]="Diaria","",IF(Tabla142[[#This Row],[frecuencia_new]]="Semanal","",IF(Tabla142[[#This Row],[frecuencia_new]]="Quincenal",RANDBETWEEN(1,2),RANDBETWEEN(1,4))))</f>
        <v>2</v>
      </c>
      <c r="H3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2" t="s">
        <v>69</v>
      </c>
      <c r="K342">
        <f>SUM(MID(Tabla142[[#This Row],[Duración]],1,2)*60,MID(Tabla142[[#This Row],[Duración]],6,2))</f>
        <v>60</v>
      </c>
      <c r="L342" s="4" t="s">
        <v>58</v>
      </c>
      <c r="M342" t="s">
        <v>239</v>
      </c>
      <c r="N342" t="s">
        <v>378</v>
      </c>
      <c r="O342" t="s">
        <v>390</v>
      </c>
      <c r="P342" t="s">
        <v>361</v>
      </c>
      <c r="Q342" s="20">
        <v>46032.649155092593</v>
      </c>
      <c r="R342" t="s">
        <v>7</v>
      </c>
      <c r="T342" t="s">
        <v>427</v>
      </c>
    </row>
    <row r="343" spans="1:20" ht="15" customHeight="1" x14ac:dyDescent="0.25">
      <c r="A343">
        <f t="shared" si="5"/>
        <v>16</v>
      </c>
      <c r="B343" t="s">
        <v>975</v>
      </c>
      <c r="C343" t="s">
        <v>47</v>
      </c>
      <c r="D343">
        <v>203</v>
      </c>
      <c r="E3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43">
        <f ca="1">IF(Tabla142[[#This Row],[frecuencia_new]]="Diaria"," ",RANDBETWEEN(1,6))</f>
        <v>6</v>
      </c>
      <c r="G343" t="str">
        <f ca="1">IF(Tabla142[[#This Row],[frecuencia_new]]="Diaria","",IF(Tabla142[[#This Row],[frecuencia_new]]="Semanal","",IF(Tabla142[[#This Row],[frecuencia_new]]="Quincenal",RANDBETWEEN(1,2),RANDBETWEEN(1,4))))</f>
        <v/>
      </c>
      <c r="H3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3" t="s">
        <v>70</v>
      </c>
      <c r="K343">
        <f>SUM(MID(Tabla142[[#This Row],[Duración]],1,2)*60,MID(Tabla142[[#This Row],[Duración]],6,2))</f>
        <v>30</v>
      </c>
      <c r="L343" s="4" t="s">
        <v>48</v>
      </c>
      <c r="M343" t="s">
        <v>239</v>
      </c>
      <c r="N343" t="s">
        <v>378</v>
      </c>
      <c r="O343" t="s">
        <v>390</v>
      </c>
      <c r="P343" t="s">
        <v>361</v>
      </c>
      <c r="Q343" s="20">
        <v>46032.649155092593</v>
      </c>
      <c r="R343" t="s">
        <v>8</v>
      </c>
      <c r="T343" t="s">
        <v>427</v>
      </c>
    </row>
    <row r="344" spans="1:20" ht="15" customHeight="1" x14ac:dyDescent="0.25">
      <c r="A344">
        <f t="shared" si="5"/>
        <v>16</v>
      </c>
      <c r="B344" t="s">
        <v>976</v>
      </c>
      <c r="C344" t="s">
        <v>54</v>
      </c>
      <c r="D344">
        <v>203</v>
      </c>
      <c r="E3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44" t="str">
        <f ca="1">IF(Tabla142[[#This Row],[frecuencia_new]]="Diaria"," ",RANDBETWEEN(1,6))</f>
        <v xml:space="preserve"> </v>
      </c>
      <c r="G344" t="str">
        <f ca="1">IF(Tabla142[[#This Row],[frecuencia_new]]="Diaria","",IF(Tabla142[[#This Row],[frecuencia_new]]="Semanal","",IF(Tabla142[[#This Row],[frecuencia_new]]="Quincenal",RANDBETWEEN(1,2),RANDBETWEEN(1,4))))</f>
        <v/>
      </c>
      <c r="H3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4" t="s">
        <v>72</v>
      </c>
      <c r="K344">
        <f>SUM(MID(Tabla142[[#This Row],[Duración]],1,2)*60,MID(Tabla142[[#This Row],[Duración]],6,2))</f>
        <v>5</v>
      </c>
      <c r="L344" s="4" t="s">
        <v>50</v>
      </c>
      <c r="M344" t="s">
        <v>239</v>
      </c>
      <c r="N344" t="s">
        <v>378</v>
      </c>
      <c r="O344" t="s">
        <v>390</v>
      </c>
      <c r="P344" t="s">
        <v>361</v>
      </c>
      <c r="Q344" s="20">
        <v>46032.649155092593</v>
      </c>
      <c r="R344" t="s">
        <v>6</v>
      </c>
      <c r="T344" t="s">
        <v>427</v>
      </c>
    </row>
    <row r="345" spans="1:20" ht="15" customHeight="1" x14ac:dyDescent="0.25">
      <c r="A345">
        <f t="shared" si="5"/>
        <v>16</v>
      </c>
      <c r="B345" t="s">
        <v>977</v>
      </c>
      <c r="C345" t="s">
        <v>47</v>
      </c>
      <c r="D345">
        <v>203</v>
      </c>
      <c r="E3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45">
        <f ca="1">IF(Tabla142[[#This Row],[frecuencia_new]]="Diaria"," ",RANDBETWEEN(1,6))</f>
        <v>4</v>
      </c>
      <c r="G345" t="str">
        <f ca="1">IF(Tabla142[[#This Row],[frecuencia_new]]="Diaria","",IF(Tabla142[[#This Row],[frecuencia_new]]="Semanal","",IF(Tabla142[[#This Row],[frecuencia_new]]="Quincenal",RANDBETWEEN(1,2),RANDBETWEEN(1,4))))</f>
        <v/>
      </c>
      <c r="H3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5" t="s">
        <v>57</v>
      </c>
      <c r="K345">
        <f>SUM(MID(Tabla142[[#This Row],[Duración]],1,2)*60,MID(Tabla142[[#This Row],[Duración]],6,2))</f>
        <v>10</v>
      </c>
      <c r="L345" s="4" t="s">
        <v>71</v>
      </c>
      <c r="M345" t="s">
        <v>239</v>
      </c>
      <c r="N345" t="s">
        <v>378</v>
      </c>
      <c r="O345" t="s">
        <v>390</v>
      </c>
      <c r="P345" t="s">
        <v>363</v>
      </c>
      <c r="Q345" s="20">
        <v>46032.649155092593</v>
      </c>
      <c r="R345" t="s">
        <v>8</v>
      </c>
      <c r="T345" t="s">
        <v>427</v>
      </c>
    </row>
    <row r="346" spans="1:20" ht="15" customHeight="1" x14ac:dyDescent="0.25">
      <c r="A346">
        <f t="shared" si="5"/>
        <v>65</v>
      </c>
      <c r="B346" t="s">
        <v>978</v>
      </c>
      <c r="C346" t="s">
        <v>47</v>
      </c>
      <c r="D346">
        <v>204</v>
      </c>
      <c r="E3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46">
        <f ca="1">IF(Tabla142[[#This Row],[frecuencia_new]]="Diaria"," ",RANDBETWEEN(1,6))</f>
        <v>4</v>
      </c>
      <c r="G346">
        <f ca="1">IF(Tabla142[[#This Row],[frecuencia_new]]="Diaria","",IF(Tabla142[[#This Row],[frecuencia_new]]="Semanal","",IF(Tabla142[[#This Row],[frecuencia_new]]="Quincenal",RANDBETWEEN(1,2),RANDBETWEEN(1,4))))</f>
        <v>4</v>
      </c>
      <c r="H346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346" t="s">
        <v>46</v>
      </c>
      <c r="K346">
        <f>SUM(MID(Tabla142[[#This Row],[Duración]],1,2)*60,MID(Tabla142[[#This Row],[Duración]],6,2))</f>
        <v>30</v>
      </c>
      <c r="L346" t="s">
        <v>48</v>
      </c>
      <c r="M346" t="s">
        <v>239</v>
      </c>
      <c r="N346" t="s">
        <v>378</v>
      </c>
      <c r="O346" t="s">
        <v>384</v>
      </c>
      <c r="P346" t="s">
        <v>360</v>
      </c>
      <c r="Q346" s="20">
        <v>46032.649155092593</v>
      </c>
      <c r="R346" t="s">
        <v>5</v>
      </c>
      <c r="T346" t="s">
        <v>476</v>
      </c>
    </row>
    <row r="347" spans="1:20" ht="15" customHeight="1" x14ac:dyDescent="0.25">
      <c r="A347">
        <f t="shared" si="5"/>
        <v>65</v>
      </c>
      <c r="B347" t="s">
        <v>979</v>
      </c>
      <c r="C347" t="s">
        <v>47</v>
      </c>
      <c r="D347">
        <v>204</v>
      </c>
      <c r="E3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47">
        <f ca="1">IF(Tabla142[[#This Row],[frecuencia_new]]="Diaria"," ",RANDBETWEEN(1,6))</f>
        <v>3</v>
      </c>
      <c r="G347">
        <f ca="1">IF(Tabla142[[#This Row],[frecuencia_new]]="Diaria","",IF(Tabla142[[#This Row],[frecuencia_new]]="Semanal","",IF(Tabla142[[#This Row],[frecuencia_new]]="Quincenal",RANDBETWEEN(1,2),RANDBETWEEN(1,4))))</f>
        <v>4</v>
      </c>
      <c r="H3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47" t="s">
        <v>98</v>
      </c>
      <c r="K347">
        <f>SUM(MID(Tabla142[[#This Row],[Duración]],1,2)*60,MID(Tabla142[[#This Row],[Duración]],6,2))</f>
        <v>30</v>
      </c>
      <c r="L347" t="s">
        <v>48</v>
      </c>
      <c r="M347" t="s">
        <v>239</v>
      </c>
      <c r="N347" t="s">
        <v>378</v>
      </c>
      <c r="O347" t="s">
        <v>384</v>
      </c>
      <c r="P347" t="s">
        <v>360</v>
      </c>
      <c r="Q347" s="20">
        <v>46032.649155092593</v>
      </c>
      <c r="R347" t="s">
        <v>7</v>
      </c>
      <c r="T347" t="s">
        <v>476</v>
      </c>
    </row>
    <row r="348" spans="1:20" ht="15" customHeight="1" x14ac:dyDescent="0.25">
      <c r="A348">
        <f t="shared" si="5"/>
        <v>65</v>
      </c>
      <c r="B348" t="s">
        <v>980</v>
      </c>
      <c r="C348" t="s">
        <v>47</v>
      </c>
      <c r="D348">
        <v>204</v>
      </c>
      <c r="E3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48">
        <f ca="1">IF(Tabla142[[#This Row],[frecuencia_new]]="Diaria"," ",RANDBETWEEN(1,6))</f>
        <v>6</v>
      </c>
      <c r="G348">
        <f ca="1">IF(Tabla142[[#This Row],[frecuencia_new]]="Diaria","",IF(Tabla142[[#This Row],[frecuencia_new]]="Semanal","",IF(Tabla142[[#This Row],[frecuencia_new]]="Quincenal",RANDBETWEEN(1,2),RANDBETWEEN(1,4))))</f>
        <v>2</v>
      </c>
      <c r="H348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348" t="s">
        <v>52</v>
      </c>
      <c r="K348">
        <f>SUM(MID(Tabla142[[#This Row],[Duración]],1,2)*60,MID(Tabla142[[#This Row],[Duración]],6,2))</f>
        <v>30</v>
      </c>
      <c r="L348" t="s">
        <v>48</v>
      </c>
      <c r="M348" t="s">
        <v>239</v>
      </c>
      <c r="N348" t="s">
        <v>378</v>
      </c>
      <c r="O348" t="s">
        <v>384</v>
      </c>
      <c r="P348" t="s">
        <v>360</v>
      </c>
      <c r="Q348" s="20">
        <v>46032.649155092593</v>
      </c>
      <c r="R348" t="s">
        <v>5</v>
      </c>
      <c r="T348" t="s">
        <v>476</v>
      </c>
    </row>
    <row r="349" spans="1:20" ht="15" customHeight="1" x14ac:dyDescent="0.25">
      <c r="A349">
        <f t="shared" si="5"/>
        <v>65</v>
      </c>
      <c r="B349" t="s">
        <v>981</v>
      </c>
      <c r="C349" t="s">
        <v>54</v>
      </c>
      <c r="D349">
        <v>204</v>
      </c>
      <c r="E3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49">
        <f ca="1">IF(Tabla142[[#This Row],[frecuencia_new]]="Diaria"," ",RANDBETWEEN(1,6))</f>
        <v>4</v>
      </c>
      <c r="G349">
        <f ca="1">IF(Tabla142[[#This Row],[frecuencia_new]]="Diaria","",IF(Tabla142[[#This Row],[frecuencia_new]]="Semanal","",IF(Tabla142[[#This Row],[frecuencia_new]]="Quincenal",RANDBETWEEN(1,2),RANDBETWEEN(1,4))))</f>
        <v>2</v>
      </c>
      <c r="H349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349" t="s">
        <v>53</v>
      </c>
      <c r="K349">
        <f>SUM(MID(Tabla142[[#This Row],[Duración]],1,2)*60,MID(Tabla142[[#This Row],[Duración]],6,2))</f>
        <v>30</v>
      </c>
      <c r="L349" t="s">
        <v>48</v>
      </c>
      <c r="M349" t="s">
        <v>239</v>
      </c>
      <c r="N349" t="s">
        <v>378</v>
      </c>
      <c r="O349" t="s">
        <v>384</v>
      </c>
      <c r="P349" t="s">
        <v>360</v>
      </c>
      <c r="Q349" s="20">
        <v>46032.649155092593</v>
      </c>
      <c r="R349" t="s">
        <v>5</v>
      </c>
      <c r="T349" t="s">
        <v>476</v>
      </c>
    </row>
    <row r="350" spans="1:20" ht="15" customHeight="1" x14ac:dyDescent="0.25">
      <c r="A350">
        <f t="shared" si="5"/>
        <v>65</v>
      </c>
      <c r="B350" t="s">
        <v>982</v>
      </c>
      <c r="C350" t="s">
        <v>47</v>
      </c>
      <c r="D350">
        <v>204</v>
      </c>
      <c r="E3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50">
        <f ca="1">IF(Tabla142[[#This Row],[frecuencia_new]]="Diaria"," ",RANDBETWEEN(1,6))</f>
        <v>5</v>
      </c>
      <c r="G350">
        <f ca="1">IF(Tabla142[[#This Row],[frecuencia_new]]="Diaria","",IF(Tabla142[[#This Row],[frecuencia_new]]="Semanal","",IF(Tabla142[[#This Row],[frecuencia_new]]="Quincenal",RANDBETWEEN(1,2),RANDBETWEEN(1,4))))</f>
        <v>1</v>
      </c>
      <c r="H35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350" t="s">
        <v>56</v>
      </c>
      <c r="K350">
        <f>SUM(MID(Tabla142[[#This Row],[Duración]],1,2)*60,MID(Tabla142[[#This Row],[Duración]],6,2))</f>
        <v>30</v>
      </c>
      <c r="L350" t="s">
        <v>48</v>
      </c>
      <c r="M350" t="s">
        <v>239</v>
      </c>
      <c r="N350" t="s">
        <v>378</v>
      </c>
      <c r="O350" t="s">
        <v>384</v>
      </c>
      <c r="P350" t="s">
        <v>360</v>
      </c>
      <c r="Q350" s="20">
        <v>46032.649155092593</v>
      </c>
      <c r="R350" t="s">
        <v>5</v>
      </c>
      <c r="T350" t="s">
        <v>476</v>
      </c>
    </row>
    <row r="351" spans="1:20" ht="15" customHeight="1" x14ac:dyDescent="0.25">
      <c r="A351">
        <f t="shared" si="5"/>
        <v>64</v>
      </c>
      <c r="B351" t="s">
        <v>983</v>
      </c>
      <c r="C351" t="s">
        <v>47</v>
      </c>
      <c r="D351">
        <v>203</v>
      </c>
      <c r="E3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51">
        <f ca="1">IF(Tabla142[[#This Row],[frecuencia_new]]="Diaria"," ",RANDBETWEEN(1,6))</f>
        <v>6</v>
      </c>
      <c r="G351">
        <f ca="1">IF(Tabla142[[#This Row],[frecuencia_new]]="Diaria","",IF(Tabla142[[#This Row],[frecuencia_new]]="Semanal","",IF(Tabla142[[#This Row],[frecuencia_new]]="Quincenal",RANDBETWEEN(1,2),RANDBETWEEN(1,4))))</f>
        <v>4</v>
      </c>
      <c r="H351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351" t="s">
        <v>46</v>
      </c>
      <c r="K351">
        <f>SUM(MID(Tabla142[[#This Row],[Duración]],1,2)*60,MID(Tabla142[[#This Row],[Duración]],6,2))</f>
        <v>30</v>
      </c>
      <c r="L351" s="4" t="s">
        <v>48</v>
      </c>
      <c r="M351" t="s">
        <v>239</v>
      </c>
      <c r="N351" t="s">
        <v>378</v>
      </c>
      <c r="O351" t="s">
        <v>384</v>
      </c>
      <c r="P351" t="s">
        <v>360</v>
      </c>
      <c r="Q351" s="20">
        <v>46032.649155092593</v>
      </c>
      <c r="R351" t="s">
        <v>5</v>
      </c>
      <c r="T351" t="s">
        <v>475</v>
      </c>
    </row>
    <row r="352" spans="1:20" ht="15" customHeight="1" x14ac:dyDescent="0.25">
      <c r="A352">
        <f t="shared" si="5"/>
        <v>64</v>
      </c>
      <c r="B352" t="s">
        <v>984</v>
      </c>
      <c r="C352" t="s">
        <v>47</v>
      </c>
      <c r="D352">
        <v>203</v>
      </c>
      <c r="E3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52">
        <f ca="1">IF(Tabla142[[#This Row],[frecuencia_new]]="Diaria"," ",RANDBETWEEN(1,6))</f>
        <v>4</v>
      </c>
      <c r="G352">
        <f ca="1">IF(Tabla142[[#This Row],[frecuencia_new]]="Diaria","",IF(Tabla142[[#This Row],[frecuencia_new]]="Semanal","",IF(Tabla142[[#This Row],[frecuencia_new]]="Quincenal",RANDBETWEEN(1,2),RANDBETWEEN(1,4))))</f>
        <v>4</v>
      </c>
      <c r="H352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352" t="s">
        <v>52</v>
      </c>
      <c r="K352">
        <f>SUM(MID(Tabla142[[#This Row],[Duración]],1,2)*60,MID(Tabla142[[#This Row],[Duración]],6,2))</f>
        <v>30</v>
      </c>
      <c r="L352" s="4" t="s">
        <v>48</v>
      </c>
      <c r="M352" t="s">
        <v>239</v>
      </c>
      <c r="N352" t="s">
        <v>378</v>
      </c>
      <c r="O352" t="s">
        <v>384</v>
      </c>
      <c r="P352" t="s">
        <v>360</v>
      </c>
      <c r="Q352" s="20">
        <v>46032.649155092593</v>
      </c>
      <c r="R352" t="s">
        <v>5</v>
      </c>
      <c r="T352" t="s">
        <v>475</v>
      </c>
    </row>
    <row r="353" spans="1:20" ht="15" customHeight="1" x14ac:dyDescent="0.25">
      <c r="A353">
        <f t="shared" si="5"/>
        <v>64</v>
      </c>
      <c r="B353" t="s">
        <v>985</v>
      </c>
      <c r="C353" t="s">
        <v>54</v>
      </c>
      <c r="D353">
        <v>203</v>
      </c>
      <c r="E3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53">
        <f ca="1">IF(Tabla142[[#This Row],[frecuencia_new]]="Diaria"," ",RANDBETWEEN(1,6))</f>
        <v>2</v>
      </c>
      <c r="G353">
        <f ca="1">IF(Tabla142[[#This Row],[frecuencia_new]]="Diaria","",IF(Tabla142[[#This Row],[frecuencia_new]]="Semanal","",IF(Tabla142[[#This Row],[frecuencia_new]]="Quincenal",RANDBETWEEN(1,2),RANDBETWEEN(1,4))))</f>
        <v>4</v>
      </c>
      <c r="H353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353" t="s">
        <v>53</v>
      </c>
      <c r="K353">
        <f>SUM(MID(Tabla142[[#This Row],[Duración]],1,2)*60,MID(Tabla142[[#This Row],[Duración]],6,2))</f>
        <v>30</v>
      </c>
      <c r="L353" s="4" t="s">
        <v>48</v>
      </c>
      <c r="M353" t="s">
        <v>239</v>
      </c>
      <c r="N353" t="s">
        <v>378</v>
      </c>
      <c r="O353" t="s">
        <v>384</v>
      </c>
      <c r="P353" t="s">
        <v>360</v>
      </c>
      <c r="Q353" s="20">
        <v>46032.649155092593</v>
      </c>
      <c r="R353" t="s">
        <v>5</v>
      </c>
      <c r="T353" t="s">
        <v>475</v>
      </c>
    </row>
    <row r="354" spans="1:20" ht="15" customHeight="1" x14ac:dyDescent="0.25">
      <c r="A354">
        <f t="shared" si="5"/>
        <v>64</v>
      </c>
      <c r="B354" t="s">
        <v>986</v>
      </c>
      <c r="C354" t="s">
        <v>47</v>
      </c>
      <c r="D354">
        <v>203</v>
      </c>
      <c r="E3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54">
        <f ca="1">IF(Tabla142[[#This Row],[frecuencia_new]]="Diaria"," ",RANDBETWEEN(1,6))</f>
        <v>5</v>
      </c>
      <c r="G354">
        <f ca="1">IF(Tabla142[[#This Row],[frecuencia_new]]="Diaria","",IF(Tabla142[[#This Row],[frecuencia_new]]="Semanal","",IF(Tabla142[[#This Row],[frecuencia_new]]="Quincenal",RANDBETWEEN(1,2),RANDBETWEEN(1,4))))</f>
        <v>4</v>
      </c>
      <c r="H354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354" t="s">
        <v>64</v>
      </c>
      <c r="K354">
        <f>SUM(MID(Tabla142[[#This Row],[Duración]],1,2)*60,MID(Tabla142[[#This Row],[Duración]],6,2))</f>
        <v>30</v>
      </c>
      <c r="L354" s="4" t="s">
        <v>48</v>
      </c>
      <c r="M354" t="s">
        <v>239</v>
      </c>
      <c r="N354" t="s">
        <v>378</v>
      </c>
      <c r="O354" t="s">
        <v>384</v>
      </c>
      <c r="P354" t="s">
        <v>360</v>
      </c>
      <c r="Q354" s="20">
        <v>46032.649155092593</v>
      </c>
      <c r="R354" t="s">
        <v>5</v>
      </c>
      <c r="T354" t="s">
        <v>475</v>
      </c>
    </row>
    <row r="355" spans="1:20" ht="15" customHeight="1" x14ac:dyDescent="0.25">
      <c r="A355">
        <f t="shared" si="5"/>
        <v>19</v>
      </c>
      <c r="B355" t="s">
        <v>987</v>
      </c>
      <c r="C355" t="s">
        <v>47</v>
      </c>
      <c r="D355">
        <v>207</v>
      </c>
      <c r="E3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55">
        <f ca="1">IF(Tabla142[[#This Row],[frecuencia_new]]="Diaria"," ",RANDBETWEEN(1,6))</f>
        <v>6</v>
      </c>
      <c r="G355">
        <f ca="1">IF(Tabla142[[#This Row],[frecuencia_new]]="Diaria","",IF(Tabla142[[#This Row],[frecuencia_new]]="Semanal","",IF(Tabla142[[#This Row],[frecuencia_new]]="Quincenal",RANDBETWEEN(1,2),RANDBETWEEN(1,4))))</f>
        <v>2</v>
      </c>
      <c r="H3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55" t="s">
        <v>66</v>
      </c>
      <c r="K355">
        <f>SUM(MID(Tabla142[[#This Row],[Duración]],1,2)*60,MID(Tabla142[[#This Row],[Duración]],6,2))</f>
        <v>60</v>
      </c>
      <c r="L355" s="4" t="s">
        <v>58</v>
      </c>
      <c r="M355" t="s">
        <v>239</v>
      </c>
      <c r="N355" t="s">
        <v>297</v>
      </c>
      <c r="O355" t="s">
        <v>390</v>
      </c>
      <c r="P355" t="s">
        <v>363</v>
      </c>
      <c r="Q355" s="20">
        <v>46032.649155092593</v>
      </c>
      <c r="R355" t="s">
        <v>7</v>
      </c>
      <c r="T355" t="s">
        <v>430</v>
      </c>
    </row>
    <row r="356" spans="1:20" ht="15" customHeight="1" x14ac:dyDescent="0.25">
      <c r="A356">
        <f t="shared" si="5"/>
        <v>19</v>
      </c>
      <c r="B356" t="s">
        <v>988</v>
      </c>
      <c r="C356" t="s">
        <v>47</v>
      </c>
      <c r="D356">
        <v>207</v>
      </c>
      <c r="E3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56" t="str">
        <f ca="1">IF(Tabla142[[#This Row],[frecuencia_new]]="Diaria"," ",RANDBETWEEN(1,6))</f>
        <v xml:space="preserve"> </v>
      </c>
      <c r="G356" t="str">
        <f ca="1">IF(Tabla142[[#This Row],[frecuencia_new]]="Diaria","",IF(Tabla142[[#This Row],[frecuencia_new]]="Semanal","",IF(Tabla142[[#This Row],[frecuencia_new]]="Quincenal",RANDBETWEEN(1,2),RANDBETWEEN(1,4))))</f>
        <v/>
      </c>
      <c r="H3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56" t="s">
        <v>67</v>
      </c>
      <c r="K356">
        <f>SUM(MID(Tabla142[[#This Row],[Duración]],1,2)*60,MID(Tabla142[[#This Row],[Duración]],6,2))</f>
        <v>5</v>
      </c>
      <c r="L356" s="4" t="s">
        <v>50</v>
      </c>
      <c r="M356" t="s">
        <v>239</v>
      </c>
      <c r="N356" t="s">
        <v>297</v>
      </c>
      <c r="O356" t="s">
        <v>390</v>
      </c>
      <c r="P356" t="s">
        <v>361</v>
      </c>
      <c r="Q356" s="20">
        <v>46032.649155092593</v>
      </c>
      <c r="R356" t="s">
        <v>6</v>
      </c>
      <c r="T356" t="s">
        <v>430</v>
      </c>
    </row>
    <row r="357" spans="1:20" ht="15" customHeight="1" x14ac:dyDescent="0.25">
      <c r="A357">
        <f t="shared" si="5"/>
        <v>19</v>
      </c>
      <c r="B357" t="s">
        <v>989</v>
      </c>
      <c r="C357" t="s">
        <v>47</v>
      </c>
      <c r="D357">
        <v>207</v>
      </c>
      <c r="E3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57" t="str">
        <f ca="1">IF(Tabla142[[#This Row],[frecuencia_new]]="Diaria"," ",RANDBETWEEN(1,6))</f>
        <v xml:space="preserve"> </v>
      </c>
      <c r="G357" t="str">
        <f ca="1">IF(Tabla142[[#This Row],[frecuencia_new]]="Diaria","",IF(Tabla142[[#This Row],[frecuencia_new]]="Semanal","",IF(Tabla142[[#This Row],[frecuencia_new]]="Quincenal",RANDBETWEEN(1,2),RANDBETWEEN(1,4))))</f>
        <v/>
      </c>
      <c r="H3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57" t="s">
        <v>68</v>
      </c>
      <c r="K357">
        <f>SUM(MID(Tabla142[[#This Row],[Duración]],1,2)*60,MID(Tabla142[[#This Row],[Duración]],6,2))</f>
        <v>5</v>
      </c>
      <c r="L357" s="4" t="s">
        <v>50</v>
      </c>
      <c r="M357" t="s">
        <v>239</v>
      </c>
      <c r="N357" t="s">
        <v>297</v>
      </c>
      <c r="O357" t="s">
        <v>390</v>
      </c>
      <c r="P357" t="s">
        <v>361</v>
      </c>
      <c r="Q357" s="20">
        <v>46032.649155092593</v>
      </c>
      <c r="R357" t="s">
        <v>6</v>
      </c>
      <c r="T357" t="s">
        <v>430</v>
      </c>
    </row>
    <row r="358" spans="1:20" ht="15" customHeight="1" x14ac:dyDescent="0.25">
      <c r="A358">
        <f t="shared" si="5"/>
        <v>19</v>
      </c>
      <c r="B358" t="s">
        <v>990</v>
      </c>
      <c r="C358" t="s">
        <v>47</v>
      </c>
      <c r="D358">
        <v>207</v>
      </c>
      <c r="E3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58">
        <f ca="1">IF(Tabla142[[#This Row],[frecuencia_new]]="Diaria"," ",RANDBETWEEN(1,6))</f>
        <v>6</v>
      </c>
      <c r="G358">
        <f ca="1">IF(Tabla142[[#This Row],[frecuencia_new]]="Diaria","",IF(Tabla142[[#This Row],[frecuencia_new]]="Semanal","",IF(Tabla142[[#This Row],[frecuencia_new]]="Quincenal",RANDBETWEEN(1,2),RANDBETWEEN(1,4))))</f>
        <v>2</v>
      </c>
      <c r="H35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58" t="s">
        <v>69</v>
      </c>
      <c r="K358">
        <f>SUM(MID(Tabla142[[#This Row],[Duración]],1,2)*60,MID(Tabla142[[#This Row],[Duración]],6,2))</f>
        <v>60</v>
      </c>
      <c r="L358" s="4" t="s">
        <v>58</v>
      </c>
      <c r="M358" t="s">
        <v>239</v>
      </c>
      <c r="N358" t="s">
        <v>297</v>
      </c>
      <c r="O358" t="s">
        <v>390</v>
      </c>
      <c r="P358" t="s">
        <v>361</v>
      </c>
      <c r="Q358" s="20">
        <v>46032.649155092593</v>
      </c>
      <c r="R358" t="s">
        <v>7</v>
      </c>
      <c r="T358" t="s">
        <v>430</v>
      </c>
    </row>
    <row r="359" spans="1:20" ht="15" customHeight="1" x14ac:dyDescent="0.25">
      <c r="A359">
        <f t="shared" si="5"/>
        <v>19</v>
      </c>
      <c r="B359" t="s">
        <v>991</v>
      </c>
      <c r="C359" t="s">
        <v>47</v>
      </c>
      <c r="D359">
        <v>207</v>
      </c>
      <c r="E3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59">
        <f ca="1">IF(Tabla142[[#This Row],[frecuencia_new]]="Diaria"," ",RANDBETWEEN(1,6))</f>
        <v>1</v>
      </c>
      <c r="G359" t="str">
        <f ca="1">IF(Tabla142[[#This Row],[frecuencia_new]]="Diaria","",IF(Tabla142[[#This Row],[frecuencia_new]]="Semanal","",IF(Tabla142[[#This Row],[frecuencia_new]]="Quincenal",RANDBETWEEN(1,2),RANDBETWEEN(1,4))))</f>
        <v/>
      </c>
      <c r="H35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59" t="s">
        <v>70</v>
      </c>
      <c r="K359">
        <f>SUM(MID(Tabla142[[#This Row],[Duración]],1,2)*60,MID(Tabla142[[#This Row],[Duración]],6,2))</f>
        <v>30</v>
      </c>
      <c r="L359" s="4" t="s">
        <v>48</v>
      </c>
      <c r="M359" t="s">
        <v>239</v>
      </c>
      <c r="N359" t="s">
        <v>297</v>
      </c>
      <c r="O359" t="s">
        <v>390</v>
      </c>
      <c r="P359" t="s">
        <v>361</v>
      </c>
      <c r="Q359" s="20">
        <v>46032.649155092593</v>
      </c>
      <c r="R359" t="s">
        <v>8</v>
      </c>
      <c r="T359" t="s">
        <v>430</v>
      </c>
    </row>
    <row r="360" spans="1:20" ht="15" customHeight="1" x14ac:dyDescent="0.25">
      <c r="A360">
        <f t="shared" si="5"/>
        <v>19</v>
      </c>
      <c r="B360" t="s">
        <v>992</v>
      </c>
      <c r="C360" t="s">
        <v>54</v>
      </c>
      <c r="D360">
        <v>207</v>
      </c>
      <c r="E3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60" t="str">
        <f ca="1">IF(Tabla142[[#This Row],[frecuencia_new]]="Diaria"," ",RANDBETWEEN(1,6))</f>
        <v xml:space="preserve"> </v>
      </c>
      <c r="G360" t="str">
        <f ca="1">IF(Tabla142[[#This Row],[frecuencia_new]]="Diaria","",IF(Tabla142[[#This Row],[frecuencia_new]]="Semanal","",IF(Tabla142[[#This Row],[frecuencia_new]]="Quincenal",RANDBETWEEN(1,2),RANDBETWEEN(1,4))))</f>
        <v/>
      </c>
      <c r="H3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0" t="s">
        <v>72</v>
      </c>
      <c r="K360">
        <f>SUM(MID(Tabla142[[#This Row],[Duración]],1,2)*60,MID(Tabla142[[#This Row],[Duración]],6,2))</f>
        <v>5</v>
      </c>
      <c r="L360" s="4" t="s">
        <v>50</v>
      </c>
      <c r="M360" t="s">
        <v>239</v>
      </c>
      <c r="N360" t="s">
        <v>297</v>
      </c>
      <c r="O360" t="s">
        <v>390</v>
      </c>
      <c r="P360" t="s">
        <v>361</v>
      </c>
      <c r="Q360" s="20">
        <v>46032.649155092593</v>
      </c>
      <c r="R360" t="s">
        <v>6</v>
      </c>
      <c r="T360" t="s">
        <v>430</v>
      </c>
    </row>
    <row r="361" spans="1:20" ht="15" customHeight="1" x14ac:dyDescent="0.25">
      <c r="A361">
        <f t="shared" si="5"/>
        <v>19</v>
      </c>
      <c r="B361" t="s">
        <v>993</v>
      </c>
      <c r="C361" t="s">
        <v>47</v>
      </c>
      <c r="D361">
        <v>207</v>
      </c>
      <c r="E3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61">
        <f ca="1">IF(Tabla142[[#This Row],[frecuencia_new]]="Diaria"," ",RANDBETWEEN(1,6))</f>
        <v>5</v>
      </c>
      <c r="G361" t="str">
        <f ca="1">IF(Tabla142[[#This Row],[frecuencia_new]]="Diaria","",IF(Tabla142[[#This Row],[frecuencia_new]]="Semanal","",IF(Tabla142[[#This Row],[frecuencia_new]]="Quincenal",RANDBETWEEN(1,2),RANDBETWEEN(1,4))))</f>
        <v/>
      </c>
      <c r="H36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1" t="s">
        <v>57</v>
      </c>
      <c r="K361">
        <f>SUM(MID(Tabla142[[#This Row],[Duración]],1,2)*60,MID(Tabla142[[#This Row],[Duración]],6,2))</f>
        <v>10</v>
      </c>
      <c r="L361" s="4" t="s">
        <v>71</v>
      </c>
      <c r="M361" t="s">
        <v>239</v>
      </c>
      <c r="N361" t="s">
        <v>297</v>
      </c>
      <c r="O361" t="s">
        <v>390</v>
      </c>
      <c r="P361" t="s">
        <v>363</v>
      </c>
      <c r="Q361" s="20">
        <v>46032.649155092593</v>
      </c>
      <c r="R361" t="s">
        <v>8</v>
      </c>
      <c r="T361" t="s">
        <v>430</v>
      </c>
    </row>
    <row r="362" spans="1:20" ht="15" customHeight="1" x14ac:dyDescent="0.25">
      <c r="A362">
        <f t="shared" si="5"/>
        <v>67</v>
      </c>
      <c r="B362" t="s">
        <v>994</v>
      </c>
      <c r="C362" t="s">
        <v>47</v>
      </c>
      <c r="D362">
        <v>207</v>
      </c>
      <c r="E3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62">
        <f ca="1">IF(Tabla142[[#This Row],[frecuencia_new]]="Diaria"," ",RANDBETWEEN(1,6))</f>
        <v>5</v>
      </c>
      <c r="G362">
        <f ca="1">IF(Tabla142[[#This Row],[frecuencia_new]]="Diaria","",IF(Tabla142[[#This Row],[frecuencia_new]]="Semanal","",IF(Tabla142[[#This Row],[frecuencia_new]]="Quincenal",RANDBETWEEN(1,2),RANDBETWEEN(1,4))))</f>
        <v>4</v>
      </c>
      <c r="H362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362" t="s">
        <v>46</v>
      </c>
      <c r="K362">
        <f>SUM(MID(Tabla142[[#This Row],[Duración]],1,2)*60,MID(Tabla142[[#This Row],[Duración]],6,2))</f>
        <v>30</v>
      </c>
      <c r="L362" s="4" t="s">
        <v>48</v>
      </c>
      <c r="M362" t="s">
        <v>239</v>
      </c>
      <c r="N362" t="s">
        <v>297</v>
      </c>
      <c r="O362" t="s">
        <v>384</v>
      </c>
      <c r="P362" t="s">
        <v>360</v>
      </c>
      <c r="Q362" s="20">
        <v>46032.649155092593</v>
      </c>
      <c r="R362" t="s">
        <v>5</v>
      </c>
      <c r="T362" t="s">
        <v>478</v>
      </c>
    </row>
    <row r="363" spans="1:20" ht="15" customHeight="1" x14ac:dyDescent="0.25">
      <c r="A363">
        <f t="shared" si="5"/>
        <v>67</v>
      </c>
      <c r="B363" t="s">
        <v>995</v>
      </c>
      <c r="C363" t="s">
        <v>47</v>
      </c>
      <c r="D363">
        <v>207</v>
      </c>
      <c r="E3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63">
        <f ca="1">IF(Tabla142[[#This Row],[frecuencia_new]]="Diaria"," ",RANDBETWEEN(1,6))</f>
        <v>1</v>
      </c>
      <c r="G363">
        <f ca="1">IF(Tabla142[[#This Row],[frecuencia_new]]="Diaria","",IF(Tabla142[[#This Row],[frecuencia_new]]="Semanal","",IF(Tabla142[[#This Row],[frecuencia_new]]="Quincenal",RANDBETWEEN(1,2),RANDBETWEEN(1,4))))</f>
        <v>1</v>
      </c>
      <c r="H36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3" t="s">
        <v>52</v>
      </c>
      <c r="K363">
        <f>SUM(MID(Tabla142[[#This Row],[Duración]],1,2)*60,MID(Tabla142[[#This Row],[Duración]],6,2))</f>
        <v>30</v>
      </c>
      <c r="L363" s="4" t="s">
        <v>48</v>
      </c>
      <c r="M363" t="s">
        <v>239</v>
      </c>
      <c r="N363" t="s">
        <v>297</v>
      </c>
      <c r="O363" t="s">
        <v>384</v>
      </c>
      <c r="P363" t="s">
        <v>360</v>
      </c>
      <c r="Q363" s="20">
        <v>46032.649155092593</v>
      </c>
      <c r="R363" t="s">
        <v>7</v>
      </c>
      <c r="T363" t="s">
        <v>478</v>
      </c>
    </row>
    <row r="364" spans="1:20" ht="15" customHeight="1" x14ac:dyDescent="0.25">
      <c r="A364">
        <f t="shared" si="5"/>
        <v>67</v>
      </c>
      <c r="B364" t="s">
        <v>996</v>
      </c>
      <c r="C364" t="s">
        <v>54</v>
      </c>
      <c r="D364">
        <v>207</v>
      </c>
      <c r="E3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64">
        <f ca="1">IF(Tabla142[[#This Row],[frecuencia_new]]="Diaria"," ",RANDBETWEEN(1,6))</f>
        <v>5</v>
      </c>
      <c r="G364">
        <f ca="1">IF(Tabla142[[#This Row],[frecuencia_new]]="Diaria","",IF(Tabla142[[#This Row],[frecuencia_new]]="Semanal","",IF(Tabla142[[#This Row],[frecuencia_new]]="Quincenal",RANDBETWEEN(1,2),RANDBETWEEN(1,4))))</f>
        <v>4</v>
      </c>
      <c r="H3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4" t="s">
        <v>53</v>
      </c>
      <c r="K364">
        <f>SUM(MID(Tabla142[[#This Row],[Duración]],1,2)*60,MID(Tabla142[[#This Row],[Duración]],6,2))</f>
        <v>30</v>
      </c>
      <c r="L364" s="4" t="s">
        <v>48</v>
      </c>
      <c r="M364" t="s">
        <v>239</v>
      </c>
      <c r="N364" t="s">
        <v>297</v>
      </c>
      <c r="O364" t="s">
        <v>384</v>
      </c>
      <c r="P364" t="s">
        <v>360</v>
      </c>
      <c r="Q364" s="20">
        <v>46032.649155092593</v>
      </c>
      <c r="R364" t="s">
        <v>7</v>
      </c>
      <c r="T364" t="s">
        <v>478</v>
      </c>
    </row>
    <row r="365" spans="1:20" ht="15" customHeight="1" x14ac:dyDescent="0.25">
      <c r="A365">
        <f t="shared" si="5"/>
        <v>67</v>
      </c>
      <c r="B365" t="s">
        <v>997</v>
      </c>
      <c r="C365" t="s">
        <v>47</v>
      </c>
      <c r="D365">
        <v>207</v>
      </c>
      <c r="E3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65">
        <f ca="1">IF(Tabla142[[#This Row],[frecuencia_new]]="Diaria"," ",RANDBETWEEN(1,6))</f>
        <v>4</v>
      </c>
      <c r="G365">
        <f ca="1">IF(Tabla142[[#This Row],[frecuencia_new]]="Diaria","",IF(Tabla142[[#This Row],[frecuencia_new]]="Semanal","",IF(Tabla142[[#This Row],[frecuencia_new]]="Quincenal",RANDBETWEEN(1,2),RANDBETWEEN(1,4))))</f>
        <v>2</v>
      </c>
      <c r="H3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5" t="s">
        <v>64</v>
      </c>
      <c r="K365">
        <f>SUM(MID(Tabla142[[#This Row],[Duración]],1,2)*60,MID(Tabla142[[#This Row],[Duración]],6,2))</f>
        <v>30</v>
      </c>
      <c r="L365" s="4" t="s">
        <v>48</v>
      </c>
      <c r="M365" t="s">
        <v>239</v>
      </c>
      <c r="N365" t="s">
        <v>297</v>
      </c>
      <c r="O365" t="s">
        <v>384</v>
      </c>
      <c r="P365" t="s">
        <v>360</v>
      </c>
      <c r="Q365" s="20">
        <v>46032.649155092593</v>
      </c>
      <c r="R365" t="s">
        <v>1846</v>
      </c>
      <c r="T365" t="s">
        <v>478</v>
      </c>
    </row>
    <row r="366" spans="1:20" ht="15" customHeight="1" x14ac:dyDescent="0.25">
      <c r="A366">
        <f t="shared" si="5"/>
        <v>18</v>
      </c>
      <c r="B366" t="s">
        <v>998</v>
      </c>
      <c r="C366" t="s">
        <v>54</v>
      </c>
      <c r="D366">
        <v>205</v>
      </c>
      <c r="E3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66" t="str">
        <f ca="1">IF(Tabla142[[#This Row],[frecuencia_new]]="Diaria"," ",RANDBETWEEN(1,6))</f>
        <v xml:space="preserve"> </v>
      </c>
      <c r="G366" t="str">
        <f ca="1">IF(Tabla142[[#This Row],[frecuencia_new]]="Diaria","",IF(Tabla142[[#This Row],[frecuencia_new]]="Semanal","",IF(Tabla142[[#This Row],[frecuencia_new]]="Quincenal",RANDBETWEEN(1,2),RANDBETWEEN(1,4))))</f>
        <v/>
      </c>
      <c r="H3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6" t="s">
        <v>112</v>
      </c>
      <c r="K366">
        <f>SUM(MID(Tabla142[[#This Row],[Duración]],1,2)*60,MID(Tabla142[[#This Row],[Duración]],6,2))</f>
        <v>0</v>
      </c>
      <c r="L366" t="s">
        <v>89</v>
      </c>
      <c r="M366" t="s">
        <v>239</v>
      </c>
      <c r="N366" t="s">
        <v>297</v>
      </c>
      <c r="O366" t="s">
        <v>390</v>
      </c>
      <c r="P366" t="s">
        <v>361</v>
      </c>
      <c r="Q366" s="20">
        <v>46032.649155092593</v>
      </c>
      <c r="R366" t="s">
        <v>6</v>
      </c>
      <c r="T366" t="s">
        <v>429</v>
      </c>
    </row>
    <row r="367" spans="1:20" ht="15" customHeight="1" x14ac:dyDescent="0.25">
      <c r="A367">
        <f t="shared" si="5"/>
        <v>18</v>
      </c>
      <c r="B367" t="s">
        <v>999</v>
      </c>
      <c r="C367" t="s">
        <v>47</v>
      </c>
      <c r="D367">
        <v>205</v>
      </c>
      <c r="E3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67" t="str">
        <f ca="1">IF(Tabla142[[#This Row],[frecuencia_new]]="Diaria"," ",RANDBETWEEN(1,6))</f>
        <v xml:space="preserve"> </v>
      </c>
      <c r="G367" t="str">
        <f ca="1">IF(Tabla142[[#This Row],[frecuencia_new]]="Diaria","",IF(Tabla142[[#This Row],[frecuencia_new]]="Semanal","",IF(Tabla142[[#This Row],[frecuencia_new]]="Quincenal",RANDBETWEEN(1,2),RANDBETWEEN(1,4))))</f>
        <v/>
      </c>
      <c r="H3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7" t="s">
        <v>106</v>
      </c>
      <c r="K367">
        <f>SUM(MID(Tabla142[[#This Row],[Duración]],1,2)*60,MID(Tabla142[[#This Row],[Duración]],6,2))</f>
        <v>5</v>
      </c>
      <c r="L367" t="s">
        <v>50</v>
      </c>
      <c r="M367" t="s">
        <v>239</v>
      </c>
      <c r="N367" t="s">
        <v>297</v>
      </c>
      <c r="O367" t="s">
        <v>390</v>
      </c>
      <c r="P367" t="s">
        <v>361</v>
      </c>
      <c r="Q367" s="20">
        <v>46032.649155092593</v>
      </c>
      <c r="R367" t="s">
        <v>6</v>
      </c>
      <c r="T367" t="s">
        <v>429</v>
      </c>
    </row>
    <row r="368" spans="1:20" ht="15" customHeight="1" x14ac:dyDescent="0.25">
      <c r="A368">
        <f t="shared" si="5"/>
        <v>18</v>
      </c>
      <c r="B368" t="s">
        <v>1000</v>
      </c>
      <c r="C368" t="s">
        <v>47</v>
      </c>
      <c r="D368">
        <v>205</v>
      </c>
      <c r="E3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68" t="str">
        <f ca="1">IF(Tabla142[[#This Row],[frecuencia_new]]="Diaria"," ",RANDBETWEEN(1,6))</f>
        <v xml:space="preserve"> </v>
      </c>
      <c r="G368" t="str">
        <f ca="1">IF(Tabla142[[#This Row],[frecuencia_new]]="Diaria","",IF(Tabla142[[#This Row],[frecuencia_new]]="Semanal","",IF(Tabla142[[#This Row],[frecuencia_new]]="Quincenal",RANDBETWEEN(1,2),RANDBETWEEN(1,4))))</f>
        <v/>
      </c>
      <c r="H3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8" t="s">
        <v>113</v>
      </c>
      <c r="K368">
        <f>SUM(MID(Tabla142[[#This Row],[Duración]],1,2)*60,MID(Tabla142[[#This Row],[Duración]],6,2))</f>
        <v>0</v>
      </c>
      <c r="L368" t="s">
        <v>89</v>
      </c>
      <c r="M368" t="s">
        <v>239</v>
      </c>
      <c r="N368" t="s">
        <v>297</v>
      </c>
      <c r="O368" t="s">
        <v>390</v>
      </c>
      <c r="P368" t="s">
        <v>361</v>
      </c>
      <c r="Q368" s="20">
        <v>46032.649155092593</v>
      </c>
      <c r="R368" t="s">
        <v>6</v>
      </c>
      <c r="T368" t="s">
        <v>429</v>
      </c>
    </row>
    <row r="369" spans="1:20" ht="15" customHeight="1" x14ac:dyDescent="0.25">
      <c r="A369">
        <f t="shared" si="5"/>
        <v>18</v>
      </c>
      <c r="B369" t="s">
        <v>1001</v>
      </c>
      <c r="C369" t="s">
        <v>47</v>
      </c>
      <c r="D369">
        <v>205</v>
      </c>
      <c r="E3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69">
        <f ca="1">IF(Tabla142[[#This Row],[frecuencia_new]]="Diaria"," ",RANDBETWEEN(1,6))</f>
        <v>5</v>
      </c>
      <c r="G369" t="str">
        <f ca="1">IF(Tabla142[[#This Row],[frecuencia_new]]="Diaria","",IF(Tabla142[[#This Row],[frecuencia_new]]="Semanal","",IF(Tabla142[[#This Row],[frecuencia_new]]="Quincenal",RANDBETWEEN(1,2),RANDBETWEEN(1,4))))</f>
        <v/>
      </c>
      <c r="H3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69" t="s">
        <v>379</v>
      </c>
      <c r="K369">
        <f>SUM(MID(Tabla142[[#This Row],[Duración]],1,2)*60,MID(Tabla142[[#This Row],[Duración]],6,2))</f>
        <v>60</v>
      </c>
      <c r="L369" t="s">
        <v>58</v>
      </c>
      <c r="M369" t="s">
        <v>239</v>
      </c>
      <c r="N369" t="s">
        <v>297</v>
      </c>
      <c r="O369" t="s">
        <v>390</v>
      </c>
      <c r="P369" t="s">
        <v>363</v>
      </c>
      <c r="Q369" s="20">
        <v>46032.649155092593</v>
      </c>
      <c r="R369" t="s">
        <v>8</v>
      </c>
      <c r="T369" t="s">
        <v>429</v>
      </c>
    </row>
    <row r="370" spans="1:20" ht="15" customHeight="1" x14ac:dyDescent="0.25">
      <c r="A370">
        <f t="shared" si="5"/>
        <v>66</v>
      </c>
      <c r="B370" t="s">
        <v>1002</v>
      </c>
      <c r="C370" t="s">
        <v>47</v>
      </c>
      <c r="D370">
        <v>205</v>
      </c>
      <c r="E3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70">
        <f ca="1">IF(Tabla142[[#This Row],[frecuencia_new]]="Diaria"," ",RANDBETWEEN(1,6))</f>
        <v>4</v>
      </c>
      <c r="G370">
        <f ca="1">IF(Tabla142[[#This Row],[frecuencia_new]]="Diaria","",IF(Tabla142[[#This Row],[frecuencia_new]]="Semanal","",IF(Tabla142[[#This Row],[frecuencia_new]]="Quincenal",RANDBETWEEN(1,2),RANDBETWEEN(1,4))))</f>
        <v>2</v>
      </c>
      <c r="H3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70" t="s">
        <v>46</v>
      </c>
      <c r="K370">
        <f>SUM(MID(Tabla142[[#This Row],[Duración]],1,2)*60,MID(Tabla142[[#This Row],[Duración]],6,2))</f>
        <v>30</v>
      </c>
      <c r="L370" t="s">
        <v>48</v>
      </c>
      <c r="M370" t="s">
        <v>239</v>
      </c>
      <c r="N370" t="s">
        <v>297</v>
      </c>
      <c r="O370" t="s">
        <v>384</v>
      </c>
      <c r="P370" t="s">
        <v>360</v>
      </c>
      <c r="Q370" s="20">
        <v>46032.649155092593</v>
      </c>
      <c r="R370" t="s">
        <v>7</v>
      </c>
      <c r="T370" t="s">
        <v>477</v>
      </c>
    </row>
    <row r="371" spans="1:20" ht="15" customHeight="1" x14ac:dyDescent="0.25">
      <c r="A371">
        <f t="shared" si="5"/>
        <v>66</v>
      </c>
      <c r="B371" t="s">
        <v>1003</v>
      </c>
      <c r="C371" t="s">
        <v>47</v>
      </c>
      <c r="D371">
        <v>205</v>
      </c>
      <c r="E3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71">
        <f ca="1">IF(Tabla142[[#This Row],[frecuencia_new]]="Diaria"," ",RANDBETWEEN(1,6))</f>
        <v>6</v>
      </c>
      <c r="G371">
        <f ca="1">IF(Tabla142[[#This Row],[frecuencia_new]]="Diaria","",IF(Tabla142[[#This Row],[frecuencia_new]]="Semanal","",IF(Tabla142[[#This Row],[frecuencia_new]]="Quincenal",RANDBETWEEN(1,2),RANDBETWEEN(1,4))))</f>
        <v>3</v>
      </c>
      <c r="H3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71" t="s">
        <v>105</v>
      </c>
      <c r="K371">
        <f>SUM(MID(Tabla142[[#This Row],[Duración]],1,2)*60,MID(Tabla142[[#This Row],[Duración]],6,2))</f>
        <v>60</v>
      </c>
      <c r="L371" t="s">
        <v>58</v>
      </c>
      <c r="M371" t="s">
        <v>239</v>
      </c>
      <c r="N371" t="s">
        <v>297</v>
      </c>
      <c r="O371" t="s">
        <v>384</v>
      </c>
      <c r="P371" t="s">
        <v>360</v>
      </c>
      <c r="Q371" s="20">
        <v>46032.649155092593</v>
      </c>
      <c r="R371" t="s">
        <v>7</v>
      </c>
      <c r="T371" t="s">
        <v>477</v>
      </c>
    </row>
    <row r="372" spans="1:20" ht="15" customHeight="1" x14ac:dyDescent="0.25">
      <c r="A372">
        <f t="shared" si="5"/>
        <v>66</v>
      </c>
      <c r="B372" t="s">
        <v>1004</v>
      </c>
      <c r="C372" t="s">
        <v>47</v>
      </c>
      <c r="D372">
        <v>205</v>
      </c>
      <c r="E3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72">
        <f ca="1">IF(Tabla142[[#This Row],[frecuencia_new]]="Diaria"," ",RANDBETWEEN(1,6))</f>
        <v>4</v>
      </c>
      <c r="G372">
        <f ca="1">IF(Tabla142[[#This Row],[frecuencia_new]]="Diaria","",IF(Tabla142[[#This Row],[frecuencia_new]]="Semanal","",IF(Tabla142[[#This Row],[frecuencia_new]]="Quincenal",RANDBETWEEN(1,2),RANDBETWEEN(1,4))))</f>
        <v>4</v>
      </c>
      <c r="H3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72" t="s">
        <v>52</v>
      </c>
      <c r="K372">
        <f>SUM(MID(Tabla142[[#This Row],[Duración]],1,2)*60,MID(Tabla142[[#This Row],[Duración]],6,2))</f>
        <v>30</v>
      </c>
      <c r="L372" t="s">
        <v>48</v>
      </c>
      <c r="M372" t="s">
        <v>239</v>
      </c>
      <c r="N372" t="s">
        <v>297</v>
      </c>
      <c r="O372" t="s">
        <v>384</v>
      </c>
      <c r="P372" t="s">
        <v>360</v>
      </c>
      <c r="Q372" s="20">
        <v>46032.649155092593</v>
      </c>
      <c r="R372" t="s">
        <v>7</v>
      </c>
      <c r="T372" t="s">
        <v>477</v>
      </c>
    </row>
    <row r="373" spans="1:20" ht="15" customHeight="1" x14ac:dyDescent="0.25">
      <c r="A373">
        <f t="shared" si="5"/>
        <v>66</v>
      </c>
      <c r="B373" t="s">
        <v>1005</v>
      </c>
      <c r="C373" t="s">
        <v>54</v>
      </c>
      <c r="D373">
        <v>205</v>
      </c>
      <c r="E3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73">
        <f ca="1">IF(Tabla142[[#This Row],[frecuencia_new]]="Diaria"," ",RANDBETWEEN(1,6))</f>
        <v>3</v>
      </c>
      <c r="G373">
        <f ca="1">IF(Tabla142[[#This Row],[frecuencia_new]]="Diaria","",IF(Tabla142[[#This Row],[frecuencia_new]]="Semanal","",IF(Tabla142[[#This Row],[frecuencia_new]]="Quincenal",RANDBETWEEN(1,2),RANDBETWEEN(1,4))))</f>
        <v>2</v>
      </c>
      <c r="H37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73" t="s">
        <v>53</v>
      </c>
      <c r="K373">
        <f>SUM(MID(Tabla142[[#This Row],[Duración]],1,2)*60,MID(Tabla142[[#This Row],[Duración]],6,2))</f>
        <v>30</v>
      </c>
      <c r="L373" t="s">
        <v>48</v>
      </c>
      <c r="M373" t="s">
        <v>239</v>
      </c>
      <c r="N373" t="s">
        <v>297</v>
      </c>
      <c r="O373" t="s">
        <v>384</v>
      </c>
      <c r="P373" t="s">
        <v>360</v>
      </c>
      <c r="Q373" s="20">
        <v>46032.649155092593</v>
      </c>
      <c r="R373" t="s">
        <v>7</v>
      </c>
      <c r="T373" t="s">
        <v>477</v>
      </c>
    </row>
    <row r="374" spans="1:20" ht="15" customHeight="1" x14ac:dyDescent="0.25">
      <c r="A374">
        <f t="shared" si="5"/>
        <v>66</v>
      </c>
      <c r="B374" t="s">
        <v>1006</v>
      </c>
      <c r="C374" t="s">
        <v>47</v>
      </c>
      <c r="D374">
        <v>205</v>
      </c>
      <c r="E3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74">
        <f ca="1">IF(Tabla142[[#This Row],[frecuencia_new]]="Diaria"," ",RANDBETWEEN(1,6))</f>
        <v>6</v>
      </c>
      <c r="G374">
        <f ca="1">IF(Tabla142[[#This Row],[frecuencia_new]]="Diaria","",IF(Tabla142[[#This Row],[frecuencia_new]]="Semanal","",IF(Tabla142[[#This Row],[frecuencia_new]]="Quincenal",RANDBETWEEN(1,2),RANDBETWEEN(1,4))))</f>
        <v>1</v>
      </c>
      <c r="H37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74" t="s">
        <v>64</v>
      </c>
      <c r="K374">
        <f>SUM(MID(Tabla142[[#This Row],[Duración]],1,2)*60,MID(Tabla142[[#This Row],[Duración]],6,2))</f>
        <v>30</v>
      </c>
      <c r="L374" t="s">
        <v>48</v>
      </c>
      <c r="M374" t="s">
        <v>239</v>
      </c>
      <c r="N374" t="s">
        <v>297</v>
      </c>
      <c r="O374" t="s">
        <v>384</v>
      </c>
      <c r="P374" t="s">
        <v>360</v>
      </c>
      <c r="Q374" s="20">
        <v>46032.649155092593</v>
      </c>
      <c r="R374" t="s">
        <v>1846</v>
      </c>
      <c r="T374" t="s">
        <v>477</v>
      </c>
    </row>
    <row r="375" spans="1:20" ht="15" customHeight="1" x14ac:dyDescent="0.25">
      <c r="A375">
        <f t="shared" si="5"/>
        <v>23</v>
      </c>
      <c r="B375" t="s">
        <v>1007</v>
      </c>
      <c r="C375" t="s">
        <v>47</v>
      </c>
      <c r="D375">
        <v>5</v>
      </c>
      <c r="E3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75">
        <f ca="1">IF(Tabla142[[#This Row],[frecuencia_new]]="Diaria"," ",RANDBETWEEN(1,6))</f>
        <v>2</v>
      </c>
      <c r="G375">
        <f ca="1">IF(Tabla142[[#This Row],[frecuencia_new]]="Diaria","",IF(Tabla142[[#This Row],[frecuencia_new]]="Semanal","",IF(Tabla142[[#This Row],[frecuencia_new]]="Quincenal",RANDBETWEEN(1,2),RANDBETWEEN(1,4))))</f>
        <v>3</v>
      </c>
      <c r="H375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375" t="s">
        <v>46</v>
      </c>
      <c r="K375">
        <f>SUM(MID(Tabla142[[#This Row],[Duración]],1,2)*60,MID(Tabla142[[#This Row],[Duración]],6,2))</f>
        <v>30</v>
      </c>
      <c r="L375" s="4" t="s">
        <v>48</v>
      </c>
      <c r="M375" t="s">
        <v>239</v>
      </c>
      <c r="N375" t="s">
        <v>299</v>
      </c>
      <c r="O375" t="s">
        <v>384</v>
      </c>
      <c r="P375" t="s">
        <v>360</v>
      </c>
      <c r="Q375" s="20">
        <v>46032.649155092593</v>
      </c>
      <c r="R375" t="s">
        <v>5</v>
      </c>
      <c r="T375" t="s">
        <v>434</v>
      </c>
    </row>
    <row r="376" spans="1:20" ht="15" customHeight="1" x14ac:dyDescent="0.25">
      <c r="A376">
        <f t="shared" si="5"/>
        <v>23</v>
      </c>
      <c r="B376" t="s">
        <v>1008</v>
      </c>
      <c r="C376" t="s">
        <v>47</v>
      </c>
      <c r="D376">
        <v>5</v>
      </c>
      <c r="E3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76">
        <f ca="1">IF(Tabla142[[#This Row],[frecuencia_new]]="Diaria"," ",RANDBETWEEN(1,6))</f>
        <v>5</v>
      </c>
      <c r="G376">
        <f ca="1">IF(Tabla142[[#This Row],[frecuencia_new]]="Diaria","",IF(Tabla142[[#This Row],[frecuencia_new]]="Semanal","",IF(Tabla142[[#This Row],[frecuencia_new]]="Quincenal",RANDBETWEEN(1,2),RANDBETWEEN(1,4))))</f>
        <v>2</v>
      </c>
      <c r="H376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376" t="s">
        <v>52</v>
      </c>
      <c r="K376">
        <f>SUM(MID(Tabla142[[#This Row],[Duración]],1,2)*60,MID(Tabla142[[#This Row],[Duración]],6,2))</f>
        <v>30</v>
      </c>
      <c r="L376" s="4" t="s">
        <v>48</v>
      </c>
      <c r="M376" t="s">
        <v>239</v>
      </c>
      <c r="N376" t="s">
        <v>299</v>
      </c>
      <c r="O376" t="s">
        <v>384</v>
      </c>
      <c r="P376" t="s">
        <v>365</v>
      </c>
      <c r="Q376" s="20">
        <v>46032.649155092593</v>
      </c>
      <c r="R376" t="s">
        <v>5</v>
      </c>
      <c r="T376" t="s">
        <v>434</v>
      </c>
    </row>
    <row r="377" spans="1:20" ht="15" customHeight="1" x14ac:dyDescent="0.25">
      <c r="A377">
        <f t="shared" si="5"/>
        <v>23</v>
      </c>
      <c r="B377" t="s">
        <v>1009</v>
      </c>
      <c r="C377" t="s">
        <v>54</v>
      </c>
      <c r="D377">
        <v>5</v>
      </c>
      <c r="E3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77">
        <f ca="1">IF(Tabla142[[#This Row],[frecuencia_new]]="Diaria"," ",RANDBETWEEN(1,6))</f>
        <v>3</v>
      </c>
      <c r="G377">
        <f ca="1">IF(Tabla142[[#This Row],[frecuencia_new]]="Diaria","",IF(Tabla142[[#This Row],[frecuencia_new]]="Semanal","",IF(Tabla142[[#This Row],[frecuencia_new]]="Quincenal",RANDBETWEEN(1,2),RANDBETWEEN(1,4))))</f>
        <v>2</v>
      </c>
      <c r="H377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377" t="s">
        <v>53</v>
      </c>
      <c r="K377">
        <f>SUM(MID(Tabla142[[#This Row],[Duración]],1,2)*60,MID(Tabla142[[#This Row],[Duración]],6,2))</f>
        <v>30</v>
      </c>
      <c r="L377" s="4" t="s">
        <v>48</v>
      </c>
      <c r="M377" t="s">
        <v>239</v>
      </c>
      <c r="N377" t="s">
        <v>299</v>
      </c>
      <c r="O377" t="s">
        <v>384</v>
      </c>
      <c r="P377" t="s">
        <v>365</v>
      </c>
      <c r="Q377" s="20">
        <v>46032.649155092593</v>
      </c>
      <c r="R377" t="s">
        <v>5</v>
      </c>
      <c r="T377" t="s">
        <v>434</v>
      </c>
    </row>
    <row r="378" spans="1:20" ht="15" customHeight="1" x14ac:dyDescent="0.25">
      <c r="A378">
        <f t="shared" si="5"/>
        <v>23</v>
      </c>
      <c r="B378" t="s">
        <v>1010</v>
      </c>
      <c r="C378" t="s">
        <v>47</v>
      </c>
      <c r="D378">
        <v>5</v>
      </c>
      <c r="E3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78">
        <f ca="1">IF(Tabla142[[#This Row],[frecuencia_new]]="Diaria"," ",RANDBETWEEN(1,6))</f>
        <v>6</v>
      </c>
      <c r="G378">
        <f ca="1">IF(Tabla142[[#This Row],[frecuencia_new]]="Diaria","",IF(Tabla142[[#This Row],[frecuencia_new]]="Semanal","",IF(Tabla142[[#This Row],[frecuencia_new]]="Quincenal",RANDBETWEEN(1,2),RANDBETWEEN(1,4))))</f>
        <v>1</v>
      </c>
      <c r="H378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378" t="s">
        <v>56</v>
      </c>
      <c r="K378">
        <f>SUM(MID(Tabla142[[#This Row],[Duración]],1,2)*60,MID(Tabla142[[#This Row],[Duración]],6,2))</f>
        <v>30</v>
      </c>
      <c r="L378" s="4" t="s">
        <v>48</v>
      </c>
      <c r="M378" t="s">
        <v>239</v>
      </c>
      <c r="N378" t="s">
        <v>299</v>
      </c>
      <c r="O378" t="s">
        <v>384</v>
      </c>
      <c r="P378" t="s">
        <v>360</v>
      </c>
      <c r="Q378" s="20">
        <v>46032.649155092593</v>
      </c>
      <c r="R378" t="s">
        <v>5</v>
      </c>
      <c r="T378" t="s">
        <v>434</v>
      </c>
    </row>
    <row r="379" spans="1:20" ht="15" customHeight="1" x14ac:dyDescent="0.25">
      <c r="A379">
        <f t="shared" si="5"/>
        <v>166</v>
      </c>
      <c r="B379" t="s">
        <v>1011</v>
      </c>
      <c r="C379" t="s">
        <v>47</v>
      </c>
      <c r="D379">
        <v>5</v>
      </c>
      <c r="E3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79" t="str">
        <f ca="1">IF(Tabla142[[#This Row],[frecuencia_new]]="Diaria"," ",RANDBETWEEN(1,6))</f>
        <v xml:space="preserve"> </v>
      </c>
      <c r="G379" t="str">
        <f ca="1">IF(Tabla142[[#This Row],[frecuencia_new]]="Diaria","",IF(Tabla142[[#This Row],[frecuencia_new]]="Semanal","",IF(Tabla142[[#This Row],[frecuencia_new]]="Quincenal",RANDBETWEEN(1,2),RANDBETWEEN(1,4))))</f>
        <v/>
      </c>
      <c r="H3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79" t="s">
        <v>49</v>
      </c>
      <c r="K379">
        <f>SUM(MID(Tabla142[[#This Row],[Duración]],1,2)*60,MID(Tabla142[[#This Row],[Duración]],6,2))</f>
        <v>5</v>
      </c>
      <c r="L379" s="4" t="s">
        <v>50</v>
      </c>
      <c r="M379" t="s">
        <v>239</v>
      </c>
      <c r="N379" t="s">
        <v>299</v>
      </c>
      <c r="O379" t="s">
        <v>388</v>
      </c>
      <c r="P379" t="s">
        <v>361</v>
      </c>
      <c r="Q379" s="20">
        <v>46032.649155092593</v>
      </c>
      <c r="R379" t="s">
        <v>6</v>
      </c>
      <c r="T379" t="s">
        <v>577</v>
      </c>
    </row>
    <row r="380" spans="1:20" ht="15" customHeight="1" x14ac:dyDescent="0.25">
      <c r="A380">
        <f t="shared" si="5"/>
        <v>174</v>
      </c>
      <c r="B380" t="s">
        <v>1012</v>
      </c>
      <c r="C380" t="s">
        <v>47</v>
      </c>
      <c r="D380">
        <v>5</v>
      </c>
      <c r="E3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80">
        <f ca="1">IF(Tabla142[[#This Row],[frecuencia_new]]="Diaria"," ",RANDBETWEEN(1,6))</f>
        <v>5</v>
      </c>
      <c r="G380">
        <f ca="1">IF(Tabla142[[#This Row],[frecuencia_new]]="Diaria","",IF(Tabla142[[#This Row],[frecuencia_new]]="Semanal","",IF(Tabla142[[#This Row],[frecuencia_new]]="Quincenal",RANDBETWEEN(1,2),RANDBETWEEN(1,4))))</f>
        <v>2</v>
      </c>
      <c r="H3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80" t="s">
        <v>51</v>
      </c>
      <c r="K380">
        <f>SUM(MID(Tabla142[[#This Row],[Duración]],1,2)*60,MID(Tabla142[[#This Row],[Duración]],6,2))</f>
        <v>5</v>
      </c>
      <c r="L380" s="4" t="s">
        <v>50</v>
      </c>
      <c r="M380" t="s">
        <v>239</v>
      </c>
      <c r="N380" t="s">
        <v>299</v>
      </c>
      <c r="O380" t="s">
        <v>389</v>
      </c>
      <c r="P380" t="s">
        <v>364</v>
      </c>
      <c r="Q380" s="20">
        <v>46032.649155092593</v>
      </c>
      <c r="R380" t="s">
        <v>7</v>
      </c>
      <c r="T380" t="s">
        <v>585</v>
      </c>
    </row>
    <row r="381" spans="1:20" ht="15" customHeight="1" x14ac:dyDescent="0.25">
      <c r="A381">
        <f t="shared" si="5"/>
        <v>174</v>
      </c>
      <c r="B381" t="s">
        <v>1013</v>
      </c>
      <c r="C381" t="s">
        <v>47</v>
      </c>
      <c r="D381">
        <v>5</v>
      </c>
      <c r="E3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81">
        <f ca="1">IF(Tabla142[[#This Row],[frecuencia_new]]="Diaria"," ",RANDBETWEEN(1,6))</f>
        <v>4</v>
      </c>
      <c r="G381" t="str">
        <f ca="1">IF(Tabla142[[#This Row],[frecuencia_new]]="Diaria","",IF(Tabla142[[#This Row],[frecuencia_new]]="Semanal","",IF(Tabla142[[#This Row],[frecuencia_new]]="Quincenal",RANDBETWEEN(1,2),RANDBETWEEN(1,4))))</f>
        <v/>
      </c>
      <c r="H38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81" t="s">
        <v>55</v>
      </c>
      <c r="K381">
        <f>SUM(MID(Tabla142[[#This Row],[Duración]],1,2)*60,MID(Tabla142[[#This Row],[Duración]],6,2))</f>
        <v>5</v>
      </c>
      <c r="L381" s="4" t="s">
        <v>50</v>
      </c>
      <c r="M381" t="s">
        <v>239</v>
      </c>
      <c r="N381" t="s">
        <v>299</v>
      </c>
      <c r="O381" t="s">
        <v>389</v>
      </c>
      <c r="P381" t="s">
        <v>363</v>
      </c>
      <c r="Q381" s="20">
        <v>46032.649155092593</v>
      </c>
      <c r="R381" t="s">
        <v>8</v>
      </c>
      <c r="T381" t="s">
        <v>585</v>
      </c>
    </row>
    <row r="382" spans="1:20" ht="15" customHeight="1" x14ac:dyDescent="0.25">
      <c r="A382">
        <f t="shared" si="5"/>
        <v>174</v>
      </c>
      <c r="B382" t="s">
        <v>1014</v>
      </c>
      <c r="C382" t="s">
        <v>54</v>
      </c>
      <c r="D382">
        <v>5</v>
      </c>
      <c r="E3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82">
        <f ca="1">IF(Tabla142[[#This Row],[frecuencia_new]]="Diaria"," ",RANDBETWEEN(1,6))</f>
        <v>5</v>
      </c>
      <c r="G382" t="str">
        <f ca="1">IF(Tabla142[[#This Row],[frecuencia_new]]="Diaria","",IF(Tabla142[[#This Row],[frecuencia_new]]="Semanal","",IF(Tabla142[[#This Row],[frecuencia_new]]="Quincenal",RANDBETWEEN(1,2),RANDBETWEEN(1,4))))</f>
        <v/>
      </c>
      <c r="H3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82" t="s">
        <v>57</v>
      </c>
      <c r="K382">
        <f>SUM(MID(Tabla142[[#This Row],[Duración]],1,2)*60,MID(Tabla142[[#This Row],[Duración]],6,2))</f>
        <v>5</v>
      </c>
      <c r="L382" s="4" t="s">
        <v>50</v>
      </c>
      <c r="M382" t="s">
        <v>239</v>
      </c>
      <c r="N382" t="s">
        <v>299</v>
      </c>
      <c r="O382" t="s">
        <v>389</v>
      </c>
      <c r="P382" t="s">
        <v>363</v>
      </c>
      <c r="Q382" s="20">
        <v>46032.649155092593</v>
      </c>
      <c r="R382" t="s">
        <v>8</v>
      </c>
      <c r="T382" t="s">
        <v>585</v>
      </c>
    </row>
    <row r="383" spans="1:20" ht="15" customHeight="1" x14ac:dyDescent="0.25">
      <c r="A383">
        <f t="shared" si="5"/>
        <v>24</v>
      </c>
      <c r="B383" t="s">
        <v>1015</v>
      </c>
      <c r="C383" t="s">
        <v>47</v>
      </c>
      <c r="D383">
        <v>10</v>
      </c>
      <c r="E3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83">
        <f ca="1">IF(Tabla142[[#This Row],[frecuencia_new]]="Diaria"," ",RANDBETWEEN(1,6))</f>
        <v>4</v>
      </c>
      <c r="G383">
        <f ca="1">IF(Tabla142[[#This Row],[frecuencia_new]]="Diaria","",IF(Tabla142[[#This Row],[frecuencia_new]]="Semanal","",IF(Tabla142[[#This Row],[frecuencia_new]]="Quincenal",RANDBETWEEN(1,2),RANDBETWEEN(1,4))))</f>
        <v>2</v>
      </c>
      <c r="H383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383" t="s">
        <v>46</v>
      </c>
      <c r="K383">
        <f>SUM(MID(Tabla142[[#This Row],[Duración]],1,2)*60,MID(Tabla142[[#This Row],[Duración]],6,2))</f>
        <v>60</v>
      </c>
      <c r="L383" s="4" t="s">
        <v>58</v>
      </c>
      <c r="M383" t="s">
        <v>239</v>
      </c>
      <c r="N383" t="s">
        <v>299</v>
      </c>
      <c r="O383" t="s">
        <v>384</v>
      </c>
      <c r="P383" t="s">
        <v>360</v>
      </c>
      <c r="Q383" s="20">
        <v>46032.649155092593</v>
      </c>
      <c r="R383" t="s">
        <v>5</v>
      </c>
      <c r="T383" t="s">
        <v>435</v>
      </c>
    </row>
    <row r="384" spans="1:20" ht="15" customHeight="1" x14ac:dyDescent="0.25">
      <c r="A384">
        <f t="shared" si="5"/>
        <v>24</v>
      </c>
      <c r="B384" t="s">
        <v>1016</v>
      </c>
      <c r="C384" t="s">
        <v>47</v>
      </c>
      <c r="D384">
        <v>10</v>
      </c>
      <c r="E3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84">
        <f ca="1">IF(Tabla142[[#This Row],[frecuencia_new]]="Diaria"," ",RANDBETWEEN(1,6))</f>
        <v>4</v>
      </c>
      <c r="G384">
        <f ca="1">IF(Tabla142[[#This Row],[frecuencia_new]]="Diaria","",IF(Tabla142[[#This Row],[frecuencia_new]]="Semanal","",IF(Tabla142[[#This Row],[frecuencia_new]]="Quincenal",RANDBETWEEN(1,2),RANDBETWEEN(1,4))))</f>
        <v>1</v>
      </c>
      <c r="H384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384" t="s">
        <v>52</v>
      </c>
      <c r="K384">
        <f>SUM(MID(Tabla142[[#This Row],[Duración]],1,2)*60,MID(Tabla142[[#This Row],[Duración]],6,2))</f>
        <v>60</v>
      </c>
      <c r="L384" s="4" t="s">
        <v>58</v>
      </c>
      <c r="M384" t="s">
        <v>239</v>
      </c>
      <c r="N384" t="s">
        <v>299</v>
      </c>
      <c r="O384" t="s">
        <v>384</v>
      </c>
      <c r="P384" t="s">
        <v>365</v>
      </c>
      <c r="Q384" s="20">
        <v>46032.649155092593</v>
      </c>
      <c r="R384" t="s">
        <v>5</v>
      </c>
      <c r="T384" t="s">
        <v>435</v>
      </c>
    </row>
    <row r="385" spans="1:20" ht="15" customHeight="1" x14ac:dyDescent="0.25">
      <c r="A385">
        <f t="shared" si="5"/>
        <v>24</v>
      </c>
      <c r="B385" t="s">
        <v>1017</v>
      </c>
      <c r="C385" t="s">
        <v>54</v>
      </c>
      <c r="D385">
        <v>10</v>
      </c>
      <c r="E3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85">
        <f ca="1">IF(Tabla142[[#This Row],[frecuencia_new]]="Diaria"," ",RANDBETWEEN(1,6))</f>
        <v>1</v>
      </c>
      <c r="G385">
        <f ca="1">IF(Tabla142[[#This Row],[frecuencia_new]]="Diaria","",IF(Tabla142[[#This Row],[frecuencia_new]]="Semanal","",IF(Tabla142[[#This Row],[frecuencia_new]]="Quincenal",RANDBETWEEN(1,2),RANDBETWEEN(1,4))))</f>
        <v>3</v>
      </c>
      <c r="H385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385" t="s">
        <v>53</v>
      </c>
      <c r="K385">
        <f>SUM(MID(Tabla142[[#This Row],[Duración]],1,2)*60,MID(Tabla142[[#This Row],[Duración]],6,2))</f>
        <v>60</v>
      </c>
      <c r="L385" s="4" t="s">
        <v>58</v>
      </c>
      <c r="M385" t="s">
        <v>239</v>
      </c>
      <c r="N385" t="s">
        <v>299</v>
      </c>
      <c r="O385" t="s">
        <v>384</v>
      </c>
      <c r="P385" t="s">
        <v>360</v>
      </c>
      <c r="Q385" s="20">
        <v>46032.649155092593</v>
      </c>
      <c r="R385" t="s">
        <v>5</v>
      </c>
      <c r="T385" t="s">
        <v>435</v>
      </c>
    </row>
    <row r="386" spans="1:20" ht="15" customHeight="1" x14ac:dyDescent="0.25">
      <c r="A386">
        <f t="shared" ref="A386:A449" si="6">VLOOKUP(T386,$V$2:$W$222,2,FALSE)</f>
        <v>24</v>
      </c>
      <c r="B386" t="s">
        <v>1018</v>
      </c>
      <c r="C386" t="s">
        <v>47</v>
      </c>
      <c r="D386">
        <v>10</v>
      </c>
      <c r="E3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86">
        <f ca="1">IF(Tabla142[[#This Row],[frecuencia_new]]="Diaria"," ",RANDBETWEEN(1,6))</f>
        <v>5</v>
      </c>
      <c r="G386">
        <f ca="1">IF(Tabla142[[#This Row],[frecuencia_new]]="Diaria","",IF(Tabla142[[#This Row],[frecuencia_new]]="Semanal","",IF(Tabla142[[#This Row],[frecuencia_new]]="Quincenal",RANDBETWEEN(1,2),RANDBETWEEN(1,4))))</f>
        <v>3</v>
      </c>
      <c r="H386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386" t="s">
        <v>64</v>
      </c>
      <c r="K386">
        <f>SUM(MID(Tabla142[[#This Row],[Duración]],1,2)*60,MID(Tabla142[[#This Row],[Duración]],6,2))</f>
        <v>180</v>
      </c>
      <c r="L386" s="4" t="s">
        <v>65</v>
      </c>
      <c r="M386" t="s">
        <v>239</v>
      </c>
      <c r="N386" t="s">
        <v>299</v>
      </c>
      <c r="O386" t="s">
        <v>384</v>
      </c>
      <c r="P386" t="s">
        <v>360</v>
      </c>
      <c r="Q386" s="20">
        <v>46032.649155092593</v>
      </c>
      <c r="R386" t="s">
        <v>5</v>
      </c>
      <c r="T386" t="s">
        <v>435</v>
      </c>
    </row>
    <row r="387" spans="1:20" ht="15" customHeight="1" x14ac:dyDescent="0.25">
      <c r="A387">
        <f t="shared" si="6"/>
        <v>167</v>
      </c>
      <c r="B387" t="s">
        <v>1019</v>
      </c>
      <c r="C387" t="s">
        <v>47</v>
      </c>
      <c r="D387">
        <v>10</v>
      </c>
      <c r="E3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387" t="str">
        <f ca="1">IF(Tabla142[[#This Row],[frecuencia_new]]="Diaria"," ",RANDBETWEEN(1,6))</f>
        <v xml:space="preserve"> </v>
      </c>
      <c r="G387" t="str">
        <f ca="1">IF(Tabla142[[#This Row],[frecuencia_new]]="Diaria","",IF(Tabla142[[#This Row],[frecuencia_new]]="Semanal","",IF(Tabla142[[#This Row],[frecuencia_new]]="Quincenal",RANDBETWEEN(1,2),RANDBETWEEN(1,4))))</f>
        <v/>
      </c>
      <c r="H3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87" t="s">
        <v>59</v>
      </c>
      <c r="K387">
        <f>SUM(MID(Tabla142[[#This Row],[Duración]],1,2)*60,MID(Tabla142[[#This Row],[Duración]],6,2))</f>
        <v>2</v>
      </c>
      <c r="L387" s="4" t="s">
        <v>60</v>
      </c>
      <c r="M387" t="s">
        <v>239</v>
      </c>
      <c r="N387" t="s">
        <v>299</v>
      </c>
      <c r="O387" t="s">
        <v>388</v>
      </c>
      <c r="P387" t="s">
        <v>367</v>
      </c>
      <c r="Q387" s="20">
        <v>46032.649155092593</v>
      </c>
      <c r="R387" t="s">
        <v>6</v>
      </c>
      <c r="T387" t="s">
        <v>578</v>
      </c>
    </row>
    <row r="388" spans="1:20" ht="15" customHeight="1" x14ac:dyDescent="0.25">
      <c r="A388">
        <f t="shared" si="6"/>
        <v>175</v>
      </c>
      <c r="B388" t="s">
        <v>1020</v>
      </c>
      <c r="C388" t="s">
        <v>47</v>
      </c>
      <c r="D388">
        <v>10</v>
      </c>
      <c r="E3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88">
        <f ca="1">IF(Tabla142[[#This Row],[frecuencia_new]]="Diaria"," ",RANDBETWEEN(1,6))</f>
        <v>4</v>
      </c>
      <c r="G388">
        <f ca="1">IF(Tabla142[[#This Row],[frecuencia_new]]="Diaria","",IF(Tabla142[[#This Row],[frecuencia_new]]="Semanal","",IF(Tabla142[[#This Row],[frecuencia_new]]="Quincenal",RANDBETWEEN(1,2),RANDBETWEEN(1,4))))</f>
        <v>2</v>
      </c>
      <c r="H3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88" t="s">
        <v>61</v>
      </c>
      <c r="K388">
        <f>SUM(MID(Tabla142[[#This Row],[Duración]],1,2)*60,MID(Tabla142[[#This Row],[Duración]],6,2))</f>
        <v>60</v>
      </c>
      <c r="L388" s="4" t="s">
        <v>58</v>
      </c>
      <c r="M388" t="s">
        <v>239</v>
      </c>
      <c r="N388" t="s">
        <v>299</v>
      </c>
      <c r="O388" t="s">
        <v>389</v>
      </c>
      <c r="P388" t="s">
        <v>364</v>
      </c>
      <c r="Q388" s="20">
        <v>46032.649155092593</v>
      </c>
      <c r="R388" t="s">
        <v>1846</v>
      </c>
      <c r="T388" t="s">
        <v>586</v>
      </c>
    </row>
    <row r="389" spans="1:20" ht="15" customHeight="1" x14ac:dyDescent="0.25">
      <c r="A389">
        <f t="shared" si="6"/>
        <v>175</v>
      </c>
      <c r="B389" t="s">
        <v>1021</v>
      </c>
      <c r="C389" t="s">
        <v>47</v>
      </c>
      <c r="D389">
        <v>10</v>
      </c>
      <c r="E3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89">
        <f ca="1">IF(Tabla142[[#This Row],[frecuencia_new]]="Diaria"," ",RANDBETWEEN(1,6))</f>
        <v>5</v>
      </c>
      <c r="G389">
        <f ca="1">IF(Tabla142[[#This Row],[frecuencia_new]]="Diaria","",IF(Tabla142[[#This Row],[frecuencia_new]]="Semanal","",IF(Tabla142[[#This Row],[frecuencia_new]]="Quincenal",RANDBETWEEN(1,2),RANDBETWEEN(1,4))))</f>
        <v>3</v>
      </c>
      <c r="H3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89" t="s">
        <v>62</v>
      </c>
      <c r="K389">
        <f>SUM(MID(Tabla142[[#This Row],[Duración]],1,2)*60,MID(Tabla142[[#This Row],[Duración]],6,2))</f>
        <v>30</v>
      </c>
      <c r="L389" s="4" t="s">
        <v>48</v>
      </c>
      <c r="M389" t="s">
        <v>239</v>
      </c>
      <c r="N389" t="s">
        <v>299</v>
      </c>
      <c r="O389" t="s">
        <v>389</v>
      </c>
      <c r="P389" t="s">
        <v>363</v>
      </c>
      <c r="Q389" s="20">
        <v>46032.649155092593</v>
      </c>
      <c r="R389" t="s">
        <v>7</v>
      </c>
      <c r="T389" t="s">
        <v>586</v>
      </c>
    </row>
    <row r="390" spans="1:20" ht="15" customHeight="1" x14ac:dyDescent="0.25">
      <c r="A390">
        <f t="shared" si="6"/>
        <v>175</v>
      </c>
      <c r="B390" t="s">
        <v>1022</v>
      </c>
      <c r="C390" t="s">
        <v>47</v>
      </c>
      <c r="D390">
        <v>10</v>
      </c>
      <c r="E3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390">
        <f ca="1">IF(Tabla142[[#This Row],[frecuencia_new]]="Diaria"," ",RANDBETWEEN(1,6))</f>
        <v>2</v>
      </c>
      <c r="G390">
        <f ca="1">IF(Tabla142[[#This Row],[frecuencia_new]]="Diaria","",IF(Tabla142[[#This Row],[frecuencia_new]]="Semanal","",IF(Tabla142[[#This Row],[frecuencia_new]]="Quincenal",RANDBETWEEN(1,2),RANDBETWEEN(1,4))))</f>
        <v>1</v>
      </c>
      <c r="H3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0" t="s">
        <v>63</v>
      </c>
      <c r="K390">
        <f>SUM(MID(Tabla142[[#This Row],[Duración]],1,2)*60,MID(Tabla142[[#This Row],[Duración]],6,2))</f>
        <v>60</v>
      </c>
      <c r="L390" s="4" t="s">
        <v>58</v>
      </c>
      <c r="M390" t="s">
        <v>239</v>
      </c>
      <c r="N390" t="s">
        <v>299</v>
      </c>
      <c r="O390" t="s">
        <v>389</v>
      </c>
      <c r="P390" t="s">
        <v>364</v>
      </c>
      <c r="Q390" s="20">
        <v>46032.649155092593</v>
      </c>
      <c r="R390" t="s">
        <v>1846</v>
      </c>
      <c r="T390" t="s">
        <v>586</v>
      </c>
    </row>
    <row r="391" spans="1:20" ht="15" customHeight="1" x14ac:dyDescent="0.25">
      <c r="A391">
        <f t="shared" si="6"/>
        <v>175</v>
      </c>
      <c r="B391" t="s">
        <v>1023</v>
      </c>
      <c r="C391" t="s">
        <v>54</v>
      </c>
      <c r="D391">
        <v>10</v>
      </c>
      <c r="E3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91">
        <f ca="1">IF(Tabla142[[#This Row],[frecuencia_new]]="Diaria"," ",RANDBETWEEN(1,6))</f>
        <v>5</v>
      </c>
      <c r="G391" t="str">
        <f ca="1">IF(Tabla142[[#This Row],[frecuencia_new]]="Diaria","",IF(Tabla142[[#This Row],[frecuencia_new]]="Semanal","",IF(Tabla142[[#This Row],[frecuencia_new]]="Quincenal",RANDBETWEEN(1,2),RANDBETWEEN(1,4))))</f>
        <v/>
      </c>
      <c r="H3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1" t="s">
        <v>57</v>
      </c>
      <c r="K391">
        <f>SUM(MID(Tabla142[[#This Row],[Duración]],1,2)*60,MID(Tabla142[[#This Row],[Duración]],6,2))</f>
        <v>30</v>
      </c>
      <c r="L391" s="4" t="s">
        <v>48</v>
      </c>
      <c r="M391" t="s">
        <v>239</v>
      </c>
      <c r="N391" t="s">
        <v>299</v>
      </c>
      <c r="O391" t="s">
        <v>389</v>
      </c>
      <c r="P391" t="s">
        <v>363</v>
      </c>
      <c r="Q391" s="20">
        <v>46032.649155092593</v>
      </c>
      <c r="R391" t="s">
        <v>8</v>
      </c>
      <c r="T391" t="s">
        <v>586</v>
      </c>
    </row>
    <row r="392" spans="1:20" ht="15" customHeight="1" x14ac:dyDescent="0.25">
      <c r="A392">
        <f t="shared" si="6"/>
        <v>7</v>
      </c>
      <c r="B392" t="s">
        <v>1024</v>
      </c>
      <c r="C392" t="s">
        <v>47</v>
      </c>
      <c r="D392">
        <v>46</v>
      </c>
      <c r="E3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92">
        <f ca="1">IF(Tabla142[[#This Row],[frecuencia_new]]="Diaria"," ",RANDBETWEEN(1,6))</f>
        <v>1</v>
      </c>
      <c r="G392">
        <f ca="1">IF(Tabla142[[#This Row],[frecuencia_new]]="Diaria","",IF(Tabla142[[#This Row],[frecuencia_new]]="Semanal","",IF(Tabla142[[#This Row],[frecuencia_new]]="Quincenal",RANDBETWEEN(1,2),RANDBETWEEN(1,4))))</f>
        <v>4</v>
      </c>
      <c r="H3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2" t="s">
        <v>66</v>
      </c>
      <c r="K392">
        <f>SUM(MID(Tabla142[[#This Row],[Duración]],1,2)*60,MID(Tabla142[[#This Row],[Duración]],6,2))</f>
        <v>15</v>
      </c>
      <c r="L392" s="4" t="s">
        <v>77</v>
      </c>
      <c r="M392" t="s">
        <v>239</v>
      </c>
      <c r="N392" t="s">
        <v>299</v>
      </c>
      <c r="O392" t="s">
        <v>390</v>
      </c>
      <c r="P392" t="s">
        <v>363</v>
      </c>
      <c r="Q392" s="20">
        <v>46032.649155092593</v>
      </c>
      <c r="R392" t="s">
        <v>7</v>
      </c>
      <c r="T392" t="s">
        <v>418</v>
      </c>
    </row>
    <row r="393" spans="1:20" ht="15" customHeight="1" x14ac:dyDescent="0.25">
      <c r="A393">
        <f t="shared" si="6"/>
        <v>33</v>
      </c>
      <c r="B393" t="s">
        <v>1025</v>
      </c>
      <c r="C393" t="s">
        <v>47</v>
      </c>
      <c r="D393">
        <v>46</v>
      </c>
      <c r="E3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93">
        <f ca="1">IF(Tabla142[[#This Row],[frecuencia_new]]="Diaria"," ",RANDBETWEEN(1,6))</f>
        <v>3</v>
      </c>
      <c r="G393">
        <f ca="1">IF(Tabla142[[#This Row],[frecuencia_new]]="Diaria","",IF(Tabla142[[#This Row],[frecuencia_new]]="Semanal","",IF(Tabla142[[#This Row],[frecuencia_new]]="Quincenal",RANDBETWEEN(1,2),RANDBETWEEN(1,4))))</f>
        <v>4</v>
      </c>
      <c r="H39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393" t="s">
        <v>52</v>
      </c>
      <c r="K393">
        <f>SUM(MID(Tabla142[[#This Row],[Duración]],1,2)*60,MID(Tabla142[[#This Row],[Duración]],6,2))</f>
        <v>30</v>
      </c>
      <c r="L393" s="4" t="s">
        <v>48</v>
      </c>
      <c r="M393" t="s">
        <v>239</v>
      </c>
      <c r="N393" t="s">
        <v>299</v>
      </c>
      <c r="O393" t="s">
        <v>384</v>
      </c>
      <c r="P393" t="s">
        <v>360</v>
      </c>
      <c r="Q393" s="20">
        <v>46032.649155092593</v>
      </c>
      <c r="R393" t="s">
        <v>5</v>
      </c>
      <c r="T393" t="s">
        <v>444</v>
      </c>
    </row>
    <row r="394" spans="1:20" ht="15" customHeight="1" x14ac:dyDescent="0.25">
      <c r="A394">
        <f t="shared" si="6"/>
        <v>33</v>
      </c>
      <c r="B394" t="s">
        <v>1026</v>
      </c>
      <c r="C394" t="s">
        <v>54</v>
      </c>
      <c r="D394">
        <v>46</v>
      </c>
      <c r="E3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94">
        <f ca="1">IF(Tabla142[[#This Row],[frecuencia_new]]="Diaria"," ",RANDBETWEEN(1,6))</f>
        <v>2</v>
      </c>
      <c r="G394">
        <f ca="1">IF(Tabla142[[#This Row],[frecuencia_new]]="Diaria","",IF(Tabla142[[#This Row],[frecuencia_new]]="Semanal","",IF(Tabla142[[#This Row],[frecuencia_new]]="Quincenal",RANDBETWEEN(1,2),RANDBETWEEN(1,4))))</f>
        <v>4</v>
      </c>
      <c r="H394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394" t="s">
        <v>53</v>
      </c>
      <c r="K394">
        <f>SUM(MID(Tabla142[[#This Row],[Duración]],1,2)*60,MID(Tabla142[[#This Row],[Duración]],6,2))</f>
        <v>30</v>
      </c>
      <c r="L394" s="4" t="s">
        <v>48</v>
      </c>
      <c r="M394" t="s">
        <v>239</v>
      </c>
      <c r="N394" t="s">
        <v>299</v>
      </c>
      <c r="O394" t="s">
        <v>384</v>
      </c>
      <c r="P394" t="s">
        <v>360</v>
      </c>
      <c r="Q394" s="20">
        <v>46032.649155092593</v>
      </c>
      <c r="R394" t="s">
        <v>5</v>
      </c>
      <c r="T394" t="s">
        <v>444</v>
      </c>
    </row>
    <row r="395" spans="1:20" ht="15" customHeight="1" x14ac:dyDescent="0.25">
      <c r="A395">
        <f t="shared" si="6"/>
        <v>7</v>
      </c>
      <c r="B395" t="s">
        <v>1027</v>
      </c>
      <c r="C395" t="s">
        <v>47</v>
      </c>
      <c r="D395">
        <v>46</v>
      </c>
      <c r="E3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395">
        <f ca="1">IF(Tabla142[[#This Row],[frecuencia_new]]="Diaria"," ",RANDBETWEEN(1,6))</f>
        <v>1</v>
      </c>
      <c r="G395">
        <f ca="1">IF(Tabla142[[#This Row],[frecuencia_new]]="Diaria","",IF(Tabla142[[#This Row],[frecuencia_new]]="Semanal","",IF(Tabla142[[#This Row],[frecuencia_new]]="Quincenal",RANDBETWEEN(1,2),RANDBETWEEN(1,4))))</f>
        <v>2</v>
      </c>
      <c r="H3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5" t="s">
        <v>79</v>
      </c>
      <c r="K395">
        <f>SUM(MID(Tabla142[[#This Row],[Duración]],1,2)*60,MID(Tabla142[[#This Row],[Duración]],6,2))</f>
        <v>30</v>
      </c>
      <c r="L395" s="4" t="s">
        <v>48</v>
      </c>
      <c r="M395" t="s">
        <v>239</v>
      </c>
      <c r="N395" t="s">
        <v>299</v>
      </c>
      <c r="O395" t="s">
        <v>390</v>
      </c>
      <c r="P395" t="s">
        <v>363</v>
      </c>
      <c r="Q395" s="20">
        <v>46032.649155092593</v>
      </c>
      <c r="R395" t="s">
        <v>7</v>
      </c>
      <c r="T395" t="s">
        <v>418</v>
      </c>
    </row>
    <row r="396" spans="1:20" ht="15" customHeight="1" x14ac:dyDescent="0.25">
      <c r="A396">
        <f t="shared" si="6"/>
        <v>7</v>
      </c>
      <c r="B396" t="s">
        <v>1028</v>
      </c>
      <c r="C396" t="s">
        <v>47</v>
      </c>
      <c r="D396">
        <v>46</v>
      </c>
      <c r="E3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96">
        <f ca="1">IF(Tabla142[[#This Row],[frecuencia_new]]="Diaria"," ",RANDBETWEEN(1,6))</f>
        <v>4</v>
      </c>
      <c r="G396" t="str">
        <f ca="1">IF(Tabla142[[#This Row],[frecuencia_new]]="Diaria","",IF(Tabla142[[#This Row],[frecuencia_new]]="Semanal","",IF(Tabla142[[#This Row],[frecuencia_new]]="Quincenal",RANDBETWEEN(1,2),RANDBETWEEN(1,4))))</f>
        <v/>
      </c>
      <c r="H3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6" t="s">
        <v>80</v>
      </c>
      <c r="K396">
        <f>SUM(MID(Tabla142[[#This Row],[Duración]],1,2)*60,MID(Tabla142[[#This Row],[Duración]],6,2))</f>
        <v>30</v>
      </c>
      <c r="L396" s="4" t="s">
        <v>48</v>
      </c>
      <c r="M396" t="s">
        <v>239</v>
      </c>
      <c r="N396" t="s">
        <v>299</v>
      </c>
      <c r="O396" t="s">
        <v>390</v>
      </c>
      <c r="P396" t="s">
        <v>363</v>
      </c>
      <c r="Q396" s="20">
        <v>46032.649155092593</v>
      </c>
      <c r="R396" t="s">
        <v>8</v>
      </c>
      <c r="T396" t="s">
        <v>418</v>
      </c>
    </row>
    <row r="397" spans="1:20" ht="15" customHeight="1" x14ac:dyDescent="0.25">
      <c r="A397">
        <f t="shared" si="6"/>
        <v>33</v>
      </c>
      <c r="B397" t="s">
        <v>1029</v>
      </c>
      <c r="C397" t="s">
        <v>47</v>
      </c>
      <c r="D397">
        <v>46</v>
      </c>
      <c r="E3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397">
        <f ca="1">IF(Tabla142[[#This Row],[frecuencia_new]]="Diaria"," ",RANDBETWEEN(1,6))</f>
        <v>1</v>
      </c>
      <c r="G397">
        <f ca="1">IF(Tabla142[[#This Row],[frecuencia_new]]="Diaria","",IF(Tabla142[[#This Row],[frecuencia_new]]="Semanal","",IF(Tabla142[[#This Row],[frecuencia_new]]="Quincenal",RANDBETWEEN(1,2),RANDBETWEEN(1,4))))</f>
        <v>4</v>
      </c>
      <c r="H397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397" t="s">
        <v>64</v>
      </c>
      <c r="K397">
        <f>SUM(MID(Tabla142[[#This Row],[Duración]],1,2)*60,MID(Tabla142[[#This Row],[Duración]],6,2))</f>
        <v>30</v>
      </c>
      <c r="L397" s="4" t="s">
        <v>48</v>
      </c>
      <c r="M397" t="s">
        <v>239</v>
      </c>
      <c r="N397" t="s">
        <v>299</v>
      </c>
      <c r="O397" t="s">
        <v>384</v>
      </c>
      <c r="P397" t="s">
        <v>360</v>
      </c>
      <c r="Q397" s="20">
        <v>46032.649155092593</v>
      </c>
      <c r="R397" t="s">
        <v>5</v>
      </c>
      <c r="T397" t="s">
        <v>444</v>
      </c>
    </row>
    <row r="398" spans="1:20" ht="15" customHeight="1" x14ac:dyDescent="0.25">
      <c r="A398">
        <f t="shared" si="6"/>
        <v>7</v>
      </c>
      <c r="B398" t="s">
        <v>1030</v>
      </c>
      <c r="C398" t="s">
        <v>47</v>
      </c>
      <c r="D398">
        <v>46</v>
      </c>
      <c r="E3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98">
        <f ca="1">IF(Tabla142[[#This Row],[frecuencia_new]]="Diaria"," ",RANDBETWEEN(1,6))</f>
        <v>2</v>
      </c>
      <c r="G398" t="str">
        <f ca="1">IF(Tabla142[[#This Row],[frecuencia_new]]="Diaria","",IF(Tabla142[[#This Row],[frecuencia_new]]="Semanal","",IF(Tabla142[[#This Row],[frecuencia_new]]="Quincenal",RANDBETWEEN(1,2),RANDBETWEEN(1,4))))</f>
        <v/>
      </c>
      <c r="H3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8" t="s">
        <v>81</v>
      </c>
      <c r="K398">
        <f>SUM(MID(Tabla142[[#This Row],[Duración]],1,2)*60,MID(Tabla142[[#This Row],[Duración]],6,2))</f>
        <v>15</v>
      </c>
      <c r="L398" s="4" t="s">
        <v>77</v>
      </c>
      <c r="M398" t="s">
        <v>239</v>
      </c>
      <c r="N398" t="s">
        <v>299</v>
      </c>
      <c r="O398" t="s">
        <v>390</v>
      </c>
      <c r="P398" t="s">
        <v>363</v>
      </c>
      <c r="Q398" s="20">
        <v>46032.649155092593</v>
      </c>
      <c r="R398" t="s">
        <v>8</v>
      </c>
      <c r="T398" t="s">
        <v>418</v>
      </c>
    </row>
    <row r="399" spans="1:20" ht="15" customHeight="1" x14ac:dyDescent="0.25">
      <c r="A399">
        <f t="shared" si="6"/>
        <v>7</v>
      </c>
      <c r="B399" t="s">
        <v>1031</v>
      </c>
      <c r="C399" t="s">
        <v>47</v>
      </c>
      <c r="D399">
        <v>46</v>
      </c>
      <c r="E3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399">
        <f ca="1">IF(Tabla142[[#This Row],[frecuencia_new]]="Diaria"," ",RANDBETWEEN(1,6))</f>
        <v>2</v>
      </c>
      <c r="G399" t="str">
        <f ca="1">IF(Tabla142[[#This Row],[frecuencia_new]]="Diaria","",IF(Tabla142[[#This Row],[frecuencia_new]]="Semanal","",IF(Tabla142[[#This Row],[frecuencia_new]]="Quincenal",RANDBETWEEN(1,2),RANDBETWEEN(1,4))))</f>
        <v/>
      </c>
      <c r="H39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399" t="s">
        <v>57</v>
      </c>
      <c r="K399">
        <f>SUM(MID(Tabla142[[#This Row],[Duración]],1,2)*60,MID(Tabla142[[#This Row],[Duración]],6,2))</f>
        <v>15</v>
      </c>
      <c r="L399" s="4" t="s">
        <v>77</v>
      </c>
      <c r="M399" t="s">
        <v>239</v>
      </c>
      <c r="N399" t="s">
        <v>299</v>
      </c>
      <c r="O399" t="s">
        <v>390</v>
      </c>
      <c r="P399" t="s">
        <v>363</v>
      </c>
      <c r="Q399" s="20">
        <v>46032.649155092593</v>
      </c>
      <c r="R399" t="s">
        <v>8</v>
      </c>
      <c r="T399" t="s">
        <v>418</v>
      </c>
    </row>
    <row r="400" spans="1:20" ht="15" customHeight="1" x14ac:dyDescent="0.25">
      <c r="A400">
        <f t="shared" si="6"/>
        <v>33</v>
      </c>
      <c r="B400" t="s">
        <v>1032</v>
      </c>
      <c r="C400" t="s">
        <v>47</v>
      </c>
      <c r="D400">
        <v>46</v>
      </c>
      <c r="E4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00">
        <f ca="1">IF(Tabla142[[#This Row],[frecuencia_new]]="Diaria"," ",RANDBETWEEN(1,6))</f>
        <v>5</v>
      </c>
      <c r="G400">
        <f ca="1">IF(Tabla142[[#This Row],[frecuencia_new]]="Diaria","",IF(Tabla142[[#This Row],[frecuencia_new]]="Semanal","",IF(Tabla142[[#This Row],[frecuencia_new]]="Quincenal",RANDBETWEEN(1,2),RANDBETWEEN(1,4))))</f>
        <v>2</v>
      </c>
      <c r="H400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400" t="s">
        <v>46</v>
      </c>
      <c r="K400">
        <f>SUM(MID(Tabla142[[#This Row],[Duración]],1,2)*60,MID(Tabla142[[#This Row],[Duración]],6,2))</f>
        <v>30</v>
      </c>
      <c r="L400" s="4" t="s">
        <v>48</v>
      </c>
      <c r="M400" t="s">
        <v>239</v>
      </c>
      <c r="N400" t="s">
        <v>299</v>
      </c>
      <c r="O400" t="s">
        <v>384</v>
      </c>
      <c r="P400" t="s">
        <v>360</v>
      </c>
      <c r="Q400" s="20">
        <v>46032.649155092593</v>
      </c>
      <c r="R400" t="s">
        <v>5</v>
      </c>
      <c r="T400" t="s">
        <v>444</v>
      </c>
    </row>
    <row r="401" spans="1:20" ht="15" customHeight="1" x14ac:dyDescent="0.25">
      <c r="A401">
        <f t="shared" si="6"/>
        <v>176</v>
      </c>
      <c r="B401" t="s">
        <v>1033</v>
      </c>
      <c r="C401" t="s">
        <v>47</v>
      </c>
      <c r="D401">
        <v>46</v>
      </c>
      <c r="E4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01" t="str">
        <f ca="1">IF(Tabla142[[#This Row],[frecuencia_new]]="Diaria"," ",RANDBETWEEN(1,6))</f>
        <v xml:space="preserve"> </v>
      </c>
      <c r="G401" t="str">
        <f ca="1">IF(Tabla142[[#This Row],[frecuencia_new]]="Diaria","",IF(Tabla142[[#This Row],[frecuencia_new]]="Semanal","",IF(Tabla142[[#This Row],[frecuencia_new]]="Quincenal",RANDBETWEEN(1,2),RANDBETWEEN(1,4))))</f>
        <v/>
      </c>
      <c r="H4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01" t="s">
        <v>78</v>
      </c>
      <c r="K401">
        <f>SUM(MID(Tabla142[[#This Row],[Duración]],1,2)*60,MID(Tabla142[[#This Row],[Duración]],6,2))</f>
        <v>5</v>
      </c>
      <c r="L401" s="4" t="s">
        <v>50</v>
      </c>
      <c r="M401" t="s">
        <v>239</v>
      </c>
      <c r="N401" t="s">
        <v>299</v>
      </c>
      <c r="O401" t="s">
        <v>389</v>
      </c>
      <c r="P401" t="s">
        <v>363</v>
      </c>
      <c r="Q401" s="20">
        <v>46032.649155092593</v>
      </c>
      <c r="R401" t="s">
        <v>6</v>
      </c>
      <c r="T401" t="s">
        <v>587</v>
      </c>
    </row>
    <row r="402" spans="1:20" ht="15" customHeight="1" x14ac:dyDescent="0.25">
      <c r="A402">
        <f t="shared" si="6"/>
        <v>37</v>
      </c>
      <c r="B402" t="s">
        <v>1034</v>
      </c>
      <c r="C402" t="s">
        <v>47</v>
      </c>
      <c r="D402">
        <v>53</v>
      </c>
      <c r="E4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02">
        <f ca="1">IF(Tabla142[[#This Row],[frecuencia_new]]="Diaria"," ",RANDBETWEEN(1,6))</f>
        <v>2</v>
      </c>
      <c r="G402">
        <f ca="1">IF(Tabla142[[#This Row],[frecuencia_new]]="Diaria","",IF(Tabla142[[#This Row],[frecuencia_new]]="Semanal","",IF(Tabla142[[#This Row],[frecuencia_new]]="Quincenal",RANDBETWEEN(1,2),RANDBETWEEN(1,4))))</f>
        <v>1</v>
      </c>
      <c r="H40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02" t="s">
        <v>52</v>
      </c>
      <c r="K402">
        <f>SUM(MID(Tabla142[[#This Row],[Duración]],1,2)*60,MID(Tabla142[[#This Row],[Duración]],6,2))</f>
        <v>30</v>
      </c>
      <c r="L402" s="4" t="s">
        <v>48</v>
      </c>
      <c r="M402" t="s">
        <v>239</v>
      </c>
      <c r="N402" t="s">
        <v>299</v>
      </c>
      <c r="O402" t="s">
        <v>384</v>
      </c>
      <c r="P402" t="s">
        <v>360</v>
      </c>
      <c r="Q402" s="20">
        <v>46032.649155092593</v>
      </c>
      <c r="R402" t="s">
        <v>5</v>
      </c>
      <c r="T402" t="s">
        <v>448</v>
      </c>
    </row>
    <row r="403" spans="1:20" ht="15" customHeight="1" x14ac:dyDescent="0.25">
      <c r="A403">
        <f t="shared" si="6"/>
        <v>37</v>
      </c>
      <c r="B403" t="s">
        <v>1035</v>
      </c>
      <c r="C403" t="s">
        <v>54</v>
      </c>
      <c r="D403">
        <v>53</v>
      </c>
      <c r="E4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03">
        <f ca="1">IF(Tabla142[[#This Row],[frecuencia_new]]="Diaria"," ",RANDBETWEEN(1,6))</f>
        <v>3</v>
      </c>
      <c r="G403">
        <f ca="1">IF(Tabla142[[#This Row],[frecuencia_new]]="Diaria","",IF(Tabla142[[#This Row],[frecuencia_new]]="Semanal","",IF(Tabla142[[#This Row],[frecuencia_new]]="Quincenal",RANDBETWEEN(1,2),RANDBETWEEN(1,4))))</f>
        <v>1</v>
      </c>
      <c r="H403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403" t="s">
        <v>53</v>
      </c>
      <c r="K403">
        <f>SUM(MID(Tabla142[[#This Row],[Duración]],1,2)*60,MID(Tabla142[[#This Row],[Duración]],6,2))</f>
        <v>30</v>
      </c>
      <c r="L403" s="4" t="s">
        <v>48</v>
      </c>
      <c r="M403" t="s">
        <v>239</v>
      </c>
      <c r="N403" t="s">
        <v>299</v>
      </c>
      <c r="O403" t="s">
        <v>384</v>
      </c>
      <c r="P403" t="s">
        <v>360</v>
      </c>
      <c r="Q403" s="20">
        <v>46032.649155092593</v>
      </c>
      <c r="R403" t="s">
        <v>5</v>
      </c>
      <c r="T403" t="s">
        <v>448</v>
      </c>
    </row>
    <row r="404" spans="1:20" ht="15" customHeight="1" x14ac:dyDescent="0.25">
      <c r="A404">
        <f t="shared" si="6"/>
        <v>37</v>
      </c>
      <c r="B404" t="s">
        <v>1036</v>
      </c>
      <c r="C404" t="s">
        <v>47</v>
      </c>
      <c r="D404">
        <v>53</v>
      </c>
      <c r="E4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04">
        <f ca="1">IF(Tabla142[[#This Row],[frecuencia_new]]="Diaria"," ",RANDBETWEEN(1,6))</f>
        <v>4</v>
      </c>
      <c r="G404">
        <f ca="1">IF(Tabla142[[#This Row],[frecuencia_new]]="Diaria","",IF(Tabla142[[#This Row],[frecuencia_new]]="Semanal","",IF(Tabla142[[#This Row],[frecuencia_new]]="Quincenal",RANDBETWEEN(1,2),RANDBETWEEN(1,4))))</f>
        <v>3</v>
      </c>
      <c r="H40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04" t="s">
        <v>64</v>
      </c>
      <c r="K404">
        <f>SUM(MID(Tabla142[[#This Row],[Duración]],1,2)*60,MID(Tabla142[[#This Row],[Duración]],6,2))</f>
        <v>30</v>
      </c>
      <c r="L404" s="4" t="s">
        <v>48</v>
      </c>
      <c r="M404" t="s">
        <v>239</v>
      </c>
      <c r="N404" t="s">
        <v>299</v>
      </c>
      <c r="O404" t="s">
        <v>384</v>
      </c>
      <c r="P404" t="s">
        <v>360</v>
      </c>
      <c r="Q404" s="20">
        <v>46032.649155092593</v>
      </c>
      <c r="R404" t="s">
        <v>5</v>
      </c>
      <c r="T404" t="s">
        <v>448</v>
      </c>
    </row>
    <row r="405" spans="1:20" ht="15" customHeight="1" x14ac:dyDescent="0.25">
      <c r="A405">
        <f t="shared" si="6"/>
        <v>140</v>
      </c>
      <c r="B405" t="s">
        <v>1037</v>
      </c>
      <c r="C405" t="s">
        <v>47</v>
      </c>
      <c r="D405">
        <v>53</v>
      </c>
      <c r="E4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05">
        <f ca="1">IF(Tabla142[[#This Row],[frecuencia_new]]="Diaria"," ",RANDBETWEEN(1,6))</f>
        <v>5</v>
      </c>
      <c r="G405">
        <f ca="1">IF(Tabla142[[#This Row],[frecuencia_new]]="Diaria","",IF(Tabla142[[#This Row],[frecuencia_new]]="Semanal","",IF(Tabla142[[#This Row],[frecuencia_new]]="Quincenal",RANDBETWEEN(1,2),RANDBETWEEN(1,4))))</f>
        <v>1</v>
      </c>
      <c r="H405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405" t="s">
        <v>46</v>
      </c>
      <c r="K405">
        <f>SUM(MID(Tabla142[[#This Row],[Duración]],1,2)*60,MID(Tabla142[[#This Row],[Duración]],6,2))</f>
        <v>30</v>
      </c>
      <c r="L405" s="4" t="s">
        <v>48</v>
      </c>
      <c r="M405" t="s">
        <v>239</v>
      </c>
      <c r="N405" t="s">
        <v>299</v>
      </c>
      <c r="O405" t="s">
        <v>380</v>
      </c>
      <c r="P405" t="s">
        <v>360</v>
      </c>
      <c r="Q405" s="20">
        <v>46032.649155092593</v>
      </c>
      <c r="R405" t="s">
        <v>5</v>
      </c>
      <c r="T405" t="s">
        <v>551</v>
      </c>
    </row>
    <row r="406" spans="1:20" ht="15" customHeight="1" x14ac:dyDescent="0.25">
      <c r="A406">
        <f t="shared" si="6"/>
        <v>177</v>
      </c>
      <c r="B406" t="s">
        <v>1038</v>
      </c>
      <c r="C406" t="s">
        <v>47</v>
      </c>
      <c r="D406">
        <v>53</v>
      </c>
      <c r="E4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06">
        <f ca="1">IF(Tabla142[[#This Row],[frecuencia_new]]="Diaria"," ",RANDBETWEEN(1,6))</f>
        <v>5</v>
      </c>
      <c r="G406">
        <f ca="1">IF(Tabla142[[#This Row],[frecuencia_new]]="Diaria","",IF(Tabla142[[#This Row],[frecuencia_new]]="Semanal","",IF(Tabla142[[#This Row],[frecuencia_new]]="Quincenal",RANDBETWEEN(1,2),RANDBETWEEN(1,4))))</f>
        <v>2</v>
      </c>
      <c r="H4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06" t="s">
        <v>92</v>
      </c>
      <c r="K406">
        <f>SUM(MID(Tabla142[[#This Row],[Duración]],1,2)*60,MID(Tabla142[[#This Row],[Duración]],6,2))</f>
        <v>30</v>
      </c>
      <c r="L406" s="4" t="s">
        <v>48</v>
      </c>
      <c r="M406" t="s">
        <v>239</v>
      </c>
      <c r="N406" t="s">
        <v>299</v>
      </c>
      <c r="O406" t="s">
        <v>389</v>
      </c>
      <c r="P406" t="s">
        <v>363</v>
      </c>
      <c r="Q406" s="20">
        <v>46032.649155092593</v>
      </c>
      <c r="R406" t="s">
        <v>7</v>
      </c>
      <c r="T406" t="s">
        <v>588</v>
      </c>
    </row>
    <row r="407" spans="1:20" ht="15" customHeight="1" x14ac:dyDescent="0.25">
      <c r="A407">
        <f t="shared" si="6"/>
        <v>177</v>
      </c>
      <c r="B407" t="s">
        <v>1039</v>
      </c>
      <c r="C407" t="s">
        <v>47</v>
      </c>
      <c r="D407">
        <v>53</v>
      </c>
      <c r="E4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07">
        <f ca="1">IF(Tabla142[[#This Row],[frecuencia_new]]="Diaria"," ",RANDBETWEEN(1,6))</f>
        <v>3</v>
      </c>
      <c r="G407">
        <f ca="1">IF(Tabla142[[#This Row],[frecuencia_new]]="Diaria","",IF(Tabla142[[#This Row],[frecuencia_new]]="Semanal","",IF(Tabla142[[#This Row],[frecuencia_new]]="Quincenal",RANDBETWEEN(1,2),RANDBETWEEN(1,4))))</f>
        <v>3</v>
      </c>
      <c r="H4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07" t="s">
        <v>93</v>
      </c>
      <c r="K407">
        <f>SUM(MID(Tabla142[[#This Row],[Duración]],1,2)*60,MID(Tabla142[[#This Row],[Duración]],6,2))</f>
        <v>30</v>
      </c>
      <c r="L407" s="4" t="s">
        <v>48</v>
      </c>
      <c r="M407" t="s">
        <v>239</v>
      </c>
      <c r="N407" t="s">
        <v>299</v>
      </c>
      <c r="O407" t="s">
        <v>389</v>
      </c>
      <c r="P407" t="s">
        <v>363</v>
      </c>
      <c r="Q407" s="20">
        <v>46032.649155092593</v>
      </c>
      <c r="R407" t="s">
        <v>7</v>
      </c>
      <c r="T407" t="s">
        <v>588</v>
      </c>
    </row>
    <row r="408" spans="1:20" ht="15" customHeight="1" x14ac:dyDescent="0.25">
      <c r="A408">
        <f t="shared" si="6"/>
        <v>177</v>
      </c>
      <c r="B408" t="s">
        <v>1040</v>
      </c>
      <c r="C408" t="s">
        <v>47</v>
      </c>
      <c r="D408">
        <v>53</v>
      </c>
      <c r="E4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08">
        <f ca="1">IF(Tabla142[[#This Row],[frecuencia_new]]="Diaria"," ",RANDBETWEEN(1,6))</f>
        <v>1</v>
      </c>
      <c r="G408">
        <f ca="1">IF(Tabla142[[#This Row],[frecuencia_new]]="Diaria","",IF(Tabla142[[#This Row],[frecuencia_new]]="Semanal","",IF(Tabla142[[#This Row],[frecuencia_new]]="Quincenal",RANDBETWEEN(1,2),RANDBETWEEN(1,4))))</f>
        <v>1</v>
      </c>
      <c r="H4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08" t="s">
        <v>94</v>
      </c>
      <c r="K408">
        <f>SUM(MID(Tabla142[[#This Row],[Duración]],1,2)*60,MID(Tabla142[[#This Row],[Duración]],6,2))</f>
        <v>30</v>
      </c>
      <c r="L408" s="4" t="s">
        <v>48</v>
      </c>
      <c r="M408" t="s">
        <v>239</v>
      </c>
      <c r="N408" t="s">
        <v>299</v>
      </c>
      <c r="O408" t="s">
        <v>389</v>
      </c>
      <c r="P408" t="s">
        <v>363</v>
      </c>
      <c r="Q408" s="20">
        <v>46032.649155092593</v>
      </c>
      <c r="R408" t="s">
        <v>7</v>
      </c>
      <c r="T408" t="s">
        <v>588</v>
      </c>
    </row>
    <row r="409" spans="1:20" ht="15" customHeight="1" x14ac:dyDescent="0.25">
      <c r="A409">
        <f t="shared" si="6"/>
        <v>177</v>
      </c>
      <c r="B409" t="s">
        <v>1041</v>
      </c>
      <c r="C409" t="s">
        <v>47</v>
      </c>
      <c r="D409">
        <v>53</v>
      </c>
      <c r="E4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09">
        <f ca="1">IF(Tabla142[[#This Row],[frecuencia_new]]="Diaria"," ",RANDBETWEEN(1,6))</f>
        <v>5</v>
      </c>
      <c r="G409">
        <f ca="1">IF(Tabla142[[#This Row],[frecuencia_new]]="Diaria","",IF(Tabla142[[#This Row],[frecuencia_new]]="Semanal","",IF(Tabla142[[#This Row],[frecuencia_new]]="Quincenal",RANDBETWEEN(1,2),RANDBETWEEN(1,4))))</f>
        <v>1</v>
      </c>
      <c r="H40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09" t="s">
        <v>95</v>
      </c>
      <c r="K409">
        <f>SUM(MID(Tabla142[[#This Row],[Duración]],1,2)*60,MID(Tabla142[[#This Row],[Duración]],6,2))</f>
        <v>90</v>
      </c>
      <c r="L409" s="4" t="s">
        <v>96</v>
      </c>
      <c r="M409" t="s">
        <v>239</v>
      </c>
      <c r="N409" t="s">
        <v>299</v>
      </c>
      <c r="O409" t="s">
        <v>389</v>
      </c>
      <c r="P409" t="s">
        <v>363</v>
      </c>
      <c r="Q409" s="20">
        <v>46032.649155092593</v>
      </c>
      <c r="R409" t="s">
        <v>7</v>
      </c>
      <c r="T409" t="s">
        <v>588</v>
      </c>
    </row>
    <row r="410" spans="1:20" ht="15" customHeight="1" x14ac:dyDescent="0.25">
      <c r="A410">
        <f t="shared" si="6"/>
        <v>177</v>
      </c>
      <c r="B410" t="s">
        <v>1042</v>
      </c>
      <c r="C410" t="s">
        <v>47</v>
      </c>
      <c r="D410">
        <v>53</v>
      </c>
      <c r="E4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10">
        <f ca="1">IF(Tabla142[[#This Row],[frecuencia_new]]="Diaria"," ",RANDBETWEEN(1,6))</f>
        <v>4</v>
      </c>
      <c r="G410">
        <f ca="1">IF(Tabla142[[#This Row],[frecuencia_new]]="Diaria","",IF(Tabla142[[#This Row],[frecuencia_new]]="Semanal","",IF(Tabla142[[#This Row],[frecuencia_new]]="Quincenal",RANDBETWEEN(1,2),RANDBETWEEN(1,4))))</f>
        <v>1</v>
      </c>
      <c r="H41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10" t="s">
        <v>97</v>
      </c>
      <c r="K410">
        <f>SUM(MID(Tabla142[[#This Row],[Duración]],1,2)*60,MID(Tabla142[[#This Row],[Duración]],6,2))</f>
        <v>30</v>
      </c>
      <c r="L410" s="4" t="s">
        <v>48</v>
      </c>
      <c r="M410" t="s">
        <v>239</v>
      </c>
      <c r="N410" t="s">
        <v>299</v>
      </c>
      <c r="O410" t="s">
        <v>389</v>
      </c>
      <c r="P410" t="s">
        <v>363</v>
      </c>
      <c r="Q410" s="20">
        <v>46032.649155092593</v>
      </c>
      <c r="R410" t="s">
        <v>18</v>
      </c>
      <c r="T410" t="s">
        <v>588</v>
      </c>
    </row>
    <row r="411" spans="1:20" ht="15" customHeight="1" x14ac:dyDescent="0.25">
      <c r="A411">
        <f t="shared" si="6"/>
        <v>177</v>
      </c>
      <c r="B411" t="s">
        <v>1043</v>
      </c>
      <c r="C411" t="s">
        <v>54</v>
      </c>
      <c r="D411">
        <v>53</v>
      </c>
      <c r="E4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11">
        <f ca="1">IF(Tabla142[[#This Row],[frecuencia_new]]="Diaria"," ",RANDBETWEEN(1,6))</f>
        <v>1</v>
      </c>
      <c r="G411" t="str">
        <f ca="1">IF(Tabla142[[#This Row],[frecuencia_new]]="Diaria","",IF(Tabla142[[#This Row],[frecuencia_new]]="Semanal","",IF(Tabla142[[#This Row],[frecuencia_new]]="Quincenal",RANDBETWEEN(1,2),RANDBETWEEN(1,4))))</f>
        <v/>
      </c>
      <c r="H4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11" t="s">
        <v>57</v>
      </c>
      <c r="K411">
        <f>SUM(MID(Tabla142[[#This Row],[Duración]],1,2)*60,MID(Tabla142[[#This Row],[Duración]],6,2))</f>
        <v>15</v>
      </c>
      <c r="L411" s="4" t="s">
        <v>77</v>
      </c>
      <c r="M411" t="s">
        <v>239</v>
      </c>
      <c r="N411" t="s">
        <v>299</v>
      </c>
      <c r="O411" t="s">
        <v>389</v>
      </c>
      <c r="P411" t="s">
        <v>363</v>
      </c>
      <c r="Q411" s="20">
        <v>46032.649155092593</v>
      </c>
      <c r="R411" t="s">
        <v>8</v>
      </c>
      <c r="T411" t="s">
        <v>588</v>
      </c>
    </row>
    <row r="412" spans="1:20" ht="15" customHeight="1" x14ac:dyDescent="0.25">
      <c r="A412">
        <f t="shared" si="6"/>
        <v>40</v>
      </c>
      <c r="B412" t="s">
        <v>1044</v>
      </c>
      <c r="C412" t="s">
        <v>47</v>
      </c>
      <c r="D412">
        <v>65</v>
      </c>
      <c r="E4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12">
        <f ca="1">IF(Tabla142[[#This Row],[frecuencia_new]]="Diaria"," ",RANDBETWEEN(1,6))</f>
        <v>4</v>
      </c>
      <c r="G412">
        <f ca="1">IF(Tabla142[[#This Row],[frecuencia_new]]="Diaria","",IF(Tabla142[[#This Row],[frecuencia_new]]="Semanal","",IF(Tabla142[[#This Row],[frecuencia_new]]="Quincenal",RANDBETWEEN(1,2),RANDBETWEEN(1,4))))</f>
        <v>2</v>
      </c>
      <c r="H412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12" t="s">
        <v>46</v>
      </c>
      <c r="K412">
        <f>SUM(MID(Tabla142[[#This Row],[Duración]],1,2)*60,MID(Tabla142[[#This Row],[Duración]],6,2))</f>
        <v>30</v>
      </c>
      <c r="L412" s="4" t="s">
        <v>48</v>
      </c>
      <c r="M412" t="s">
        <v>239</v>
      </c>
      <c r="N412" t="s">
        <v>299</v>
      </c>
      <c r="O412" t="s">
        <v>384</v>
      </c>
      <c r="P412" t="s">
        <v>360</v>
      </c>
      <c r="Q412" s="20">
        <v>46032.649155092593</v>
      </c>
      <c r="R412" t="s">
        <v>5</v>
      </c>
      <c r="T412" t="s">
        <v>451</v>
      </c>
    </row>
    <row r="413" spans="1:20" ht="15" customHeight="1" x14ac:dyDescent="0.25">
      <c r="A413">
        <f t="shared" si="6"/>
        <v>40</v>
      </c>
      <c r="B413" t="s">
        <v>1045</v>
      </c>
      <c r="C413" t="s">
        <v>47</v>
      </c>
      <c r="D413">
        <v>65</v>
      </c>
      <c r="E4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13">
        <f ca="1">IF(Tabla142[[#This Row],[frecuencia_new]]="Diaria"," ",RANDBETWEEN(1,6))</f>
        <v>3</v>
      </c>
      <c r="G413">
        <f ca="1">IF(Tabla142[[#This Row],[frecuencia_new]]="Diaria","",IF(Tabla142[[#This Row],[frecuencia_new]]="Semanal","",IF(Tabla142[[#This Row],[frecuencia_new]]="Quincenal",RANDBETWEEN(1,2),RANDBETWEEN(1,4))))</f>
        <v>1</v>
      </c>
      <c r="H4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13" t="s">
        <v>98</v>
      </c>
      <c r="K413">
        <f>SUM(MID(Tabla142[[#This Row],[Duración]],1,2)*60,MID(Tabla142[[#This Row],[Duración]],6,2))</f>
        <v>30</v>
      </c>
      <c r="L413" s="4" t="s">
        <v>48</v>
      </c>
      <c r="M413" t="s">
        <v>239</v>
      </c>
      <c r="N413" t="s">
        <v>299</v>
      </c>
      <c r="O413" t="s">
        <v>384</v>
      </c>
      <c r="P413" t="s">
        <v>360</v>
      </c>
      <c r="Q413" s="20">
        <v>46032.649155092593</v>
      </c>
      <c r="R413" t="s">
        <v>7</v>
      </c>
      <c r="T413" t="s">
        <v>451</v>
      </c>
    </row>
    <row r="414" spans="1:20" ht="15" customHeight="1" x14ac:dyDescent="0.25">
      <c r="A414">
        <f t="shared" si="6"/>
        <v>40</v>
      </c>
      <c r="B414" t="s">
        <v>1046</v>
      </c>
      <c r="C414" t="s">
        <v>47</v>
      </c>
      <c r="D414">
        <v>65</v>
      </c>
      <c r="E4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14">
        <f ca="1">IF(Tabla142[[#This Row],[frecuencia_new]]="Diaria"," ",RANDBETWEEN(1,6))</f>
        <v>1</v>
      </c>
      <c r="G414">
        <f ca="1">IF(Tabla142[[#This Row],[frecuencia_new]]="Diaria","",IF(Tabla142[[#This Row],[frecuencia_new]]="Semanal","",IF(Tabla142[[#This Row],[frecuencia_new]]="Quincenal",RANDBETWEEN(1,2),RANDBETWEEN(1,4))))</f>
        <v>3</v>
      </c>
      <c r="H414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414" t="s">
        <v>52</v>
      </c>
      <c r="K414">
        <f>SUM(MID(Tabla142[[#This Row],[Duración]],1,2)*60,MID(Tabla142[[#This Row],[Duración]],6,2))</f>
        <v>30</v>
      </c>
      <c r="L414" s="4" t="s">
        <v>48</v>
      </c>
      <c r="M414" t="s">
        <v>239</v>
      </c>
      <c r="N414" t="s">
        <v>299</v>
      </c>
      <c r="O414" t="s">
        <v>384</v>
      </c>
      <c r="P414" t="s">
        <v>360</v>
      </c>
      <c r="Q414" s="20">
        <v>46032.649155092593</v>
      </c>
      <c r="R414" t="s">
        <v>5</v>
      </c>
      <c r="T414" t="s">
        <v>451</v>
      </c>
    </row>
    <row r="415" spans="1:20" ht="15" customHeight="1" x14ac:dyDescent="0.25">
      <c r="A415">
        <f t="shared" si="6"/>
        <v>40</v>
      </c>
      <c r="B415" t="s">
        <v>1047</v>
      </c>
      <c r="C415" t="s">
        <v>54</v>
      </c>
      <c r="D415">
        <v>65</v>
      </c>
      <c r="E4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15">
        <f ca="1">IF(Tabla142[[#This Row],[frecuencia_new]]="Diaria"," ",RANDBETWEEN(1,6))</f>
        <v>1</v>
      </c>
      <c r="G415">
        <f ca="1">IF(Tabla142[[#This Row],[frecuencia_new]]="Diaria","",IF(Tabla142[[#This Row],[frecuencia_new]]="Semanal","",IF(Tabla142[[#This Row],[frecuencia_new]]="Quincenal",RANDBETWEEN(1,2),RANDBETWEEN(1,4))))</f>
        <v>3</v>
      </c>
      <c r="H415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15" t="s">
        <v>53</v>
      </c>
      <c r="K415">
        <f>SUM(MID(Tabla142[[#This Row],[Duración]],1,2)*60,MID(Tabla142[[#This Row],[Duración]],6,2))</f>
        <v>30</v>
      </c>
      <c r="L415" s="4" t="s">
        <v>48</v>
      </c>
      <c r="M415" t="s">
        <v>239</v>
      </c>
      <c r="N415" t="s">
        <v>299</v>
      </c>
      <c r="O415" t="s">
        <v>384</v>
      </c>
      <c r="P415" t="s">
        <v>360</v>
      </c>
      <c r="Q415" s="20">
        <v>46032.649155092593</v>
      </c>
      <c r="R415" t="s">
        <v>5</v>
      </c>
      <c r="T415" t="s">
        <v>451</v>
      </c>
    </row>
    <row r="416" spans="1:20" ht="15" customHeight="1" x14ac:dyDescent="0.25">
      <c r="A416">
        <f t="shared" si="6"/>
        <v>40</v>
      </c>
      <c r="B416" t="s">
        <v>1048</v>
      </c>
      <c r="C416" t="s">
        <v>47</v>
      </c>
      <c r="D416">
        <v>65</v>
      </c>
      <c r="E4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16">
        <f ca="1">IF(Tabla142[[#This Row],[frecuencia_new]]="Diaria"," ",RANDBETWEEN(1,6))</f>
        <v>6</v>
      </c>
      <c r="G416">
        <f ca="1">IF(Tabla142[[#This Row],[frecuencia_new]]="Diaria","",IF(Tabla142[[#This Row],[frecuencia_new]]="Semanal","",IF(Tabla142[[#This Row],[frecuencia_new]]="Quincenal",RANDBETWEEN(1,2),RANDBETWEEN(1,4))))</f>
        <v>4</v>
      </c>
      <c r="H416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416" t="s">
        <v>56</v>
      </c>
      <c r="K416">
        <f>SUM(MID(Tabla142[[#This Row],[Duración]],1,2)*60,MID(Tabla142[[#This Row],[Duración]],6,2))</f>
        <v>30</v>
      </c>
      <c r="L416" s="4" t="s">
        <v>48</v>
      </c>
      <c r="M416" t="s">
        <v>239</v>
      </c>
      <c r="N416" t="s">
        <v>299</v>
      </c>
      <c r="O416" t="s">
        <v>384</v>
      </c>
      <c r="P416" t="s">
        <v>360</v>
      </c>
      <c r="Q416" s="20">
        <v>46032.649155092593</v>
      </c>
      <c r="R416" t="s">
        <v>5</v>
      </c>
      <c r="T416" t="s">
        <v>451</v>
      </c>
    </row>
    <row r="417" spans="1:20" ht="15" customHeight="1" x14ac:dyDescent="0.25">
      <c r="A417">
        <f t="shared" si="6"/>
        <v>40</v>
      </c>
      <c r="B417" t="s">
        <v>1049</v>
      </c>
      <c r="C417" t="s">
        <v>47</v>
      </c>
      <c r="D417">
        <v>65</v>
      </c>
      <c r="E4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17">
        <f ca="1">IF(Tabla142[[#This Row],[frecuencia_new]]="Diaria"," ",RANDBETWEEN(1,6))</f>
        <v>6</v>
      </c>
      <c r="G417">
        <f ca="1">IF(Tabla142[[#This Row],[frecuencia_new]]="Diaria","",IF(Tabla142[[#This Row],[frecuencia_new]]="Semanal","",IF(Tabla142[[#This Row],[frecuencia_new]]="Quincenal",RANDBETWEEN(1,2),RANDBETWEEN(1,4))))</f>
        <v>3</v>
      </c>
      <c r="H4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17" t="s">
        <v>104</v>
      </c>
      <c r="K417">
        <f>SUM(MID(Tabla142[[#This Row],[Duración]],1,2)*60,MID(Tabla142[[#This Row],[Duración]],6,2))</f>
        <v>30</v>
      </c>
      <c r="L417" s="4" t="s">
        <v>48</v>
      </c>
      <c r="M417" t="s">
        <v>239</v>
      </c>
      <c r="N417" t="s">
        <v>299</v>
      </c>
      <c r="O417" t="s">
        <v>384</v>
      </c>
      <c r="P417" t="s">
        <v>363</v>
      </c>
      <c r="Q417" s="20">
        <v>46032.649155092593</v>
      </c>
      <c r="R417" t="s">
        <v>7</v>
      </c>
      <c r="T417" t="s">
        <v>451</v>
      </c>
    </row>
    <row r="418" spans="1:20" ht="15" customHeight="1" x14ac:dyDescent="0.25">
      <c r="A418">
        <f t="shared" si="6"/>
        <v>69</v>
      </c>
      <c r="B418" t="s">
        <v>1050</v>
      </c>
      <c r="C418" t="s">
        <v>47</v>
      </c>
      <c r="D418">
        <v>65</v>
      </c>
      <c r="E4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18" t="str">
        <f ca="1">IF(Tabla142[[#This Row],[frecuencia_new]]="Diaria"," ",RANDBETWEEN(1,6))</f>
        <v xml:space="preserve"> </v>
      </c>
      <c r="G418" t="str">
        <f ca="1">IF(Tabla142[[#This Row],[frecuencia_new]]="Diaria","",IF(Tabla142[[#This Row],[frecuencia_new]]="Semanal","",IF(Tabla142[[#This Row],[frecuencia_new]]="Quincenal",RANDBETWEEN(1,2),RANDBETWEEN(1,4))))</f>
        <v/>
      </c>
      <c r="H4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18" t="s">
        <v>101</v>
      </c>
      <c r="K418">
        <f>SUM(MID(Tabla142[[#This Row],[Duración]],1,2)*60,MID(Tabla142[[#This Row],[Duración]],6,2))</f>
        <v>5</v>
      </c>
      <c r="L418" s="4" t="s">
        <v>50</v>
      </c>
      <c r="M418" t="s">
        <v>239</v>
      </c>
      <c r="N418" t="s">
        <v>299</v>
      </c>
      <c r="O418" t="s">
        <v>391</v>
      </c>
      <c r="P418" t="s">
        <v>361</v>
      </c>
      <c r="Q418" s="20">
        <v>46032.649155092593</v>
      </c>
      <c r="R418" t="s">
        <v>6</v>
      </c>
      <c r="T418" t="s">
        <v>480</v>
      </c>
    </row>
    <row r="419" spans="1:20" ht="15" customHeight="1" x14ac:dyDescent="0.25">
      <c r="A419">
        <f t="shared" si="6"/>
        <v>178</v>
      </c>
      <c r="B419" t="s">
        <v>1051</v>
      </c>
      <c r="C419" t="s">
        <v>47</v>
      </c>
      <c r="D419">
        <v>65</v>
      </c>
      <c r="E4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19">
        <f ca="1">IF(Tabla142[[#This Row],[frecuencia_new]]="Diaria"," ",RANDBETWEEN(1,6))</f>
        <v>1</v>
      </c>
      <c r="G419">
        <f ca="1">IF(Tabla142[[#This Row],[frecuencia_new]]="Diaria","",IF(Tabla142[[#This Row],[frecuencia_new]]="Semanal","",IF(Tabla142[[#This Row],[frecuencia_new]]="Quincenal",RANDBETWEEN(1,2),RANDBETWEEN(1,4))))</f>
        <v>4</v>
      </c>
      <c r="H4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19" t="s">
        <v>99</v>
      </c>
      <c r="K419">
        <f>SUM(MID(Tabla142[[#This Row],[Duración]],1,2)*60,MID(Tabla142[[#This Row],[Duración]],6,2))</f>
        <v>30</v>
      </c>
      <c r="L419" s="4" t="s">
        <v>48</v>
      </c>
      <c r="M419" t="s">
        <v>239</v>
      </c>
      <c r="N419" t="s">
        <v>299</v>
      </c>
      <c r="O419" t="s">
        <v>389</v>
      </c>
      <c r="P419" t="s">
        <v>363</v>
      </c>
      <c r="Q419" s="20">
        <v>46032.649155092593</v>
      </c>
      <c r="R419" t="s">
        <v>7</v>
      </c>
      <c r="T419" t="s">
        <v>589</v>
      </c>
    </row>
    <row r="420" spans="1:20" ht="15" customHeight="1" x14ac:dyDescent="0.25">
      <c r="A420">
        <f t="shared" si="6"/>
        <v>178</v>
      </c>
      <c r="B420" t="s">
        <v>1052</v>
      </c>
      <c r="C420" t="s">
        <v>47</v>
      </c>
      <c r="D420">
        <v>65</v>
      </c>
      <c r="E4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20">
        <f ca="1">IF(Tabla142[[#This Row],[frecuencia_new]]="Diaria"," ",RANDBETWEEN(1,6))</f>
        <v>5</v>
      </c>
      <c r="G420" t="str">
        <f ca="1">IF(Tabla142[[#This Row],[frecuencia_new]]="Diaria","",IF(Tabla142[[#This Row],[frecuencia_new]]="Semanal","",IF(Tabla142[[#This Row],[frecuencia_new]]="Quincenal",RANDBETWEEN(1,2),RANDBETWEEN(1,4))))</f>
        <v/>
      </c>
      <c r="H4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20" t="s">
        <v>100</v>
      </c>
      <c r="K420">
        <f>SUM(MID(Tabla142[[#This Row],[Duración]],1,2)*60,MID(Tabla142[[#This Row],[Duración]],6,2))</f>
        <v>20</v>
      </c>
      <c r="L420" s="4" t="s">
        <v>82</v>
      </c>
      <c r="M420" t="s">
        <v>239</v>
      </c>
      <c r="N420" t="s">
        <v>299</v>
      </c>
      <c r="O420" t="s">
        <v>389</v>
      </c>
      <c r="P420" t="s">
        <v>363</v>
      </c>
      <c r="Q420" s="20">
        <v>46032.649155092593</v>
      </c>
      <c r="R420" t="s">
        <v>8</v>
      </c>
      <c r="T420" t="s">
        <v>589</v>
      </c>
    </row>
    <row r="421" spans="1:20" ht="15" customHeight="1" x14ac:dyDescent="0.25">
      <c r="A421">
        <f t="shared" si="6"/>
        <v>178</v>
      </c>
      <c r="B421" t="s">
        <v>1053</v>
      </c>
      <c r="C421" t="s">
        <v>47</v>
      </c>
      <c r="D421">
        <v>65</v>
      </c>
      <c r="E4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21">
        <f ca="1">IF(Tabla142[[#This Row],[frecuencia_new]]="Diaria"," ",RANDBETWEEN(1,6))</f>
        <v>1</v>
      </c>
      <c r="G421">
        <f ca="1">IF(Tabla142[[#This Row],[frecuencia_new]]="Diaria","",IF(Tabla142[[#This Row],[frecuencia_new]]="Semanal","",IF(Tabla142[[#This Row],[frecuencia_new]]="Quincenal",RANDBETWEEN(1,2),RANDBETWEEN(1,4))))</f>
        <v>4</v>
      </c>
      <c r="H421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21" t="s">
        <v>102</v>
      </c>
      <c r="K421">
        <f>SUM(MID(Tabla142[[#This Row],[Duración]],1,2)*60,MID(Tabla142[[#This Row],[Duración]],6,2))</f>
        <v>180</v>
      </c>
      <c r="L421" s="4" t="s">
        <v>65</v>
      </c>
      <c r="M421" t="s">
        <v>239</v>
      </c>
      <c r="N421" t="s">
        <v>299</v>
      </c>
      <c r="O421" t="s">
        <v>389</v>
      </c>
      <c r="P421" t="s">
        <v>363</v>
      </c>
      <c r="Q421" s="20">
        <v>46032.649155092593</v>
      </c>
      <c r="R421" t="s">
        <v>5</v>
      </c>
      <c r="T421" t="s">
        <v>589</v>
      </c>
    </row>
    <row r="422" spans="1:20" ht="15" customHeight="1" x14ac:dyDescent="0.25">
      <c r="A422">
        <f t="shared" si="6"/>
        <v>178</v>
      </c>
      <c r="B422" t="s">
        <v>1054</v>
      </c>
      <c r="C422" t="s">
        <v>47</v>
      </c>
      <c r="D422">
        <v>65</v>
      </c>
      <c r="E4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22">
        <f ca="1">IF(Tabla142[[#This Row],[frecuencia_new]]="Diaria"," ",RANDBETWEEN(1,6))</f>
        <v>6</v>
      </c>
      <c r="G422" t="str">
        <f ca="1">IF(Tabla142[[#This Row],[frecuencia_new]]="Diaria","",IF(Tabla142[[#This Row],[frecuencia_new]]="Semanal","",IF(Tabla142[[#This Row],[frecuencia_new]]="Quincenal",RANDBETWEEN(1,2),RANDBETWEEN(1,4))))</f>
        <v/>
      </c>
      <c r="H4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22" t="s">
        <v>80</v>
      </c>
      <c r="K422">
        <f>SUM(MID(Tabla142[[#This Row],[Duración]],1,2)*60,MID(Tabla142[[#This Row],[Duración]],6,2))</f>
        <v>20</v>
      </c>
      <c r="L422" s="4" t="s">
        <v>82</v>
      </c>
      <c r="M422" t="s">
        <v>239</v>
      </c>
      <c r="N422" t="s">
        <v>299</v>
      </c>
      <c r="O422" t="s">
        <v>389</v>
      </c>
      <c r="P422" t="s">
        <v>363</v>
      </c>
      <c r="Q422" s="20">
        <v>46032.649155092593</v>
      </c>
      <c r="R422" t="s">
        <v>8</v>
      </c>
      <c r="T422" t="s">
        <v>589</v>
      </c>
    </row>
    <row r="423" spans="1:20" x14ac:dyDescent="0.25">
      <c r="A423">
        <f t="shared" si="6"/>
        <v>178</v>
      </c>
      <c r="B423" t="s">
        <v>1055</v>
      </c>
      <c r="C423" t="s">
        <v>47</v>
      </c>
      <c r="D423">
        <v>65</v>
      </c>
      <c r="E4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423">
        <f ca="1">IF(Tabla142[[#This Row],[frecuencia_new]]="Diaria"," ",RANDBETWEEN(1,6))</f>
        <v>3</v>
      </c>
      <c r="G423">
        <f ca="1">IF(Tabla142[[#This Row],[frecuencia_new]]="Diaria","",IF(Tabla142[[#This Row],[frecuencia_new]]="Semanal","",IF(Tabla142[[#This Row],[frecuencia_new]]="Quincenal",RANDBETWEEN(1,2),RANDBETWEEN(1,4))))</f>
        <v>4</v>
      </c>
      <c r="H423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23" t="s">
        <v>103</v>
      </c>
      <c r="K423">
        <f>SUM(MID(Tabla142[[#This Row],[Duración]],1,2)*60,MID(Tabla142[[#This Row],[Duración]],6,2))</f>
        <v>30</v>
      </c>
      <c r="L423" s="4" t="s">
        <v>48</v>
      </c>
      <c r="M423" t="s">
        <v>239</v>
      </c>
      <c r="N423" t="s">
        <v>299</v>
      </c>
      <c r="O423" t="s">
        <v>389</v>
      </c>
      <c r="P423" t="s">
        <v>363</v>
      </c>
      <c r="Q423" s="20">
        <v>46032.649155092593</v>
      </c>
      <c r="R423" t="s">
        <v>20</v>
      </c>
      <c r="T423" t="s">
        <v>589</v>
      </c>
    </row>
    <row r="424" spans="1:20" ht="15" customHeight="1" x14ac:dyDescent="0.25">
      <c r="A424">
        <f t="shared" si="6"/>
        <v>178</v>
      </c>
      <c r="B424" t="s">
        <v>1056</v>
      </c>
      <c r="C424" t="s">
        <v>47</v>
      </c>
      <c r="D424">
        <v>65</v>
      </c>
      <c r="E4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24">
        <f ca="1">IF(Tabla142[[#This Row],[frecuencia_new]]="Diaria"," ",RANDBETWEEN(1,6))</f>
        <v>1</v>
      </c>
      <c r="G424" t="str">
        <f ca="1">IF(Tabla142[[#This Row],[frecuencia_new]]="Diaria","",IF(Tabla142[[#This Row],[frecuencia_new]]="Semanal","",IF(Tabla142[[#This Row],[frecuencia_new]]="Quincenal",RANDBETWEEN(1,2),RANDBETWEEN(1,4))))</f>
        <v/>
      </c>
      <c r="H4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24" t="s">
        <v>57</v>
      </c>
      <c r="K424">
        <f>SUM(MID(Tabla142[[#This Row],[Duración]],1,2)*60,MID(Tabla142[[#This Row],[Duración]],6,2))</f>
        <v>20</v>
      </c>
      <c r="L424" s="4" t="s">
        <v>82</v>
      </c>
      <c r="M424" t="s">
        <v>239</v>
      </c>
      <c r="N424" t="s">
        <v>299</v>
      </c>
      <c r="O424" t="s">
        <v>389</v>
      </c>
      <c r="P424" t="s">
        <v>363</v>
      </c>
      <c r="Q424" s="20">
        <v>46032.649155092593</v>
      </c>
      <c r="R424" t="s">
        <v>8</v>
      </c>
      <c r="T424" t="s">
        <v>589</v>
      </c>
    </row>
    <row r="425" spans="1:20" ht="15" customHeight="1" x14ac:dyDescent="0.25">
      <c r="A425">
        <f t="shared" si="6"/>
        <v>46</v>
      </c>
      <c r="B425" t="s">
        <v>1057</v>
      </c>
      <c r="C425" t="s">
        <v>47</v>
      </c>
      <c r="D425">
        <v>107</v>
      </c>
      <c r="E4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25">
        <f ca="1">IF(Tabla142[[#This Row],[frecuencia_new]]="Diaria"," ",RANDBETWEEN(1,6))</f>
        <v>5</v>
      </c>
      <c r="G425">
        <f ca="1">IF(Tabla142[[#This Row],[frecuencia_new]]="Diaria","",IF(Tabla142[[#This Row],[frecuencia_new]]="Semanal","",IF(Tabla142[[#This Row],[frecuencia_new]]="Quincenal",RANDBETWEEN(1,2),RANDBETWEEN(1,4))))</f>
        <v>1</v>
      </c>
      <c r="H425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425" t="s">
        <v>116</v>
      </c>
      <c r="K425">
        <f>SUM(MID(Tabla142[[#This Row],[Duración]],1,2)*60,MID(Tabla142[[#This Row],[Duración]],6,2))</f>
        <v>60</v>
      </c>
      <c r="L425" s="4" t="s">
        <v>58</v>
      </c>
      <c r="M425" t="s">
        <v>239</v>
      </c>
      <c r="N425" t="s">
        <v>299</v>
      </c>
      <c r="O425" t="s">
        <v>384</v>
      </c>
      <c r="P425" t="s">
        <v>360</v>
      </c>
      <c r="Q425" s="20">
        <v>46032.649155092593</v>
      </c>
      <c r="R425" t="s">
        <v>5</v>
      </c>
      <c r="T425" t="s">
        <v>457</v>
      </c>
    </row>
    <row r="426" spans="1:20" ht="15" customHeight="1" x14ac:dyDescent="0.25">
      <c r="A426">
        <f t="shared" si="6"/>
        <v>46</v>
      </c>
      <c r="B426" t="s">
        <v>1058</v>
      </c>
      <c r="C426" t="s">
        <v>47</v>
      </c>
      <c r="D426">
        <v>107</v>
      </c>
      <c r="E4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26">
        <f ca="1">IF(Tabla142[[#This Row],[frecuencia_new]]="Diaria"," ",RANDBETWEEN(1,6))</f>
        <v>4</v>
      </c>
      <c r="G426">
        <f ca="1">IF(Tabla142[[#This Row],[frecuencia_new]]="Diaria","",IF(Tabla142[[#This Row],[frecuencia_new]]="Semanal","",IF(Tabla142[[#This Row],[frecuencia_new]]="Quincenal",RANDBETWEEN(1,2),RANDBETWEEN(1,4))))</f>
        <v>1</v>
      </c>
      <c r="H426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426" t="s">
        <v>46</v>
      </c>
      <c r="K426">
        <f>SUM(MID(Tabla142[[#This Row],[Duración]],1,2)*60,MID(Tabla142[[#This Row],[Duración]],6,2))</f>
        <v>90</v>
      </c>
      <c r="L426" s="4" t="s">
        <v>96</v>
      </c>
      <c r="M426" t="s">
        <v>239</v>
      </c>
      <c r="N426" t="s">
        <v>299</v>
      </c>
      <c r="O426" t="s">
        <v>384</v>
      </c>
      <c r="P426" t="s">
        <v>360</v>
      </c>
      <c r="Q426" s="20">
        <v>46032.649155092593</v>
      </c>
      <c r="R426" t="s">
        <v>5</v>
      </c>
      <c r="T426" t="s">
        <v>457</v>
      </c>
    </row>
    <row r="427" spans="1:20" ht="15" customHeight="1" x14ac:dyDescent="0.25">
      <c r="A427">
        <f t="shared" si="6"/>
        <v>46</v>
      </c>
      <c r="B427" t="s">
        <v>1059</v>
      </c>
      <c r="C427" t="s">
        <v>47</v>
      </c>
      <c r="D427">
        <v>107</v>
      </c>
      <c r="E4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27">
        <f ca="1">IF(Tabla142[[#This Row],[frecuencia_new]]="Diaria"," ",RANDBETWEEN(1,6))</f>
        <v>1</v>
      </c>
      <c r="G427">
        <f ca="1">IF(Tabla142[[#This Row],[frecuencia_new]]="Diaria","",IF(Tabla142[[#This Row],[frecuencia_new]]="Semanal","",IF(Tabla142[[#This Row],[frecuencia_new]]="Quincenal",RANDBETWEEN(1,2),RANDBETWEEN(1,4))))</f>
        <v>3</v>
      </c>
      <c r="H427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27" t="s">
        <v>53</v>
      </c>
      <c r="K427">
        <f>SUM(MID(Tabla142[[#This Row],[Duración]],1,2)*60,MID(Tabla142[[#This Row],[Duración]],6,2))</f>
        <v>90</v>
      </c>
      <c r="L427" s="4" t="s">
        <v>96</v>
      </c>
      <c r="M427" t="s">
        <v>239</v>
      </c>
      <c r="N427" t="s">
        <v>299</v>
      </c>
      <c r="O427" t="s">
        <v>384</v>
      </c>
      <c r="P427" t="s">
        <v>360</v>
      </c>
      <c r="Q427" s="20">
        <v>46032.649155092593</v>
      </c>
      <c r="R427" t="s">
        <v>5</v>
      </c>
      <c r="T427" t="s">
        <v>457</v>
      </c>
    </row>
    <row r="428" spans="1:20" ht="15" customHeight="1" x14ac:dyDescent="0.25">
      <c r="A428">
        <f t="shared" si="6"/>
        <v>46</v>
      </c>
      <c r="B428" t="s">
        <v>1060</v>
      </c>
      <c r="C428" t="s">
        <v>47</v>
      </c>
      <c r="D428">
        <v>107</v>
      </c>
      <c r="E4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28">
        <f ca="1">IF(Tabla142[[#This Row],[frecuencia_new]]="Diaria"," ",RANDBETWEEN(1,6))</f>
        <v>5</v>
      </c>
      <c r="G428">
        <f ca="1">IF(Tabla142[[#This Row],[frecuencia_new]]="Diaria","",IF(Tabla142[[#This Row],[frecuencia_new]]="Semanal","",IF(Tabla142[[#This Row],[frecuencia_new]]="Quincenal",RANDBETWEEN(1,2),RANDBETWEEN(1,4))))</f>
        <v>2</v>
      </c>
      <c r="H42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428" t="s">
        <v>147</v>
      </c>
      <c r="K428">
        <f>SUM(MID(Tabla142[[#This Row],[Duración]],1,2)*60,MID(Tabla142[[#This Row],[Duración]],6,2))</f>
        <v>90</v>
      </c>
      <c r="L428" s="4" t="s">
        <v>96</v>
      </c>
      <c r="M428" t="s">
        <v>239</v>
      </c>
      <c r="N428" t="s">
        <v>299</v>
      </c>
      <c r="O428" t="s">
        <v>384</v>
      </c>
      <c r="P428" t="s">
        <v>360</v>
      </c>
      <c r="Q428" s="20">
        <v>46032.649155092593</v>
      </c>
      <c r="R428" t="s">
        <v>5</v>
      </c>
      <c r="T428" t="s">
        <v>457</v>
      </c>
    </row>
    <row r="429" spans="1:20" ht="15" customHeight="1" x14ac:dyDescent="0.25">
      <c r="A429">
        <f t="shared" si="6"/>
        <v>46</v>
      </c>
      <c r="B429" t="s">
        <v>1061</v>
      </c>
      <c r="C429" t="s">
        <v>47</v>
      </c>
      <c r="D429">
        <v>107</v>
      </c>
      <c r="E4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29">
        <f ca="1">IF(Tabla142[[#This Row],[frecuencia_new]]="Diaria"," ",RANDBETWEEN(1,6))</f>
        <v>2</v>
      </c>
      <c r="G429">
        <f ca="1">IF(Tabla142[[#This Row],[frecuencia_new]]="Diaria","",IF(Tabla142[[#This Row],[frecuencia_new]]="Semanal","",IF(Tabla142[[#This Row],[frecuencia_new]]="Quincenal",RANDBETWEEN(1,2),RANDBETWEEN(1,4))))</f>
        <v>1</v>
      </c>
      <c r="H429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29" t="s">
        <v>64</v>
      </c>
      <c r="K429">
        <f>SUM(MID(Tabla142[[#This Row],[Duración]],1,2)*60,MID(Tabla142[[#This Row],[Duración]],6,2))</f>
        <v>90</v>
      </c>
      <c r="L429" s="4" t="s">
        <v>96</v>
      </c>
      <c r="M429" t="s">
        <v>239</v>
      </c>
      <c r="N429" t="s">
        <v>299</v>
      </c>
      <c r="O429" t="s">
        <v>384</v>
      </c>
      <c r="P429" t="s">
        <v>360</v>
      </c>
      <c r="Q429" s="20">
        <v>46032.649155092593</v>
      </c>
      <c r="R429" t="s">
        <v>5</v>
      </c>
      <c r="T429" t="s">
        <v>457</v>
      </c>
    </row>
    <row r="430" spans="1:20" ht="15" customHeight="1" x14ac:dyDescent="0.25">
      <c r="A430">
        <f t="shared" si="6"/>
        <v>46</v>
      </c>
      <c r="B430" t="s">
        <v>1062</v>
      </c>
      <c r="C430" t="s">
        <v>47</v>
      </c>
      <c r="D430">
        <v>107</v>
      </c>
      <c r="E4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30">
        <f ca="1">IF(Tabla142[[#This Row],[frecuencia_new]]="Diaria"," ",RANDBETWEEN(1,6))</f>
        <v>3</v>
      </c>
      <c r="G430">
        <f ca="1">IF(Tabla142[[#This Row],[frecuencia_new]]="Diaria","",IF(Tabla142[[#This Row],[frecuencia_new]]="Semanal","",IF(Tabla142[[#This Row],[frecuencia_new]]="Quincenal",RANDBETWEEN(1,2),RANDBETWEEN(1,4))))</f>
        <v>1</v>
      </c>
      <c r="H430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430" t="s">
        <v>46</v>
      </c>
      <c r="K430">
        <f>SUM(MID(Tabla142[[#This Row],[Duración]],1,2)*60,MID(Tabla142[[#This Row],[Duración]],6,2))</f>
        <v>30</v>
      </c>
      <c r="L430" s="4" t="s">
        <v>48</v>
      </c>
      <c r="M430" t="s">
        <v>239</v>
      </c>
      <c r="N430" t="s">
        <v>299</v>
      </c>
      <c r="O430" t="s">
        <v>384</v>
      </c>
      <c r="P430" t="s">
        <v>360</v>
      </c>
      <c r="Q430" s="20">
        <v>46032.649155092593</v>
      </c>
      <c r="R430" t="s">
        <v>5</v>
      </c>
      <c r="T430" t="s">
        <v>457</v>
      </c>
    </row>
    <row r="431" spans="1:20" ht="15" customHeight="1" x14ac:dyDescent="0.25">
      <c r="A431">
        <f t="shared" si="6"/>
        <v>46</v>
      </c>
      <c r="B431" t="s">
        <v>1063</v>
      </c>
      <c r="C431" t="s">
        <v>47</v>
      </c>
      <c r="D431">
        <v>107</v>
      </c>
      <c r="E4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31">
        <f ca="1">IF(Tabla142[[#This Row],[frecuencia_new]]="Diaria"," ",RANDBETWEEN(1,6))</f>
        <v>1</v>
      </c>
      <c r="G431">
        <f ca="1">IF(Tabla142[[#This Row],[frecuencia_new]]="Diaria","",IF(Tabla142[[#This Row],[frecuencia_new]]="Semanal","",IF(Tabla142[[#This Row],[frecuencia_new]]="Quincenal",RANDBETWEEN(1,2),RANDBETWEEN(1,4))))</f>
        <v>2</v>
      </c>
      <c r="H431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31" t="s">
        <v>52</v>
      </c>
      <c r="K431">
        <f>SUM(MID(Tabla142[[#This Row],[Duración]],1,2)*60,MID(Tabla142[[#This Row],[Duración]],6,2))</f>
        <v>30</v>
      </c>
      <c r="L431" s="4" t="s">
        <v>48</v>
      </c>
      <c r="M431" t="s">
        <v>239</v>
      </c>
      <c r="N431" t="s">
        <v>299</v>
      </c>
      <c r="O431" t="s">
        <v>384</v>
      </c>
      <c r="P431" t="s">
        <v>360</v>
      </c>
      <c r="Q431" s="20">
        <v>46032.649155092593</v>
      </c>
      <c r="R431" t="s">
        <v>5</v>
      </c>
      <c r="T431" t="s">
        <v>457</v>
      </c>
    </row>
    <row r="432" spans="1:20" ht="15" customHeight="1" x14ac:dyDescent="0.25">
      <c r="A432">
        <f t="shared" si="6"/>
        <v>46</v>
      </c>
      <c r="B432" t="s">
        <v>1064</v>
      </c>
      <c r="C432" t="s">
        <v>54</v>
      </c>
      <c r="D432">
        <v>107</v>
      </c>
      <c r="E4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32">
        <f ca="1">IF(Tabla142[[#This Row],[frecuencia_new]]="Diaria"," ",RANDBETWEEN(1,6))</f>
        <v>4</v>
      </c>
      <c r="G432">
        <f ca="1">IF(Tabla142[[#This Row],[frecuencia_new]]="Diaria","",IF(Tabla142[[#This Row],[frecuencia_new]]="Semanal","",IF(Tabla142[[#This Row],[frecuencia_new]]="Quincenal",RANDBETWEEN(1,2),RANDBETWEEN(1,4))))</f>
        <v>3</v>
      </c>
      <c r="H432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432" t="s">
        <v>53</v>
      </c>
      <c r="K432">
        <f>SUM(MID(Tabla142[[#This Row],[Duración]],1,2)*60,MID(Tabla142[[#This Row],[Duración]],6,2))</f>
        <v>30</v>
      </c>
      <c r="L432" s="4" t="s">
        <v>48</v>
      </c>
      <c r="M432" t="s">
        <v>239</v>
      </c>
      <c r="N432" t="s">
        <v>299</v>
      </c>
      <c r="O432" t="s">
        <v>384</v>
      </c>
      <c r="P432" t="s">
        <v>360</v>
      </c>
      <c r="Q432" s="20">
        <v>46032.649155092593</v>
      </c>
      <c r="R432" t="s">
        <v>5</v>
      </c>
      <c r="T432" t="s">
        <v>457</v>
      </c>
    </row>
    <row r="433" spans="1:20" ht="15" customHeight="1" x14ac:dyDescent="0.25">
      <c r="A433">
        <f t="shared" si="6"/>
        <v>46</v>
      </c>
      <c r="B433" t="s">
        <v>1065</v>
      </c>
      <c r="C433" t="s">
        <v>47</v>
      </c>
      <c r="D433">
        <v>107</v>
      </c>
      <c r="E4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33">
        <f ca="1">IF(Tabla142[[#This Row],[frecuencia_new]]="Diaria"," ",RANDBETWEEN(1,6))</f>
        <v>1</v>
      </c>
      <c r="G433">
        <f ca="1">IF(Tabla142[[#This Row],[frecuencia_new]]="Diaria","",IF(Tabla142[[#This Row],[frecuencia_new]]="Semanal","",IF(Tabla142[[#This Row],[frecuencia_new]]="Quincenal",RANDBETWEEN(1,2),RANDBETWEEN(1,4))))</f>
        <v>3</v>
      </c>
      <c r="H433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433" t="s">
        <v>64</v>
      </c>
      <c r="K433">
        <f>SUM(MID(Tabla142[[#This Row],[Duración]],1,2)*60,MID(Tabla142[[#This Row],[Duración]],6,2))</f>
        <v>30</v>
      </c>
      <c r="L433" s="4" t="s">
        <v>48</v>
      </c>
      <c r="M433" t="s">
        <v>239</v>
      </c>
      <c r="N433" t="s">
        <v>299</v>
      </c>
      <c r="O433" t="s">
        <v>384</v>
      </c>
      <c r="P433" t="s">
        <v>360</v>
      </c>
      <c r="Q433" s="20">
        <v>46032.649155092593</v>
      </c>
      <c r="R433" t="s">
        <v>5</v>
      </c>
      <c r="T433" t="s">
        <v>457</v>
      </c>
    </row>
    <row r="434" spans="1:20" ht="15" customHeight="1" x14ac:dyDescent="0.25">
      <c r="A434">
        <f t="shared" si="6"/>
        <v>168</v>
      </c>
      <c r="B434" t="s">
        <v>1066</v>
      </c>
      <c r="C434" t="s">
        <v>47</v>
      </c>
      <c r="D434">
        <v>107</v>
      </c>
      <c r="E4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34" t="str">
        <f ca="1">IF(Tabla142[[#This Row],[frecuencia_new]]="Diaria"," ",RANDBETWEEN(1,6))</f>
        <v xml:space="preserve"> </v>
      </c>
      <c r="G434" t="str">
        <f ca="1">IF(Tabla142[[#This Row],[frecuencia_new]]="Diaria","",IF(Tabla142[[#This Row],[frecuencia_new]]="Semanal","",IF(Tabla142[[#This Row],[frecuencia_new]]="Quincenal",RANDBETWEEN(1,2),RANDBETWEEN(1,4))))</f>
        <v/>
      </c>
      <c r="H4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34" t="s">
        <v>136</v>
      </c>
      <c r="K434">
        <f>SUM(MID(Tabla142[[#This Row],[Duración]],1,2)*60,MID(Tabla142[[#This Row],[Duración]],6,2))</f>
        <v>2</v>
      </c>
      <c r="L434" s="4" t="s">
        <v>60</v>
      </c>
      <c r="M434" t="s">
        <v>239</v>
      </c>
      <c r="N434" t="s">
        <v>299</v>
      </c>
      <c r="O434" t="s">
        <v>388</v>
      </c>
      <c r="P434" t="s">
        <v>361</v>
      </c>
      <c r="Q434" s="20">
        <v>46032.649155092593</v>
      </c>
      <c r="R434" t="s">
        <v>6</v>
      </c>
      <c r="T434" t="s">
        <v>579</v>
      </c>
    </row>
    <row r="435" spans="1:20" ht="15" customHeight="1" x14ac:dyDescent="0.25">
      <c r="A435">
        <f t="shared" si="6"/>
        <v>168</v>
      </c>
      <c r="B435" t="s">
        <v>1067</v>
      </c>
      <c r="C435" t="s">
        <v>47</v>
      </c>
      <c r="D435">
        <v>107</v>
      </c>
      <c r="E4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35" t="str">
        <f ca="1">IF(Tabla142[[#This Row],[frecuencia_new]]="Diaria"," ",RANDBETWEEN(1,6))</f>
        <v xml:space="preserve"> </v>
      </c>
      <c r="G435" t="str">
        <f ca="1">IF(Tabla142[[#This Row],[frecuencia_new]]="Diaria","",IF(Tabla142[[#This Row],[frecuencia_new]]="Semanal","",IF(Tabla142[[#This Row],[frecuencia_new]]="Quincenal",RANDBETWEEN(1,2),RANDBETWEEN(1,4))))</f>
        <v/>
      </c>
      <c r="H4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35" t="s">
        <v>139</v>
      </c>
      <c r="K435">
        <f>SUM(MID(Tabla142[[#This Row],[Duración]],1,2)*60,MID(Tabla142[[#This Row],[Duración]],6,2))</f>
        <v>2</v>
      </c>
      <c r="L435" s="4" t="s">
        <v>60</v>
      </c>
      <c r="M435" t="s">
        <v>239</v>
      </c>
      <c r="N435" t="s">
        <v>299</v>
      </c>
      <c r="O435" t="s">
        <v>388</v>
      </c>
      <c r="P435" t="s">
        <v>361</v>
      </c>
      <c r="Q435" s="20">
        <v>46032.649155092593</v>
      </c>
      <c r="R435" t="s">
        <v>6</v>
      </c>
      <c r="T435" t="s">
        <v>579</v>
      </c>
    </row>
    <row r="436" spans="1:20" ht="15" customHeight="1" x14ac:dyDescent="0.25">
      <c r="A436">
        <f t="shared" si="6"/>
        <v>168</v>
      </c>
      <c r="B436" t="s">
        <v>1068</v>
      </c>
      <c r="C436" t="s">
        <v>47</v>
      </c>
      <c r="D436">
        <v>107</v>
      </c>
      <c r="E4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436" t="str">
        <f ca="1">IF(Tabla142[[#This Row],[frecuencia_new]]="Diaria"," ",RANDBETWEEN(1,6))</f>
        <v xml:space="preserve"> </v>
      </c>
      <c r="G436" t="str">
        <f ca="1">IF(Tabla142[[#This Row],[frecuencia_new]]="Diaria","",IF(Tabla142[[#This Row],[frecuencia_new]]="Semanal","",IF(Tabla142[[#This Row],[frecuencia_new]]="Quincenal",RANDBETWEEN(1,2),RANDBETWEEN(1,4))))</f>
        <v/>
      </c>
      <c r="H4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36" t="s">
        <v>372</v>
      </c>
      <c r="K436">
        <f>SUM(MID(Tabla142[[#This Row],[Duración]],1,2)*60,MID(Tabla142[[#This Row],[Duración]],6,2))</f>
        <v>2</v>
      </c>
      <c r="L436" s="4" t="s">
        <v>60</v>
      </c>
      <c r="M436" t="s">
        <v>239</v>
      </c>
      <c r="N436" t="s">
        <v>299</v>
      </c>
      <c r="O436" t="s">
        <v>388</v>
      </c>
      <c r="P436" t="s">
        <v>361</v>
      </c>
      <c r="Q436" s="20">
        <v>46032.649155092593</v>
      </c>
      <c r="R436" t="s">
        <v>6</v>
      </c>
      <c r="T436" t="s">
        <v>579</v>
      </c>
    </row>
    <row r="437" spans="1:20" ht="15" customHeight="1" x14ac:dyDescent="0.25">
      <c r="A437">
        <f t="shared" si="6"/>
        <v>179</v>
      </c>
      <c r="B437" t="s">
        <v>1069</v>
      </c>
      <c r="C437" t="s">
        <v>47</v>
      </c>
      <c r="D437">
        <v>107</v>
      </c>
      <c r="E4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37">
        <f ca="1">IF(Tabla142[[#This Row],[frecuencia_new]]="Diaria"," ",RANDBETWEEN(1,6))</f>
        <v>3</v>
      </c>
      <c r="G437">
        <f ca="1">IF(Tabla142[[#This Row],[frecuencia_new]]="Diaria","",IF(Tabla142[[#This Row],[frecuencia_new]]="Semanal","",IF(Tabla142[[#This Row],[frecuencia_new]]="Quincenal",RANDBETWEEN(1,2),RANDBETWEEN(1,4))))</f>
        <v>4</v>
      </c>
      <c r="H437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437" t="s">
        <v>115</v>
      </c>
      <c r="K437">
        <f>SUM(MID(Tabla142[[#This Row],[Duración]],1,2)*60,MID(Tabla142[[#This Row],[Duración]],6,2))</f>
        <v>60</v>
      </c>
      <c r="L437" s="4" t="s">
        <v>58</v>
      </c>
      <c r="M437" t="s">
        <v>239</v>
      </c>
      <c r="N437" t="s">
        <v>299</v>
      </c>
      <c r="O437" t="s">
        <v>389</v>
      </c>
      <c r="P437" t="s">
        <v>363</v>
      </c>
      <c r="Q437" s="20">
        <v>46032.649155092593</v>
      </c>
      <c r="R437" t="s">
        <v>5</v>
      </c>
      <c r="T437" t="s">
        <v>590</v>
      </c>
    </row>
    <row r="438" spans="1:20" ht="15" customHeight="1" x14ac:dyDescent="0.25">
      <c r="A438">
        <f t="shared" si="6"/>
        <v>179</v>
      </c>
      <c r="B438" t="s">
        <v>1070</v>
      </c>
      <c r="C438" t="s">
        <v>47</v>
      </c>
      <c r="D438">
        <v>107</v>
      </c>
      <c r="E4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38">
        <f ca="1">IF(Tabla142[[#This Row],[frecuencia_new]]="Diaria"," ",RANDBETWEEN(1,6))</f>
        <v>2</v>
      </c>
      <c r="G438">
        <f ca="1">IF(Tabla142[[#This Row],[frecuencia_new]]="Diaria","",IF(Tabla142[[#This Row],[frecuencia_new]]="Semanal","",IF(Tabla142[[#This Row],[frecuencia_new]]="Quincenal",RANDBETWEEN(1,2),RANDBETWEEN(1,4))))</f>
        <v>2</v>
      </c>
      <c r="H43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438" t="s">
        <v>117</v>
      </c>
      <c r="K438">
        <f>SUM(MID(Tabla142[[#This Row],[Duración]],1,2)*60,MID(Tabla142[[#This Row],[Duración]],6,2))</f>
        <v>90</v>
      </c>
      <c r="L438" s="4" t="s">
        <v>96</v>
      </c>
      <c r="M438" t="s">
        <v>239</v>
      </c>
      <c r="N438" t="s">
        <v>299</v>
      </c>
      <c r="O438" t="s">
        <v>389</v>
      </c>
      <c r="P438" t="s">
        <v>363</v>
      </c>
      <c r="Q438" s="20">
        <v>46032.649155092593</v>
      </c>
      <c r="R438" t="s">
        <v>5</v>
      </c>
      <c r="T438" t="s">
        <v>590</v>
      </c>
    </row>
    <row r="439" spans="1:20" ht="15" customHeight="1" x14ac:dyDescent="0.25">
      <c r="A439">
        <f t="shared" si="6"/>
        <v>179</v>
      </c>
      <c r="B439" t="s">
        <v>1071</v>
      </c>
      <c r="C439" t="s">
        <v>47</v>
      </c>
      <c r="D439">
        <v>107</v>
      </c>
      <c r="E4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39">
        <f ca="1">IF(Tabla142[[#This Row],[frecuencia_new]]="Diaria"," ",RANDBETWEEN(1,6))</f>
        <v>6</v>
      </c>
      <c r="G439">
        <f ca="1">IF(Tabla142[[#This Row],[frecuencia_new]]="Diaria","",IF(Tabla142[[#This Row],[frecuencia_new]]="Semanal","",IF(Tabla142[[#This Row],[frecuencia_new]]="Quincenal",RANDBETWEEN(1,2),RANDBETWEEN(1,4))))</f>
        <v>1</v>
      </c>
      <c r="H4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39" t="s">
        <v>118</v>
      </c>
      <c r="K439">
        <f>SUM(MID(Tabla142[[#This Row],[Duración]],1,2)*60,MID(Tabla142[[#This Row],[Duración]],6,2))</f>
        <v>10</v>
      </c>
      <c r="L439" s="4" t="s">
        <v>71</v>
      </c>
      <c r="M439" t="s">
        <v>239</v>
      </c>
      <c r="N439" t="s">
        <v>299</v>
      </c>
      <c r="O439" t="s">
        <v>389</v>
      </c>
      <c r="P439" t="s">
        <v>363</v>
      </c>
      <c r="Q439" s="20">
        <v>46032.649155092593</v>
      </c>
      <c r="R439" t="s">
        <v>7</v>
      </c>
      <c r="T439" t="s">
        <v>590</v>
      </c>
    </row>
    <row r="440" spans="1:20" ht="15" customHeight="1" x14ac:dyDescent="0.25">
      <c r="A440">
        <f t="shared" si="6"/>
        <v>179</v>
      </c>
      <c r="B440" t="s">
        <v>1072</v>
      </c>
      <c r="C440" t="s">
        <v>47</v>
      </c>
      <c r="D440">
        <v>107</v>
      </c>
      <c r="E4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40">
        <f ca="1">IF(Tabla142[[#This Row],[frecuencia_new]]="Diaria"," ",RANDBETWEEN(1,6))</f>
        <v>5</v>
      </c>
      <c r="G440">
        <f ca="1">IF(Tabla142[[#This Row],[frecuencia_new]]="Diaria","",IF(Tabla142[[#This Row],[frecuencia_new]]="Semanal","",IF(Tabla142[[#This Row],[frecuencia_new]]="Quincenal",RANDBETWEEN(1,2),RANDBETWEEN(1,4))))</f>
        <v>2</v>
      </c>
      <c r="H4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0" t="s">
        <v>119</v>
      </c>
      <c r="K440">
        <f>SUM(MID(Tabla142[[#This Row],[Duración]],1,2)*60,MID(Tabla142[[#This Row],[Duración]],6,2))</f>
        <v>10</v>
      </c>
      <c r="L440" s="4" t="s">
        <v>71</v>
      </c>
      <c r="M440" t="s">
        <v>239</v>
      </c>
      <c r="N440" t="s">
        <v>299</v>
      </c>
      <c r="O440" t="s">
        <v>389</v>
      </c>
      <c r="P440" t="s">
        <v>363</v>
      </c>
      <c r="Q440" s="20">
        <v>46032.649155092593</v>
      </c>
      <c r="R440" t="s">
        <v>7</v>
      </c>
      <c r="T440" t="s">
        <v>590</v>
      </c>
    </row>
    <row r="441" spans="1:20" ht="15" customHeight="1" x14ac:dyDescent="0.25">
      <c r="A441">
        <f t="shared" si="6"/>
        <v>179</v>
      </c>
      <c r="B441" t="s">
        <v>1073</v>
      </c>
      <c r="C441" t="s">
        <v>47</v>
      </c>
      <c r="D441">
        <v>107</v>
      </c>
      <c r="E4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41">
        <f ca="1">IF(Tabla142[[#This Row],[frecuencia_new]]="Diaria"," ",RANDBETWEEN(1,6))</f>
        <v>2</v>
      </c>
      <c r="G441">
        <f ca="1">IF(Tabla142[[#This Row],[frecuencia_new]]="Diaria","",IF(Tabla142[[#This Row],[frecuencia_new]]="Semanal","",IF(Tabla142[[#This Row],[frecuencia_new]]="Quincenal",RANDBETWEEN(1,2),RANDBETWEEN(1,4))))</f>
        <v>3</v>
      </c>
      <c r="H4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1" t="s">
        <v>120</v>
      </c>
      <c r="K441">
        <f>SUM(MID(Tabla142[[#This Row],[Duración]],1,2)*60,MID(Tabla142[[#This Row],[Duración]],6,2))</f>
        <v>90</v>
      </c>
      <c r="L441" s="4" t="s">
        <v>96</v>
      </c>
      <c r="M441" t="s">
        <v>239</v>
      </c>
      <c r="N441" t="s">
        <v>299</v>
      </c>
      <c r="O441" t="s">
        <v>389</v>
      </c>
      <c r="P441" t="s">
        <v>363</v>
      </c>
      <c r="Q441" s="20">
        <v>46032.649155092593</v>
      </c>
      <c r="R441" t="s">
        <v>7</v>
      </c>
      <c r="T441" t="s">
        <v>590</v>
      </c>
    </row>
    <row r="442" spans="1:20" ht="15" customHeight="1" x14ac:dyDescent="0.25">
      <c r="A442">
        <f t="shared" si="6"/>
        <v>179</v>
      </c>
      <c r="B442" t="s">
        <v>1074</v>
      </c>
      <c r="C442" t="s">
        <v>47</v>
      </c>
      <c r="D442">
        <v>107</v>
      </c>
      <c r="E4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2">
        <f ca="1">IF(Tabla142[[#This Row],[frecuencia_new]]="Diaria"," ",RANDBETWEEN(1,6))</f>
        <v>6</v>
      </c>
      <c r="G442" t="str">
        <f ca="1">IF(Tabla142[[#This Row],[frecuencia_new]]="Diaria","",IF(Tabla142[[#This Row],[frecuencia_new]]="Semanal","",IF(Tabla142[[#This Row],[frecuencia_new]]="Quincenal",RANDBETWEEN(1,2),RANDBETWEEN(1,4))))</f>
        <v/>
      </c>
      <c r="H4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2" t="s">
        <v>121</v>
      </c>
      <c r="K442">
        <f>SUM(MID(Tabla142[[#This Row],[Duración]],1,2)*60,MID(Tabla142[[#This Row],[Duración]],6,2))</f>
        <v>5</v>
      </c>
      <c r="L442" s="4" t="s">
        <v>50</v>
      </c>
      <c r="M442" t="s">
        <v>239</v>
      </c>
      <c r="N442" t="s">
        <v>299</v>
      </c>
      <c r="O442" t="s">
        <v>389</v>
      </c>
      <c r="P442" t="s">
        <v>363</v>
      </c>
      <c r="Q442" s="20">
        <v>46032.649155092593</v>
      </c>
      <c r="R442" t="s">
        <v>8</v>
      </c>
      <c r="T442" t="s">
        <v>590</v>
      </c>
    </row>
    <row r="443" spans="1:20" ht="15" customHeight="1" x14ac:dyDescent="0.25">
      <c r="A443">
        <f t="shared" si="6"/>
        <v>179</v>
      </c>
      <c r="B443" t="s">
        <v>1075</v>
      </c>
      <c r="C443" t="s">
        <v>47</v>
      </c>
      <c r="D443">
        <v>107</v>
      </c>
      <c r="E4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43">
        <f ca="1">IF(Tabla142[[#This Row],[frecuencia_new]]="Diaria"," ",RANDBETWEEN(1,6))</f>
        <v>1</v>
      </c>
      <c r="G443">
        <f ca="1">IF(Tabla142[[#This Row],[frecuencia_new]]="Diaria","",IF(Tabla142[[#This Row],[frecuencia_new]]="Semanal","",IF(Tabla142[[#This Row],[frecuencia_new]]="Quincenal",RANDBETWEEN(1,2),RANDBETWEEN(1,4))))</f>
        <v>4</v>
      </c>
      <c r="H443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443" t="s">
        <v>122</v>
      </c>
      <c r="K443">
        <f>SUM(MID(Tabla142[[#This Row],[Duración]],1,2)*60,MID(Tabla142[[#This Row],[Duración]],6,2))</f>
        <v>30</v>
      </c>
      <c r="L443" s="4" t="s">
        <v>48</v>
      </c>
      <c r="M443" t="s">
        <v>239</v>
      </c>
      <c r="N443" t="s">
        <v>299</v>
      </c>
      <c r="O443" t="s">
        <v>389</v>
      </c>
      <c r="P443" t="s">
        <v>363</v>
      </c>
      <c r="Q443" s="20">
        <v>46032.649155092593</v>
      </c>
      <c r="R443" t="s">
        <v>18</v>
      </c>
      <c r="T443" t="s">
        <v>590</v>
      </c>
    </row>
    <row r="444" spans="1:20" ht="15" customHeight="1" x14ac:dyDescent="0.25">
      <c r="A444">
        <f t="shared" si="6"/>
        <v>179</v>
      </c>
      <c r="B444" t="s">
        <v>1076</v>
      </c>
      <c r="C444" t="s">
        <v>47</v>
      </c>
      <c r="D444">
        <v>107</v>
      </c>
      <c r="E4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4">
        <f ca="1">IF(Tabla142[[#This Row],[frecuencia_new]]="Diaria"," ",RANDBETWEEN(1,6))</f>
        <v>1</v>
      </c>
      <c r="G444" t="str">
        <f ca="1">IF(Tabla142[[#This Row],[frecuencia_new]]="Diaria","",IF(Tabla142[[#This Row],[frecuencia_new]]="Semanal","",IF(Tabla142[[#This Row],[frecuencia_new]]="Quincenal",RANDBETWEEN(1,2),RANDBETWEEN(1,4))))</f>
        <v/>
      </c>
      <c r="H4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4" t="s">
        <v>123</v>
      </c>
      <c r="K444">
        <f>SUM(MID(Tabla142[[#This Row],[Duración]],1,2)*60,MID(Tabla142[[#This Row],[Duración]],6,2))</f>
        <v>5</v>
      </c>
      <c r="L444" s="4" t="s">
        <v>50</v>
      </c>
      <c r="M444" t="s">
        <v>239</v>
      </c>
      <c r="N444" t="s">
        <v>299</v>
      </c>
      <c r="O444" t="s">
        <v>389</v>
      </c>
      <c r="P444" t="s">
        <v>363</v>
      </c>
      <c r="Q444" s="20">
        <v>46032.649155092593</v>
      </c>
      <c r="R444" t="s">
        <v>8</v>
      </c>
      <c r="T444" t="s">
        <v>590</v>
      </c>
    </row>
    <row r="445" spans="1:20" ht="15" customHeight="1" x14ac:dyDescent="0.25">
      <c r="A445">
        <f t="shared" si="6"/>
        <v>179</v>
      </c>
      <c r="B445" t="s">
        <v>1077</v>
      </c>
      <c r="C445" t="s">
        <v>47</v>
      </c>
      <c r="D445">
        <v>107</v>
      </c>
      <c r="E4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5">
        <f ca="1">IF(Tabla142[[#This Row],[frecuencia_new]]="Diaria"," ",RANDBETWEEN(1,6))</f>
        <v>5</v>
      </c>
      <c r="G445" t="str">
        <f ca="1">IF(Tabla142[[#This Row],[frecuencia_new]]="Diaria","",IF(Tabla142[[#This Row],[frecuencia_new]]="Semanal","",IF(Tabla142[[#This Row],[frecuencia_new]]="Quincenal",RANDBETWEEN(1,2),RANDBETWEEN(1,4))))</f>
        <v/>
      </c>
      <c r="H4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5" t="s">
        <v>124</v>
      </c>
      <c r="K445">
        <f>SUM(MID(Tabla142[[#This Row],[Duración]],1,2)*60,MID(Tabla142[[#This Row],[Duración]],6,2))</f>
        <v>5</v>
      </c>
      <c r="L445" s="4" t="s">
        <v>50</v>
      </c>
      <c r="M445" t="s">
        <v>239</v>
      </c>
      <c r="N445" t="s">
        <v>299</v>
      </c>
      <c r="O445" t="s">
        <v>389</v>
      </c>
      <c r="P445" t="s">
        <v>363</v>
      </c>
      <c r="Q445" s="20">
        <v>46032.649155092593</v>
      </c>
      <c r="R445" t="s">
        <v>8</v>
      </c>
      <c r="T445" t="s">
        <v>590</v>
      </c>
    </row>
    <row r="446" spans="1:20" ht="15" customHeight="1" x14ac:dyDescent="0.25">
      <c r="A446">
        <f t="shared" si="6"/>
        <v>179</v>
      </c>
      <c r="B446" t="s">
        <v>1078</v>
      </c>
      <c r="C446" t="s">
        <v>47</v>
      </c>
      <c r="D446">
        <v>107</v>
      </c>
      <c r="E4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6">
        <f ca="1">IF(Tabla142[[#This Row],[frecuencia_new]]="Diaria"," ",RANDBETWEEN(1,6))</f>
        <v>5</v>
      </c>
      <c r="G446" t="str">
        <f ca="1">IF(Tabla142[[#This Row],[frecuencia_new]]="Diaria","",IF(Tabla142[[#This Row],[frecuencia_new]]="Semanal","",IF(Tabla142[[#This Row],[frecuencia_new]]="Quincenal",RANDBETWEEN(1,2),RANDBETWEEN(1,4))))</f>
        <v/>
      </c>
      <c r="H4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6" t="s">
        <v>125</v>
      </c>
      <c r="K446">
        <f>SUM(MID(Tabla142[[#This Row],[Duración]],1,2)*60,MID(Tabla142[[#This Row],[Duración]],6,2))</f>
        <v>5</v>
      </c>
      <c r="L446" s="4" t="s">
        <v>50</v>
      </c>
      <c r="M446" t="s">
        <v>239</v>
      </c>
      <c r="N446" t="s">
        <v>299</v>
      </c>
      <c r="O446" t="s">
        <v>389</v>
      </c>
      <c r="P446" t="s">
        <v>363</v>
      </c>
      <c r="Q446" s="20">
        <v>46032.649155092593</v>
      </c>
      <c r="R446" t="s">
        <v>8</v>
      </c>
      <c r="T446" t="s">
        <v>590</v>
      </c>
    </row>
    <row r="447" spans="1:20" ht="15" customHeight="1" x14ac:dyDescent="0.25">
      <c r="A447">
        <f t="shared" si="6"/>
        <v>179</v>
      </c>
      <c r="B447" t="s">
        <v>1079</v>
      </c>
      <c r="C447" t="s">
        <v>47</v>
      </c>
      <c r="D447">
        <v>107</v>
      </c>
      <c r="E4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7">
        <f ca="1">IF(Tabla142[[#This Row],[frecuencia_new]]="Diaria"," ",RANDBETWEEN(1,6))</f>
        <v>6</v>
      </c>
      <c r="G447" t="str">
        <f ca="1">IF(Tabla142[[#This Row],[frecuencia_new]]="Diaria","",IF(Tabla142[[#This Row],[frecuencia_new]]="Semanal","",IF(Tabla142[[#This Row],[frecuencia_new]]="Quincenal",RANDBETWEEN(1,2),RANDBETWEEN(1,4))))</f>
        <v/>
      </c>
      <c r="H4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7" t="s">
        <v>126</v>
      </c>
      <c r="K447">
        <f>SUM(MID(Tabla142[[#This Row],[Duración]],1,2)*60,MID(Tabla142[[#This Row],[Duración]],6,2))</f>
        <v>5</v>
      </c>
      <c r="L447" s="4" t="s">
        <v>50</v>
      </c>
      <c r="M447" t="s">
        <v>239</v>
      </c>
      <c r="N447" t="s">
        <v>299</v>
      </c>
      <c r="O447" t="s">
        <v>389</v>
      </c>
      <c r="P447" t="s">
        <v>363</v>
      </c>
      <c r="Q447" s="20">
        <v>46032.649155092593</v>
      </c>
      <c r="R447" t="s">
        <v>8</v>
      </c>
      <c r="T447" t="s">
        <v>590</v>
      </c>
    </row>
    <row r="448" spans="1:20" ht="15" customHeight="1" x14ac:dyDescent="0.25">
      <c r="A448">
        <f t="shared" si="6"/>
        <v>179</v>
      </c>
      <c r="B448" t="s">
        <v>1080</v>
      </c>
      <c r="C448" t="s">
        <v>47</v>
      </c>
      <c r="D448">
        <v>107</v>
      </c>
      <c r="E4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8">
        <f ca="1">IF(Tabla142[[#This Row],[frecuencia_new]]="Diaria"," ",RANDBETWEEN(1,6))</f>
        <v>1</v>
      </c>
      <c r="G448" t="str">
        <f ca="1">IF(Tabla142[[#This Row],[frecuencia_new]]="Diaria","",IF(Tabla142[[#This Row],[frecuencia_new]]="Semanal","",IF(Tabla142[[#This Row],[frecuencia_new]]="Quincenal",RANDBETWEEN(1,2),RANDBETWEEN(1,4))))</f>
        <v/>
      </c>
      <c r="H4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8" t="s">
        <v>127</v>
      </c>
      <c r="K448">
        <f>SUM(MID(Tabla142[[#This Row],[Duración]],1,2)*60,MID(Tabla142[[#This Row],[Duración]],6,2))</f>
        <v>5</v>
      </c>
      <c r="L448" s="4" t="s">
        <v>50</v>
      </c>
      <c r="M448" t="s">
        <v>239</v>
      </c>
      <c r="N448" t="s">
        <v>299</v>
      </c>
      <c r="O448" t="s">
        <v>389</v>
      </c>
      <c r="P448" t="s">
        <v>363</v>
      </c>
      <c r="Q448" s="20">
        <v>46032.649155092593</v>
      </c>
      <c r="R448" t="s">
        <v>8</v>
      </c>
      <c r="T448" t="s">
        <v>590</v>
      </c>
    </row>
    <row r="449" spans="1:20" ht="15" customHeight="1" x14ac:dyDescent="0.25">
      <c r="A449">
        <f t="shared" si="6"/>
        <v>179</v>
      </c>
      <c r="B449" t="s">
        <v>1081</v>
      </c>
      <c r="C449" t="s">
        <v>47</v>
      </c>
      <c r="D449">
        <v>107</v>
      </c>
      <c r="E4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49">
        <f ca="1">IF(Tabla142[[#This Row],[frecuencia_new]]="Diaria"," ",RANDBETWEEN(1,6))</f>
        <v>4</v>
      </c>
      <c r="G449" t="str">
        <f ca="1">IF(Tabla142[[#This Row],[frecuencia_new]]="Diaria","",IF(Tabla142[[#This Row],[frecuencia_new]]="Semanal","",IF(Tabla142[[#This Row],[frecuencia_new]]="Quincenal",RANDBETWEEN(1,2),RANDBETWEEN(1,4))))</f>
        <v/>
      </c>
      <c r="H4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49" t="s">
        <v>128</v>
      </c>
      <c r="K449">
        <f>SUM(MID(Tabla142[[#This Row],[Duración]],1,2)*60,MID(Tabla142[[#This Row],[Duración]],6,2))</f>
        <v>5</v>
      </c>
      <c r="L449" s="4" t="s">
        <v>50</v>
      </c>
      <c r="M449" t="s">
        <v>239</v>
      </c>
      <c r="N449" t="s">
        <v>299</v>
      </c>
      <c r="O449" t="s">
        <v>389</v>
      </c>
      <c r="P449" t="s">
        <v>363</v>
      </c>
      <c r="Q449" s="20">
        <v>46032.649155092593</v>
      </c>
      <c r="R449" t="s">
        <v>8</v>
      </c>
      <c r="T449" t="s">
        <v>590</v>
      </c>
    </row>
    <row r="450" spans="1:20" ht="15" customHeight="1" x14ac:dyDescent="0.25">
      <c r="A450">
        <f t="shared" ref="A450:A513" si="7">VLOOKUP(T450,$V$2:$W$222,2,FALSE)</f>
        <v>179</v>
      </c>
      <c r="B450" t="s">
        <v>1082</v>
      </c>
      <c r="C450" t="s">
        <v>47</v>
      </c>
      <c r="D450">
        <v>107</v>
      </c>
      <c r="E4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0">
        <f ca="1">IF(Tabla142[[#This Row],[frecuencia_new]]="Diaria"," ",RANDBETWEEN(1,6))</f>
        <v>4</v>
      </c>
      <c r="G450">
        <f ca="1">IF(Tabla142[[#This Row],[frecuencia_new]]="Diaria","",IF(Tabla142[[#This Row],[frecuencia_new]]="Semanal","",IF(Tabla142[[#This Row],[frecuencia_new]]="Quincenal",RANDBETWEEN(1,2),RANDBETWEEN(1,4))))</f>
        <v>4</v>
      </c>
      <c r="H45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0" t="s">
        <v>129</v>
      </c>
      <c r="K450">
        <f>SUM(MID(Tabla142[[#This Row],[Duración]],1,2)*60,MID(Tabla142[[#This Row],[Duración]],6,2))</f>
        <v>10</v>
      </c>
      <c r="L450" s="4" t="s">
        <v>71</v>
      </c>
      <c r="M450" t="s">
        <v>239</v>
      </c>
      <c r="N450" t="s">
        <v>299</v>
      </c>
      <c r="O450" t="s">
        <v>389</v>
      </c>
      <c r="P450" t="s">
        <v>363</v>
      </c>
      <c r="Q450" s="20">
        <v>46032.649155092593</v>
      </c>
      <c r="R450" t="s">
        <v>7</v>
      </c>
      <c r="T450" t="s">
        <v>590</v>
      </c>
    </row>
    <row r="451" spans="1:20" ht="15" customHeight="1" x14ac:dyDescent="0.25">
      <c r="A451">
        <f t="shared" si="7"/>
        <v>179</v>
      </c>
      <c r="B451" t="s">
        <v>1083</v>
      </c>
      <c r="C451" t="s">
        <v>47</v>
      </c>
      <c r="D451">
        <v>107</v>
      </c>
      <c r="E4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1">
        <f ca="1">IF(Tabla142[[#This Row],[frecuencia_new]]="Diaria"," ",RANDBETWEEN(1,6))</f>
        <v>1</v>
      </c>
      <c r="G451">
        <f ca="1">IF(Tabla142[[#This Row],[frecuencia_new]]="Diaria","",IF(Tabla142[[#This Row],[frecuencia_new]]="Semanal","",IF(Tabla142[[#This Row],[frecuencia_new]]="Quincenal",RANDBETWEEN(1,2),RANDBETWEEN(1,4))))</f>
        <v>2</v>
      </c>
      <c r="H45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1" t="s">
        <v>130</v>
      </c>
      <c r="K451">
        <f>SUM(MID(Tabla142[[#This Row],[Duración]],1,2)*60,MID(Tabla142[[#This Row],[Duración]],6,2))</f>
        <v>10</v>
      </c>
      <c r="L451" s="4" t="s">
        <v>71</v>
      </c>
      <c r="M451" t="s">
        <v>239</v>
      </c>
      <c r="N451" t="s">
        <v>299</v>
      </c>
      <c r="O451" t="s">
        <v>389</v>
      </c>
      <c r="P451" t="s">
        <v>363</v>
      </c>
      <c r="Q451" s="20">
        <v>46032.649155092593</v>
      </c>
      <c r="R451" t="s">
        <v>7</v>
      </c>
      <c r="T451" t="s">
        <v>590</v>
      </c>
    </row>
    <row r="452" spans="1:20" ht="15" customHeight="1" x14ac:dyDescent="0.25">
      <c r="A452">
        <f t="shared" si="7"/>
        <v>179</v>
      </c>
      <c r="B452" t="s">
        <v>1084</v>
      </c>
      <c r="C452" t="s">
        <v>47</v>
      </c>
      <c r="D452">
        <v>107</v>
      </c>
      <c r="E4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2">
        <f ca="1">IF(Tabla142[[#This Row],[frecuencia_new]]="Diaria"," ",RANDBETWEEN(1,6))</f>
        <v>1</v>
      </c>
      <c r="G452">
        <f ca="1">IF(Tabla142[[#This Row],[frecuencia_new]]="Diaria","",IF(Tabla142[[#This Row],[frecuencia_new]]="Semanal","",IF(Tabla142[[#This Row],[frecuencia_new]]="Quincenal",RANDBETWEEN(1,2),RANDBETWEEN(1,4))))</f>
        <v>3</v>
      </c>
      <c r="H4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2" t="s">
        <v>131</v>
      </c>
      <c r="K452">
        <f>SUM(MID(Tabla142[[#This Row],[Duración]],1,2)*60,MID(Tabla142[[#This Row],[Duración]],6,2))</f>
        <v>10</v>
      </c>
      <c r="L452" s="4" t="s">
        <v>71</v>
      </c>
      <c r="M452" t="s">
        <v>239</v>
      </c>
      <c r="N452" t="s">
        <v>299</v>
      </c>
      <c r="O452" t="s">
        <v>389</v>
      </c>
      <c r="P452" t="s">
        <v>363</v>
      </c>
      <c r="Q452" s="20">
        <v>46032.649155092593</v>
      </c>
      <c r="R452" t="s">
        <v>7</v>
      </c>
      <c r="T452" t="s">
        <v>590</v>
      </c>
    </row>
    <row r="453" spans="1:20" ht="15" customHeight="1" x14ac:dyDescent="0.25">
      <c r="A453">
        <f t="shared" si="7"/>
        <v>179</v>
      </c>
      <c r="B453" t="s">
        <v>1085</v>
      </c>
      <c r="C453" t="s">
        <v>47</v>
      </c>
      <c r="D453">
        <v>107</v>
      </c>
      <c r="E4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53">
        <f ca="1">IF(Tabla142[[#This Row],[frecuencia_new]]="Diaria"," ",RANDBETWEEN(1,6))</f>
        <v>1</v>
      </c>
      <c r="G453">
        <f ca="1">IF(Tabla142[[#This Row],[frecuencia_new]]="Diaria","",IF(Tabla142[[#This Row],[frecuencia_new]]="Semanal","",IF(Tabla142[[#This Row],[frecuencia_new]]="Quincenal",RANDBETWEEN(1,2),RANDBETWEEN(1,4))))</f>
        <v>2</v>
      </c>
      <c r="H453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453" t="s">
        <v>132</v>
      </c>
      <c r="K453">
        <f>SUM(MID(Tabla142[[#This Row],[Duración]],1,2)*60,MID(Tabla142[[#This Row],[Duración]],6,2))</f>
        <v>30</v>
      </c>
      <c r="L453" s="4" t="s">
        <v>48</v>
      </c>
      <c r="M453" t="s">
        <v>239</v>
      </c>
      <c r="N453" t="s">
        <v>299</v>
      </c>
      <c r="O453" t="s">
        <v>389</v>
      </c>
      <c r="P453" t="s">
        <v>363</v>
      </c>
      <c r="Q453" s="20">
        <v>46032.649155092593</v>
      </c>
      <c r="R453" t="s">
        <v>18</v>
      </c>
      <c r="T453" t="s">
        <v>590</v>
      </c>
    </row>
    <row r="454" spans="1:20" ht="15" customHeight="1" x14ac:dyDescent="0.25">
      <c r="A454">
        <f t="shared" si="7"/>
        <v>179</v>
      </c>
      <c r="B454" t="s">
        <v>1086</v>
      </c>
      <c r="C454" t="s">
        <v>47</v>
      </c>
      <c r="D454">
        <v>107</v>
      </c>
      <c r="E4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4">
        <f ca="1">IF(Tabla142[[#This Row],[frecuencia_new]]="Diaria"," ",RANDBETWEEN(1,6))</f>
        <v>3</v>
      </c>
      <c r="G454">
        <f ca="1">IF(Tabla142[[#This Row],[frecuencia_new]]="Diaria","",IF(Tabla142[[#This Row],[frecuencia_new]]="Semanal","",IF(Tabla142[[#This Row],[frecuencia_new]]="Quincenal",RANDBETWEEN(1,2),RANDBETWEEN(1,4))))</f>
        <v>2</v>
      </c>
      <c r="H4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4" t="s">
        <v>133</v>
      </c>
      <c r="K454">
        <f>SUM(MID(Tabla142[[#This Row],[Duración]],1,2)*60,MID(Tabla142[[#This Row],[Duración]],6,2))</f>
        <v>10</v>
      </c>
      <c r="L454" s="4" t="s">
        <v>71</v>
      </c>
      <c r="M454" t="s">
        <v>239</v>
      </c>
      <c r="N454" t="s">
        <v>299</v>
      </c>
      <c r="O454" t="s">
        <v>389</v>
      </c>
      <c r="P454" t="s">
        <v>363</v>
      </c>
      <c r="Q454" s="20">
        <v>46032.649155092593</v>
      </c>
      <c r="R454" t="s">
        <v>7</v>
      </c>
      <c r="T454" t="s">
        <v>590</v>
      </c>
    </row>
    <row r="455" spans="1:20" ht="15" customHeight="1" x14ac:dyDescent="0.25">
      <c r="A455">
        <f t="shared" si="7"/>
        <v>179</v>
      </c>
      <c r="B455" t="s">
        <v>1087</v>
      </c>
      <c r="C455" t="s">
        <v>47</v>
      </c>
      <c r="D455">
        <v>107</v>
      </c>
      <c r="E4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5">
        <f ca="1">IF(Tabla142[[#This Row],[frecuencia_new]]="Diaria"," ",RANDBETWEEN(1,6))</f>
        <v>6</v>
      </c>
      <c r="G455">
        <f ca="1">IF(Tabla142[[#This Row],[frecuencia_new]]="Diaria","",IF(Tabla142[[#This Row],[frecuencia_new]]="Semanal","",IF(Tabla142[[#This Row],[frecuencia_new]]="Quincenal",RANDBETWEEN(1,2),RANDBETWEEN(1,4))))</f>
        <v>2</v>
      </c>
      <c r="H4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5" t="s">
        <v>134</v>
      </c>
      <c r="K455">
        <f>SUM(MID(Tabla142[[#This Row],[Duración]],1,2)*60,MID(Tabla142[[#This Row],[Duración]],6,2))</f>
        <v>10</v>
      </c>
      <c r="L455" s="4" t="s">
        <v>71</v>
      </c>
      <c r="M455" t="s">
        <v>239</v>
      </c>
      <c r="N455" t="s">
        <v>299</v>
      </c>
      <c r="O455" t="s">
        <v>389</v>
      </c>
      <c r="P455" t="s">
        <v>363</v>
      </c>
      <c r="Q455" s="20">
        <v>46032.649155092593</v>
      </c>
      <c r="R455" t="s">
        <v>7</v>
      </c>
      <c r="T455" t="s">
        <v>590</v>
      </c>
    </row>
    <row r="456" spans="1:20" ht="15" customHeight="1" x14ac:dyDescent="0.25">
      <c r="A456">
        <f t="shared" si="7"/>
        <v>179</v>
      </c>
      <c r="B456" t="s">
        <v>1088</v>
      </c>
      <c r="C456" t="s">
        <v>47</v>
      </c>
      <c r="D456">
        <v>107</v>
      </c>
      <c r="E4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56">
        <f ca="1">IF(Tabla142[[#This Row],[frecuencia_new]]="Diaria"," ",RANDBETWEEN(1,6))</f>
        <v>3</v>
      </c>
      <c r="G456" t="str">
        <f ca="1">IF(Tabla142[[#This Row],[frecuencia_new]]="Diaria","",IF(Tabla142[[#This Row],[frecuencia_new]]="Semanal","",IF(Tabla142[[#This Row],[frecuencia_new]]="Quincenal",RANDBETWEEN(1,2),RANDBETWEEN(1,4))))</f>
        <v/>
      </c>
      <c r="H4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6" t="s">
        <v>135</v>
      </c>
      <c r="K456">
        <f>SUM(MID(Tabla142[[#This Row],[Duración]],1,2)*60,MID(Tabla142[[#This Row],[Duración]],6,2))</f>
        <v>5</v>
      </c>
      <c r="L456" s="4" t="s">
        <v>50</v>
      </c>
      <c r="M456" t="s">
        <v>239</v>
      </c>
      <c r="N456" t="s">
        <v>299</v>
      </c>
      <c r="O456" t="s">
        <v>389</v>
      </c>
      <c r="P456" t="s">
        <v>363</v>
      </c>
      <c r="Q456" s="20">
        <v>46032.649155092593</v>
      </c>
      <c r="R456" t="s">
        <v>8</v>
      </c>
      <c r="T456" t="s">
        <v>590</v>
      </c>
    </row>
    <row r="457" spans="1:20" ht="15" customHeight="1" x14ac:dyDescent="0.25">
      <c r="A457">
        <f t="shared" si="7"/>
        <v>179</v>
      </c>
      <c r="B457" t="s">
        <v>1089</v>
      </c>
      <c r="C457" t="s">
        <v>47</v>
      </c>
      <c r="D457">
        <v>107</v>
      </c>
      <c r="E4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57">
        <f ca="1">IF(Tabla142[[#This Row],[frecuencia_new]]="Diaria"," ",RANDBETWEEN(1,6))</f>
        <v>2</v>
      </c>
      <c r="G457">
        <f ca="1">IF(Tabla142[[#This Row],[frecuencia_new]]="Diaria","",IF(Tabla142[[#This Row],[frecuencia_new]]="Semanal","",IF(Tabla142[[#This Row],[frecuencia_new]]="Quincenal",RANDBETWEEN(1,2),RANDBETWEEN(1,4))))</f>
        <v>1</v>
      </c>
      <c r="H4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57" t="s">
        <v>137</v>
      </c>
      <c r="K457">
        <f>SUM(MID(Tabla142[[#This Row],[Duración]],1,2)*60,MID(Tabla142[[#This Row],[Duración]],6,2))</f>
        <v>10</v>
      </c>
      <c r="L457" s="4" t="s">
        <v>71</v>
      </c>
      <c r="M457" t="s">
        <v>239</v>
      </c>
      <c r="N457" t="s">
        <v>299</v>
      </c>
      <c r="O457" t="s">
        <v>389</v>
      </c>
      <c r="P457" t="s">
        <v>363</v>
      </c>
      <c r="Q457" s="20">
        <v>46032.649155092593</v>
      </c>
      <c r="R457" t="s">
        <v>7</v>
      </c>
      <c r="T457" t="s">
        <v>590</v>
      </c>
    </row>
    <row r="458" spans="1:20" ht="15" customHeight="1" x14ac:dyDescent="0.25">
      <c r="A458">
        <f t="shared" si="7"/>
        <v>179</v>
      </c>
      <c r="B458" t="s">
        <v>1090</v>
      </c>
      <c r="C458" t="s">
        <v>47</v>
      </c>
      <c r="D458">
        <v>107</v>
      </c>
      <c r="E4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58">
        <f ca="1">IF(Tabla142[[#This Row],[frecuencia_new]]="Diaria"," ",RANDBETWEEN(1,6))</f>
        <v>2</v>
      </c>
      <c r="G458">
        <f ca="1">IF(Tabla142[[#This Row],[frecuencia_new]]="Diaria","",IF(Tabla142[[#This Row],[frecuencia_new]]="Semanal","",IF(Tabla142[[#This Row],[frecuencia_new]]="Quincenal",RANDBETWEEN(1,2),RANDBETWEEN(1,4))))</f>
        <v>4</v>
      </c>
      <c r="H458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58" t="s">
        <v>138</v>
      </c>
      <c r="K458">
        <f>SUM(MID(Tabla142[[#This Row],[Duración]],1,2)*60,MID(Tabla142[[#This Row],[Duración]],6,2))</f>
        <v>30</v>
      </c>
      <c r="L458" s="4" t="s">
        <v>48</v>
      </c>
      <c r="M458" t="s">
        <v>239</v>
      </c>
      <c r="N458" t="s">
        <v>299</v>
      </c>
      <c r="O458" t="s">
        <v>389</v>
      </c>
      <c r="P458" t="s">
        <v>363</v>
      </c>
      <c r="Q458" s="20">
        <v>46032.649155092593</v>
      </c>
      <c r="R458" t="s">
        <v>18</v>
      </c>
      <c r="T458" t="s">
        <v>590</v>
      </c>
    </row>
    <row r="459" spans="1:20" ht="15" customHeight="1" x14ac:dyDescent="0.25">
      <c r="A459">
        <f t="shared" si="7"/>
        <v>179</v>
      </c>
      <c r="B459" t="s">
        <v>1091</v>
      </c>
      <c r="C459" t="s">
        <v>47</v>
      </c>
      <c r="D459">
        <v>107</v>
      </c>
      <c r="E4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59">
        <f ca="1">IF(Tabla142[[#This Row],[frecuencia_new]]="Diaria"," ",RANDBETWEEN(1,6))</f>
        <v>2</v>
      </c>
      <c r="G459">
        <f ca="1">IF(Tabla142[[#This Row],[frecuencia_new]]="Diaria","",IF(Tabla142[[#This Row],[frecuencia_new]]="Semanal","",IF(Tabla142[[#This Row],[frecuencia_new]]="Quincenal",RANDBETWEEN(1,2),RANDBETWEEN(1,4))))</f>
        <v>4</v>
      </c>
      <c r="H459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459" t="s">
        <v>140</v>
      </c>
      <c r="K459">
        <f>SUM(MID(Tabla142[[#This Row],[Duración]],1,2)*60,MID(Tabla142[[#This Row],[Duración]],6,2))</f>
        <v>30</v>
      </c>
      <c r="L459" s="4" t="s">
        <v>48</v>
      </c>
      <c r="M459" t="s">
        <v>239</v>
      </c>
      <c r="N459" t="s">
        <v>299</v>
      </c>
      <c r="O459" t="s">
        <v>389</v>
      </c>
      <c r="P459" t="s">
        <v>363</v>
      </c>
      <c r="Q459" s="20">
        <v>46032.649155092593</v>
      </c>
      <c r="R459" t="s">
        <v>18</v>
      </c>
      <c r="T459" t="s">
        <v>590</v>
      </c>
    </row>
    <row r="460" spans="1:20" ht="15" customHeight="1" x14ac:dyDescent="0.25">
      <c r="A460">
        <f t="shared" si="7"/>
        <v>179</v>
      </c>
      <c r="B460" t="s">
        <v>1092</v>
      </c>
      <c r="C460" t="s">
        <v>47</v>
      </c>
      <c r="D460">
        <v>107</v>
      </c>
      <c r="E4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60">
        <f ca="1">IF(Tabla142[[#This Row],[frecuencia_new]]="Diaria"," ",RANDBETWEEN(1,6))</f>
        <v>4</v>
      </c>
      <c r="G460" t="str">
        <f ca="1">IF(Tabla142[[#This Row],[frecuencia_new]]="Diaria","",IF(Tabla142[[#This Row],[frecuencia_new]]="Semanal","",IF(Tabla142[[#This Row],[frecuencia_new]]="Quincenal",RANDBETWEEN(1,2),RANDBETWEEN(1,4))))</f>
        <v/>
      </c>
      <c r="H4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0" t="s">
        <v>141</v>
      </c>
      <c r="K460">
        <f>SUM(MID(Tabla142[[#This Row],[Duración]],1,2)*60,MID(Tabla142[[#This Row],[Duración]],6,2))</f>
        <v>5</v>
      </c>
      <c r="L460" s="4" t="s">
        <v>50</v>
      </c>
      <c r="M460" t="s">
        <v>239</v>
      </c>
      <c r="N460" t="s">
        <v>299</v>
      </c>
      <c r="O460" t="s">
        <v>389</v>
      </c>
      <c r="P460" t="s">
        <v>363</v>
      </c>
      <c r="Q460" s="20">
        <v>46032.649155092593</v>
      </c>
      <c r="R460" t="s">
        <v>8</v>
      </c>
      <c r="T460" t="s">
        <v>590</v>
      </c>
    </row>
    <row r="461" spans="1:20" ht="15" customHeight="1" x14ac:dyDescent="0.25">
      <c r="A461">
        <f t="shared" si="7"/>
        <v>179</v>
      </c>
      <c r="B461" t="s">
        <v>1093</v>
      </c>
      <c r="C461" t="s">
        <v>47</v>
      </c>
      <c r="D461">
        <v>107</v>
      </c>
      <c r="E4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61">
        <f ca="1">IF(Tabla142[[#This Row],[frecuencia_new]]="Diaria"," ",RANDBETWEEN(1,6))</f>
        <v>6</v>
      </c>
      <c r="G461">
        <f ca="1">IF(Tabla142[[#This Row],[frecuencia_new]]="Diaria","",IF(Tabla142[[#This Row],[frecuencia_new]]="Semanal","",IF(Tabla142[[#This Row],[frecuencia_new]]="Quincenal",RANDBETWEEN(1,2),RANDBETWEEN(1,4))))</f>
        <v>2</v>
      </c>
      <c r="H461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461" t="s">
        <v>142</v>
      </c>
      <c r="K461">
        <f>SUM(MID(Tabla142[[#This Row],[Duración]],1,2)*60,MID(Tabla142[[#This Row],[Duración]],6,2))</f>
        <v>30</v>
      </c>
      <c r="L461" s="4" t="s">
        <v>48</v>
      </c>
      <c r="M461" t="s">
        <v>239</v>
      </c>
      <c r="N461" t="s">
        <v>299</v>
      </c>
      <c r="O461" t="s">
        <v>389</v>
      </c>
      <c r="P461" t="s">
        <v>363</v>
      </c>
      <c r="Q461" s="20">
        <v>46032.649155092593</v>
      </c>
      <c r="R461" t="s">
        <v>18</v>
      </c>
      <c r="T461" t="s">
        <v>590</v>
      </c>
    </row>
    <row r="462" spans="1:20" ht="15" customHeight="1" x14ac:dyDescent="0.25">
      <c r="A462">
        <f t="shared" si="7"/>
        <v>179</v>
      </c>
      <c r="B462" t="s">
        <v>1094</v>
      </c>
      <c r="C462" t="s">
        <v>47</v>
      </c>
      <c r="D462">
        <v>107</v>
      </c>
      <c r="E4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62">
        <f ca="1">IF(Tabla142[[#This Row],[frecuencia_new]]="Diaria"," ",RANDBETWEEN(1,6))</f>
        <v>2</v>
      </c>
      <c r="G462">
        <f ca="1">IF(Tabla142[[#This Row],[frecuencia_new]]="Diaria","",IF(Tabla142[[#This Row],[frecuencia_new]]="Semanal","",IF(Tabla142[[#This Row],[frecuencia_new]]="Quincenal",RANDBETWEEN(1,2),RANDBETWEEN(1,4))))</f>
        <v>3</v>
      </c>
      <c r="H46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2" t="s">
        <v>143</v>
      </c>
      <c r="K462">
        <f>SUM(MID(Tabla142[[#This Row],[Duración]],1,2)*60,MID(Tabla142[[#This Row],[Duración]],6,2))</f>
        <v>10</v>
      </c>
      <c r="L462" s="4" t="s">
        <v>71</v>
      </c>
      <c r="M462" t="s">
        <v>239</v>
      </c>
      <c r="N462" t="s">
        <v>299</v>
      </c>
      <c r="O462" t="s">
        <v>389</v>
      </c>
      <c r="P462" t="s">
        <v>363</v>
      </c>
      <c r="Q462" s="20">
        <v>46032.649155092593</v>
      </c>
      <c r="R462" t="s">
        <v>7</v>
      </c>
      <c r="T462" t="s">
        <v>590</v>
      </c>
    </row>
    <row r="463" spans="1:20" ht="15" customHeight="1" x14ac:dyDescent="0.25">
      <c r="A463">
        <f t="shared" si="7"/>
        <v>179</v>
      </c>
      <c r="B463" t="s">
        <v>1095</v>
      </c>
      <c r="C463" t="s">
        <v>47</v>
      </c>
      <c r="D463">
        <v>107</v>
      </c>
      <c r="E4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63">
        <f ca="1">IF(Tabla142[[#This Row],[frecuencia_new]]="Diaria"," ",RANDBETWEEN(1,6))</f>
        <v>6</v>
      </c>
      <c r="G463">
        <f ca="1">IF(Tabla142[[#This Row],[frecuencia_new]]="Diaria","",IF(Tabla142[[#This Row],[frecuencia_new]]="Semanal","",IF(Tabla142[[#This Row],[frecuencia_new]]="Quincenal",RANDBETWEEN(1,2),RANDBETWEEN(1,4))))</f>
        <v>4</v>
      </c>
      <c r="H46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463" t="s">
        <v>145</v>
      </c>
      <c r="K463">
        <f>SUM(MID(Tabla142[[#This Row],[Duración]],1,2)*60,MID(Tabla142[[#This Row],[Duración]],6,2))</f>
        <v>30</v>
      </c>
      <c r="L463" s="4" t="s">
        <v>48</v>
      </c>
      <c r="M463" t="s">
        <v>239</v>
      </c>
      <c r="N463" t="s">
        <v>299</v>
      </c>
      <c r="O463" t="s">
        <v>389</v>
      </c>
      <c r="P463" t="s">
        <v>363</v>
      </c>
      <c r="Q463" s="20">
        <v>46032.649155092593</v>
      </c>
      <c r="R463" t="s">
        <v>18</v>
      </c>
      <c r="T463" t="s">
        <v>590</v>
      </c>
    </row>
    <row r="464" spans="1:20" ht="15" customHeight="1" x14ac:dyDescent="0.25">
      <c r="A464">
        <f t="shared" si="7"/>
        <v>179</v>
      </c>
      <c r="B464" t="s">
        <v>1096</v>
      </c>
      <c r="C464" t="s">
        <v>47</v>
      </c>
      <c r="D464">
        <v>107</v>
      </c>
      <c r="E4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64">
        <f ca="1">IF(Tabla142[[#This Row],[frecuencia_new]]="Diaria"," ",RANDBETWEEN(1,6))</f>
        <v>4</v>
      </c>
      <c r="G464">
        <f ca="1">IF(Tabla142[[#This Row],[frecuencia_new]]="Diaria","",IF(Tabla142[[#This Row],[frecuencia_new]]="Semanal","",IF(Tabla142[[#This Row],[frecuencia_new]]="Quincenal",RANDBETWEEN(1,2),RANDBETWEEN(1,4))))</f>
        <v>3</v>
      </c>
      <c r="H4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4" t="s">
        <v>146</v>
      </c>
      <c r="K464">
        <f>SUM(MID(Tabla142[[#This Row],[Duración]],1,2)*60,MID(Tabla142[[#This Row],[Duración]],6,2))</f>
        <v>20</v>
      </c>
      <c r="L464" s="4" t="s">
        <v>82</v>
      </c>
      <c r="M464" t="s">
        <v>239</v>
      </c>
      <c r="N464" t="s">
        <v>299</v>
      </c>
      <c r="O464" t="s">
        <v>389</v>
      </c>
      <c r="P464" t="s">
        <v>363</v>
      </c>
      <c r="Q464" s="20">
        <v>46032.649155092593</v>
      </c>
      <c r="R464" t="s">
        <v>7</v>
      </c>
      <c r="T464" t="s">
        <v>590</v>
      </c>
    </row>
    <row r="465" spans="1:20" ht="15" customHeight="1" x14ac:dyDescent="0.25">
      <c r="A465">
        <f t="shared" si="7"/>
        <v>179</v>
      </c>
      <c r="B465" t="s">
        <v>1097</v>
      </c>
      <c r="C465" t="s">
        <v>47</v>
      </c>
      <c r="D465">
        <v>107</v>
      </c>
      <c r="E4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65">
        <f ca="1">IF(Tabla142[[#This Row],[frecuencia_new]]="Diaria"," ",RANDBETWEEN(1,6))</f>
        <v>4</v>
      </c>
      <c r="G465">
        <f ca="1">IF(Tabla142[[#This Row],[frecuencia_new]]="Diaria","",IF(Tabla142[[#This Row],[frecuencia_new]]="Semanal","",IF(Tabla142[[#This Row],[frecuencia_new]]="Quincenal",RANDBETWEEN(1,2),RANDBETWEEN(1,4))))</f>
        <v>2</v>
      </c>
      <c r="H4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5" t="s">
        <v>148</v>
      </c>
      <c r="K465">
        <f>SUM(MID(Tabla142[[#This Row],[Duración]],1,2)*60,MID(Tabla142[[#This Row],[Duración]],6,2))</f>
        <v>30</v>
      </c>
      <c r="L465" s="4" t="s">
        <v>48</v>
      </c>
      <c r="M465" t="s">
        <v>239</v>
      </c>
      <c r="N465" t="s">
        <v>299</v>
      </c>
      <c r="O465" t="s">
        <v>389</v>
      </c>
      <c r="P465" t="s">
        <v>363</v>
      </c>
      <c r="Q465" s="20">
        <v>46032.649155092593</v>
      </c>
      <c r="R465" t="s">
        <v>7</v>
      </c>
      <c r="T465" t="s">
        <v>590</v>
      </c>
    </row>
    <row r="466" spans="1:20" ht="15" customHeight="1" x14ac:dyDescent="0.25">
      <c r="A466">
        <f t="shared" si="7"/>
        <v>179</v>
      </c>
      <c r="B466" t="s">
        <v>1098</v>
      </c>
      <c r="C466" t="s">
        <v>47</v>
      </c>
      <c r="D466">
        <v>107</v>
      </c>
      <c r="E4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66">
        <f ca="1">IF(Tabla142[[#This Row],[frecuencia_new]]="Diaria"," ",RANDBETWEEN(1,6))</f>
        <v>6</v>
      </c>
      <c r="G466" t="str">
        <f ca="1">IF(Tabla142[[#This Row],[frecuencia_new]]="Diaria","",IF(Tabla142[[#This Row],[frecuencia_new]]="Semanal","",IF(Tabla142[[#This Row],[frecuencia_new]]="Quincenal",RANDBETWEEN(1,2),RANDBETWEEN(1,4))))</f>
        <v/>
      </c>
      <c r="H4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6" t="s">
        <v>149</v>
      </c>
      <c r="K466">
        <f>SUM(MID(Tabla142[[#This Row],[Duración]],1,2)*60,MID(Tabla142[[#This Row],[Duración]],6,2))</f>
        <v>3</v>
      </c>
      <c r="L466" s="4" t="s">
        <v>150</v>
      </c>
      <c r="M466" t="s">
        <v>239</v>
      </c>
      <c r="N466" t="s">
        <v>299</v>
      </c>
      <c r="O466" t="s">
        <v>389</v>
      </c>
      <c r="P466" t="s">
        <v>363</v>
      </c>
      <c r="Q466" s="20">
        <v>46032.649155092593</v>
      </c>
      <c r="R466" t="s">
        <v>8</v>
      </c>
      <c r="T466" t="s">
        <v>590</v>
      </c>
    </row>
    <row r="467" spans="1:20" ht="15" customHeight="1" x14ac:dyDescent="0.25">
      <c r="A467">
        <f t="shared" si="7"/>
        <v>179</v>
      </c>
      <c r="B467" t="s">
        <v>1099</v>
      </c>
      <c r="C467" t="s">
        <v>47</v>
      </c>
      <c r="D467">
        <v>107</v>
      </c>
      <c r="E4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67">
        <f ca="1">IF(Tabla142[[#This Row],[frecuencia_new]]="Diaria"," ",RANDBETWEEN(1,6))</f>
        <v>1</v>
      </c>
      <c r="G467">
        <f ca="1">IF(Tabla142[[#This Row],[frecuencia_new]]="Diaria","",IF(Tabla142[[#This Row],[frecuencia_new]]="Semanal","",IF(Tabla142[[#This Row],[frecuencia_new]]="Quincenal",RANDBETWEEN(1,2),RANDBETWEEN(1,4))))</f>
        <v>3</v>
      </c>
      <c r="H467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467" t="s">
        <v>151</v>
      </c>
      <c r="K467">
        <f>SUM(MID(Tabla142[[#This Row],[Duración]],1,2)*60,MID(Tabla142[[#This Row],[Duración]],6,2))</f>
        <v>60</v>
      </c>
      <c r="L467" s="4" t="s">
        <v>58</v>
      </c>
      <c r="M467" t="s">
        <v>239</v>
      </c>
      <c r="N467" t="s">
        <v>299</v>
      </c>
      <c r="O467" t="s">
        <v>389</v>
      </c>
      <c r="P467" t="s">
        <v>363</v>
      </c>
      <c r="Q467" s="20">
        <v>46032.649155092593</v>
      </c>
      <c r="R467" t="s">
        <v>18</v>
      </c>
      <c r="T467" t="s">
        <v>590</v>
      </c>
    </row>
    <row r="468" spans="1:20" ht="15" customHeight="1" x14ac:dyDescent="0.25">
      <c r="A468">
        <f t="shared" si="7"/>
        <v>179</v>
      </c>
      <c r="B468" t="s">
        <v>1100</v>
      </c>
      <c r="C468" t="s">
        <v>47</v>
      </c>
      <c r="D468">
        <v>107</v>
      </c>
      <c r="E4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68">
        <f ca="1">IF(Tabla142[[#This Row],[frecuencia_new]]="Diaria"," ",RANDBETWEEN(1,6))</f>
        <v>5</v>
      </c>
      <c r="G468" t="str">
        <f ca="1">IF(Tabla142[[#This Row],[frecuencia_new]]="Diaria","",IF(Tabla142[[#This Row],[frecuencia_new]]="Semanal","",IF(Tabla142[[#This Row],[frecuencia_new]]="Quincenal",RANDBETWEEN(1,2),RANDBETWEEN(1,4))))</f>
        <v/>
      </c>
      <c r="H4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8" t="s">
        <v>152</v>
      </c>
      <c r="K468">
        <f>SUM(MID(Tabla142[[#This Row],[Duración]],1,2)*60,MID(Tabla142[[#This Row],[Duración]],6,2))</f>
        <v>3</v>
      </c>
      <c r="L468" s="4" t="s">
        <v>150</v>
      </c>
      <c r="M468" t="s">
        <v>239</v>
      </c>
      <c r="N468" t="s">
        <v>299</v>
      </c>
      <c r="O468" t="s">
        <v>389</v>
      </c>
      <c r="P468" t="s">
        <v>363</v>
      </c>
      <c r="Q468" s="20">
        <v>46032.649155092593</v>
      </c>
      <c r="R468" t="s">
        <v>8</v>
      </c>
      <c r="T468" t="s">
        <v>590</v>
      </c>
    </row>
    <row r="469" spans="1:20" ht="15" customHeight="1" x14ac:dyDescent="0.25">
      <c r="A469">
        <f t="shared" si="7"/>
        <v>179</v>
      </c>
      <c r="B469" t="s">
        <v>1101</v>
      </c>
      <c r="C469" t="s">
        <v>47</v>
      </c>
      <c r="D469">
        <v>107</v>
      </c>
      <c r="E4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69">
        <f ca="1">IF(Tabla142[[#This Row],[frecuencia_new]]="Diaria"," ",RANDBETWEEN(1,6))</f>
        <v>3</v>
      </c>
      <c r="G469" t="str">
        <f ca="1">IF(Tabla142[[#This Row],[frecuencia_new]]="Diaria","",IF(Tabla142[[#This Row],[frecuencia_new]]="Semanal","",IF(Tabla142[[#This Row],[frecuencia_new]]="Quincenal",RANDBETWEEN(1,2),RANDBETWEEN(1,4))))</f>
        <v/>
      </c>
      <c r="H4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69" t="s">
        <v>153</v>
      </c>
      <c r="K469">
        <f>SUM(MID(Tabla142[[#This Row],[Duración]],1,2)*60,MID(Tabla142[[#This Row],[Duración]],6,2))</f>
        <v>3</v>
      </c>
      <c r="L469" s="4" t="s">
        <v>150</v>
      </c>
      <c r="M469" t="s">
        <v>239</v>
      </c>
      <c r="N469" t="s">
        <v>299</v>
      </c>
      <c r="O469" t="s">
        <v>389</v>
      </c>
      <c r="P469" t="s">
        <v>363</v>
      </c>
      <c r="Q469" s="20">
        <v>46032.649155092593</v>
      </c>
      <c r="R469" t="s">
        <v>8</v>
      </c>
      <c r="T469" t="s">
        <v>590</v>
      </c>
    </row>
    <row r="470" spans="1:20" ht="15" customHeight="1" x14ac:dyDescent="0.25">
      <c r="A470">
        <f t="shared" si="7"/>
        <v>179</v>
      </c>
      <c r="B470" t="s">
        <v>1102</v>
      </c>
      <c r="C470" t="s">
        <v>47</v>
      </c>
      <c r="D470">
        <v>107</v>
      </c>
      <c r="E4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70">
        <f ca="1">IF(Tabla142[[#This Row],[frecuencia_new]]="Diaria"," ",RANDBETWEEN(1,6))</f>
        <v>6</v>
      </c>
      <c r="G470" t="str">
        <f ca="1">IF(Tabla142[[#This Row],[frecuencia_new]]="Diaria","",IF(Tabla142[[#This Row],[frecuencia_new]]="Semanal","",IF(Tabla142[[#This Row],[frecuencia_new]]="Quincenal",RANDBETWEEN(1,2),RANDBETWEEN(1,4))))</f>
        <v/>
      </c>
      <c r="H4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70" t="s">
        <v>154</v>
      </c>
      <c r="K470">
        <f>SUM(MID(Tabla142[[#This Row],[Duración]],1,2)*60,MID(Tabla142[[#This Row],[Duración]],6,2))</f>
        <v>3</v>
      </c>
      <c r="L470" s="4" t="s">
        <v>150</v>
      </c>
      <c r="M470" t="s">
        <v>239</v>
      </c>
      <c r="N470" t="s">
        <v>299</v>
      </c>
      <c r="O470" t="s">
        <v>389</v>
      </c>
      <c r="P470" t="s">
        <v>363</v>
      </c>
      <c r="Q470" s="20">
        <v>46032.649155092593</v>
      </c>
      <c r="R470" t="s">
        <v>8</v>
      </c>
      <c r="T470" t="s">
        <v>590</v>
      </c>
    </row>
    <row r="471" spans="1:20" ht="15" customHeight="1" x14ac:dyDescent="0.25">
      <c r="A471">
        <f t="shared" si="7"/>
        <v>179</v>
      </c>
      <c r="B471" t="s">
        <v>1103</v>
      </c>
      <c r="C471" t="s">
        <v>47</v>
      </c>
      <c r="D471">
        <v>107</v>
      </c>
      <c r="E4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71">
        <f ca="1">IF(Tabla142[[#This Row],[frecuencia_new]]="Diaria"," ",RANDBETWEEN(1,6))</f>
        <v>1</v>
      </c>
      <c r="G471" t="str">
        <f ca="1">IF(Tabla142[[#This Row],[frecuencia_new]]="Diaria","",IF(Tabla142[[#This Row],[frecuencia_new]]="Semanal","",IF(Tabla142[[#This Row],[frecuencia_new]]="Quincenal",RANDBETWEEN(1,2),RANDBETWEEN(1,4))))</f>
        <v/>
      </c>
      <c r="H4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71" t="s">
        <v>155</v>
      </c>
      <c r="K471">
        <f>SUM(MID(Tabla142[[#This Row],[Duración]],1,2)*60,MID(Tabla142[[#This Row],[Duración]],6,2))</f>
        <v>3</v>
      </c>
      <c r="L471" s="4" t="s">
        <v>150</v>
      </c>
      <c r="M471" t="s">
        <v>239</v>
      </c>
      <c r="N471" t="s">
        <v>299</v>
      </c>
      <c r="O471" t="s">
        <v>389</v>
      </c>
      <c r="P471" t="s">
        <v>363</v>
      </c>
      <c r="Q471" s="20">
        <v>46032.649155092593</v>
      </c>
      <c r="R471" t="s">
        <v>8</v>
      </c>
      <c r="T471" t="s">
        <v>590</v>
      </c>
    </row>
    <row r="472" spans="1:20" ht="15" customHeight="1" x14ac:dyDescent="0.25">
      <c r="A472">
        <f t="shared" si="7"/>
        <v>179</v>
      </c>
      <c r="B472" t="s">
        <v>1104</v>
      </c>
      <c r="C472" t="s">
        <v>47</v>
      </c>
      <c r="D472">
        <v>107</v>
      </c>
      <c r="E4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72">
        <f ca="1">IF(Tabla142[[#This Row],[frecuencia_new]]="Diaria"," ",RANDBETWEEN(1,6))</f>
        <v>3</v>
      </c>
      <c r="G472" t="str">
        <f ca="1">IF(Tabla142[[#This Row],[frecuencia_new]]="Diaria","",IF(Tabla142[[#This Row],[frecuencia_new]]="Semanal","",IF(Tabla142[[#This Row],[frecuencia_new]]="Quincenal",RANDBETWEEN(1,2),RANDBETWEEN(1,4))))</f>
        <v/>
      </c>
      <c r="H4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72" t="s">
        <v>156</v>
      </c>
      <c r="K472">
        <f>SUM(MID(Tabla142[[#This Row],[Duración]],1,2)*60,MID(Tabla142[[#This Row],[Duración]],6,2))</f>
        <v>3</v>
      </c>
      <c r="L472" s="4" t="s">
        <v>150</v>
      </c>
      <c r="M472" t="s">
        <v>239</v>
      </c>
      <c r="N472" t="s">
        <v>299</v>
      </c>
      <c r="O472" t="s">
        <v>389</v>
      </c>
      <c r="P472" t="s">
        <v>363</v>
      </c>
      <c r="Q472" s="20">
        <v>46032.649155092593</v>
      </c>
      <c r="R472" t="s">
        <v>8</v>
      </c>
      <c r="T472" t="s">
        <v>590</v>
      </c>
    </row>
    <row r="473" spans="1:20" x14ac:dyDescent="0.25">
      <c r="A473">
        <f t="shared" si="7"/>
        <v>179</v>
      </c>
      <c r="B473" t="s">
        <v>1105</v>
      </c>
      <c r="C473" t="s">
        <v>47</v>
      </c>
      <c r="D473">
        <v>107</v>
      </c>
      <c r="E4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473">
        <f ca="1">IF(Tabla142[[#This Row],[frecuencia_new]]="Diaria"," ",RANDBETWEEN(1,6))</f>
        <v>4</v>
      </c>
      <c r="G473">
        <f ca="1">IF(Tabla142[[#This Row],[frecuencia_new]]="Diaria","",IF(Tabla142[[#This Row],[frecuencia_new]]="Semanal","",IF(Tabla142[[#This Row],[frecuencia_new]]="Quincenal",RANDBETWEEN(1,2),RANDBETWEEN(1,4))))</f>
        <v>1</v>
      </c>
      <c r="H473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73" t="s">
        <v>157</v>
      </c>
      <c r="K473">
        <f>SUM(MID(Tabla142[[#This Row],[Duración]],1,2)*60,MID(Tabla142[[#This Row],[Duración]],6,2))</f>
        <v>60</v>
      </c>
      <c r="L473" s="4" t="s">
        <v>58</v>
      </c>
      <c r="M473" t="s">
        <v>239</v>
      </c>
      <c r="N473" t="s">
        <v>299</v>
      </c>
      <c r="O473" t="s">
        <v>389</v>
      </c>
      <c r="P473" t="s">
        <v>363</v>
      </c>
      <c r="Q473" s="20">
        <v>46032.649155092593</v>
      </c>
      <c r="R473" t="s">
        <v>20</v>
      </c>
      <c r="T473" t="s">
        <v>590</v>
      </c>
    </row>
    <row r="474" spans="1:20" ht="15" customHeight="1" x14ac:dyDescent="0.25">
      <c r="A474">
        <f t="shared" si="7"/>
        <v>179</v>
      </c>
      <c r="B474" t="s">
        <v>1106</v>
      </c>
      <c r="C474" t="s">
        <v>47</v>
      </c>
      <c r="D474">
        <v>107</v>
      </c>
      <c r="E4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74">
        <f ca="1">IF(Tabla142[[#This Row],[frecuencia_new]]="Diaria"," ",RANDBETWEEN(1,6))</f>
        <v>6</v>
      </c>
      <c r="G474">
        <f ca="1">IF(Tabla142[[#This Row],[frecuencia_new]]="Diaria","",IF(Tabla142[[#This Row],[frecuencia_new]]="Semanal","",IF(Tabla142[[#This Row],[frecuencia_new]]="Quincenal",RANDBETWEEN(1,2),RANDBETWEEN(1,4))))</f>
        <v>1</v>
      </c>
      <c r="H474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474" t="s">
        <v>158</v>
      </c>
      <c r="K474">
        <f>SUM(MID(Tabla142[[#This Row],[Duración]],1,2)*60,MID(Tabla142[[#This Row],[Duración]],6,2))</f>
        <v>60</v>
      </c>
      <c r="L474" s="4" t="s">
        <v>58</v>
      </c>
      <c r="M474" t="s">
        <v>239</v>
      </c>
      <c r="N474" t="s">
        <v>299</v>
      </c>
      <c r="O474" t="s">
        <v>389</v>
      </c>
      <c r="P474" t="s">
        <v>363</v>
      </c>
      <c r="Q474" s="20">
        <v>46032.649155092593</v>
      </c>
      <c r="R474" t="s">
        <v>18</v>
      </c>
      <c r="T474" t="s">
        <v>590</v>
      </c>
    </row>
    <row r="475" spans="1:20" ht="15" customHeight="1" x14ac:dyDescent="0.25">
      <c r="A475">
        <f t="shared" si="7"/>
        <v>179</v>
      </c>
      <c r="B475" t="s">
        <v>1107</v>
      </c>
      <c r="C475" t="s">
        <v>47</v>
      </c>
      <c r="D475">
        <v>107</v>
      </c>
      <c r="E4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75">
        <f ca="1">IF(Tabla142[[#This Row],[frecuencia_new]]="Diaria"," ",RANDBETWEEN(1,6))</f>
        <v>1</v>
      </c>
      <c r="G475">
        <f ca="1">IF(Tabla142[[#This Row],[frecuencia_new]]="Diaria","",IF(Tabla142[[#This Row],[frecuencia_new]]="Semanal","",IF(Tabla142[[#This Row],[frecuencia_new]]="Quincenal",RANDBETWEEN(1,2),RANDBETWEEN(1,4))))</f>
        <v>4</v>
      </c>
      <c r="H475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475" t="s">
        <v>159</v>
      </c>
      <c r="K475">
        <f>SUM(MID(Tabla142[[#This Row],[Duración]],1,2)*60,MID(Tabla142[[#This Row],[Duración]],6,2))</f>
        <v>90</v>
      </c>
      <c r="L475" s="4" t="s">
        <v>96</v>
      </c>
      <c r="M475" t="s">
        <v>239</v>
      </c>
      <c r="N475" t="s">
        <v>299</v>
      </c>
      <c r="O475" t="s">
        <v>389</v>
      </c>
      <c r="P475" t="s">
        <v>363</v>
      </c>
      <c r="Q475" s="20">
        <v>46032.649155092593</v>
      </c>
      <c r="R475" t="s">
        <v>5</v>
      </c>
      <c r="T475" t="s">
        <v>590</v>
      </c>
    </row>
    <row r="476" spans="1:20" ht="15" customHeight="1" x14ac:dyDescent="0.25">
      <c r="A476">
        <f t="shared" si="7"/>
        <v>179</v>
      </c>
      <c r="B476" t="s">
        <v>1108</v>
      </c>
      <c r="C476" t="s">
        <v>47</v>
      </c>
      <c r="D476">
        <v>107</v>
      </c>
      <c r="E4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76">
        <f ca="1">IF(Tabla142[[#This Row],[frecuencia_new]]="Diaria"," ",RANDBETWEEN(1,6))</f>
        <v>1</v>
      </c>
      <c r="G476" t="str">
        <f ca="1">IF(Tabla142[[#This Row],[frecuencia_new]]="Diaria","",IF(Tabla142[[#This Row],[frecuencia_new]]="Semanal","",IF(Tabla142[[#This Row],[frecuencia_new]]="Quincenal",RANDBETWEEN(1,2),RANDBETWEEN(1,4))))</f>
        <v/>
      </c>
      <c r="H4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76" t="s">
        <v>57</v>
      </c>
      <c r="K476">
        <f>SUM(MID(Tabla142[[#This Row],[Duración]],1,2)*60,MID(Tabla142[[#This Row],[Duración]],6,2))</f>
        <v>10</v>
      </c>
      <c r="L476" s="4" t="s">
        <v>71</v>
      </c>
      <c r="M476" t="s">
        <v>239</v>
      </c>
      <c r="N476" t="s">
        <v>299</v>
      </c>
      <c r="O476" t="s">
        <v>389</v>
      </c>
      <c r="P476" t="s">
        <v>363</v>
      </c>
      <c r="Q476" s="20">
        <v>46032.649155092593</v>
      </c>
      <c r="R476" t="s">
        <v>8</v>
      </c>
      <c r="T476" t="s">
        <v>590</v>
      </c>
    </row>
    <row r="477" spans="1:20" ht="15" customHeight="1" x14ac:dyDescent="0.25">
      <c r="A477">
        <f t="shared" si="7"/>
        <v>179</v>
      </c>
      <c r="B477" t="s">
        <v>1109</v>
      </c>
      <c r="C477" t="s">
        <v>47</v>
      </c>
      <c r="D477">
        <v>107</v>
      </c>
      <c r="E4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77">
        <f ca="1">IF(Tabla142[[#This Row],[frecuencia_new]]="Diaria"," ",RANDBETWEEN(1,6))</f>
        <v>4</v>
      </c>
      <c r="G477">
        <f ca="1">IF(Tabla142[[#This Row],[frecuencia_new]]="Diaria","",IF(Tabla142[[#This Row],[frecuencia_new]]="Semanal","",IF(Tabla142[[#This Row],[frecuencia_new]]="Quincenal",RANDBETWEEN(1,2),RANDBETWEEN(1,4))))</f>
        <v>1</v>
      </c>
      <c r="H477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77" t="s">
        <v>160</v>
      </c>
      <c r="K477">
        <f>SUM(MID(Tabla142[[#This Row],[Duración]],1,2)*60,MID(Tabla142[[#This Row],[Duración]],6,2))</f>
        <v>30</v>
      </c>
      <c r="L477" s="4" t="s">
        <v>48</v>
      </c>
      <c r="M477" t="s">
        <v>239</v>
      </c>
      <c r="N477" t="s">
        <v>299</v>
      </c>
      <c r="O477" t="s">
        <v>389</v>
      </c>
      <c r="P477" t="s">
        <v>363</v>
      </c>
      <c r="Q477" s="20">
        <v>46032.649155092593</v>
      </c>
      <c r="R477" t="s">
        <v>5</v>
      </c>
      <c r="T477" t="s">
        <v>590</v>
      </c>
    </row>
    <row r="478" spans="1:20" ht="15" customHeight="1" x14ac:dyDescent="0.25">
      <c r="A478">
        <f t="shared" si="7"/>
        <v>179</v>
      </c>
      <c r="B478" t="s">
        <v>1110</v>
      </c>
      <c r="C478" t="s">
        <v>54</v>
      </c>
      <c r="D478">
        <v>107</v>
      </c>
      <c r="E4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78">
        <f ca="1">IF(Tabla142[[#This Row],[frecuencia_new]]="Diaria"," ",RANDBETWEEN(1,6))</f>
        <v>1</v>
      </c>
      <c r="G478">
        <f ca="1">IF(Tabla142[[#This Row],[frecuencia_new]]="Diaria","",IF(Tabla142[[#This Row],[frecuencia_new]]="Semanal","",IF(Tabla142[[#This Row],[frecuencia_new]]="Quincenal",RANDBETWEEN(1,2),RANDBETWEEN(1,4))))</f>
        <v>1</v>
      </c>
      <c r="H4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78" t="s">
        <v>169</v>
      </c>
      <c r="K478">
        <f>SUM(MID(Tabla142[[#This Row],[Duración]],1,2)*60,MID(Tabla142[[#This Row],[Duración]],6,2))</f>
        <v>0</v>
      </c>
      <c r="L478" s="4" t="s">
        <v>89</v>
      </c>
      <c r="M478" t="s">
        <v>239</v>
      </c>
      <c r="N478" t="s">
        <v>299</v>
      </c>
      <c r="O478" t="s">
        <v>389</v>
      </c>
      <c r="P478" t="s">
        <v>363</v>
      </c>
      <c r="Q478" s="20">
        <v>46032.649155092593</v>
      </c>
      <c r="R478" t="s">
        <v>7</v>
      </c>
      <c r="T478" t="s">
        <v>590</v>
      </c>
    </row>
    <row r="479" spans="1:20" ht="15" customHeight="1" x14ac:dyDescent="0.25">
      <c r="A479">
        <f t="shared" si="7"/>
        <v>55</v>
      </c>
      <c r="B479" t="s">
        <v>1111</v>
      </c>
      <c r="C479" t="s">
        <v>47</v>
      </c>
      <c r="D479">
        <v>135</v>
      </c>
      <c r="E4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79">
        <f ca="1">IF(Tabla142[[#This Row],[frecuencia_new]]="Diaria"," ",RANDBETWEEN(1,6))</f>
        <v>6</v>
      </c>
      <c r="G479">
        <f ca="1">IF(Tabla142[[#This Row],[frecuencia_new]]="Diaria","",IF(Tabla142[[#This Row],[frecuencia_new]]="Semanal","",IF(Tabla142[[#This Row],[frecuencia_new]]="Quincenal",RANDBETWEEN(1,2),RANDBETWEEN(1,4))))</f>
        <v>2</v>
      </c>
      <c r="H479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479" t="s">
        <v>46</v>
      </c>
      <c r="K479">
        <f>SUM(MID(Tabla142[[#This Row],[Duración]],1,2)*60,MID(Tabla142[[#This Row],[Duración]],6,2))</f>
        <v>30</v>
      </c>
      <c r="L479" s="4" t="s">
        <v>48</v>
      </c>
      <c r="M479" t="s">
        <v>239</v>
      </c>
      <c r="N479" t="s">
        <v>299</v>
      </c>
      <c r="O479" t="s">
        <v>384</v>
      </c>
      <c r="P479" t="s">
        <v>360</v>
      </c>
      <c r="Q479" s="20">
        <v>46032.649155092593</v>
      </c>
      <c r="R479" t="s">
        <v>5</v>
      </c>
      <c r="T479" t="s">
        <v>466</v>
      </c>
    </row>
    <row r="480" spans="1:20" ht="15" customHeight="1" x14ac:dyDescent="0.25">
      <c r="A480">
        <f t="shared" si="7"/>
        <v>55</v>
      </c>
      <c r="B480" t="s">
        <v>1112</v>
      </c>
      <c r="C480" t="s">
        <v>47</v>
      </c>
      <c r="D480">
        <v>135</v>
      </c>
      <c r="E4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80">
        <f ca="1">IF(Tabla142[[#This Row],[frecuencia_new]]="Diaria"," ",RANDBETWEEN(1,6))</f>
        <v>1</v>
      </c>
      <c r="G480">
        <f ca="1">IF(Tabla142[[#This Row],[frecuencia_new]]="Diaria","",IF(Tabla142[[#This Row],[frecuencia_new]]="Semanal","",IF(Tabla142[[#This Row],[frecuencia_new]]="Quincenal",RANDBETWEEN(1,2),RANDBETWEEN(1,4))))</f>
        <v>3</v>
      </c>
      <c r="H480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480" t="s">
        <v>52</v>
      </c>
      <c r="K480">
        <f>SUM(MID(Tabla142[[#This Row],[Duración]],1,2)*60,MID(Tabla142[[#This Row],[Duración]],6,2))</f>
        <v>30</v>
      </c>
      <c r="L480" s="4" t="s">
        <v>48</v>
      </c>
      <c r="M480" t="s">
        <v>239</v>
      </c>
      <c r="N480" t="s">
        <v>299</v>
      </c>
      <c r="O480" t="s">
        <v>384</v>
      </c>
      <c r="P480" t="s">
        <v>360</v>
      </c>
      <c r="Q480" s="20">
        <v>46032.649155092593</v>
      </c>
      <c r="R480" t="s">
        <v>5</v>
      </c>
      <c r="T480" t="s">
        <v>466</v>
      </c>
    </row>
    <row r="481" spans="1:20" ht="15" customHeight="1" x14ac:dyDescent="0.25">
      <c r="A481">
        <f t="shared" si="7"/>
        <v>55</v>
      </c>
      <c r="B481" t="s">
        <v>1113</v>
      </c>
      <c r="C481" t="s">
        <v>54</v>
      </c>
      <c r="D481">
        <v>135</v>
      </c>
      <c r="E4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81">
        <f ca="1">IF(Tabla142[[#This Row],[frecuencia_new]]="Diaria"," ",RANDBETWEEN(1,6))</f>
        <v>1</v>
      </c>
      <c r="G481">
        <f ca="1">IF(Tabla142[[#This Row],[frecuencia_new]]="Diaria","",IF(Tabla142[[#This Row],[frecuencia_new]]="Semanal","",IF(Tabla142[[#This Row],[frecuencia_new]]="Quincenal",RANDBETWEEN(1,2),RANDBETWEEN(1,4))))</f>
        <v>3</v>
      </c>
      <c r="H481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81" t="s">
        <v>53</v>
      </c>
      <c r="K481">
        <f>SUM(MID(Tabla142[[#This Row],[Duración]],1,2)*60,MID(Tabla142[[#This Row],[Duración]],6,2))</f>
        <v>30</v>
      </c>
      <c r="L481" s="4" t="s">
        <v>48</v>
      </c>
      <c r="M481" t="s">
        <v>239</v>
      </c>
      <c r="N481" t="s">
        <v>299</v>
      </c>
      <c r="O481" t="s">
        <v>384</v>
      </c>
      <c r="P481" t="s">
        <v>360</v>
      </c>
      <c r="Q481" s="20">
        <v>46032.649155092593</v>
      </c>
      <c r="R481" t="s">
        <v>5</v>
      </c>
      <c r="T481" t="s">
        <v>466</v>
      </c>
    </row>
    <row r="482" spans="1:20" ht="15" customHeight="1" x14ac:dyDescent="0.25">
      <c r="A482">
        <f t="shared" si="7"/>
        <v>55</v>
      </c>
      <c r="B482" t="s">
        <v>1114</v>
      </c>
      <c r="C482" s="18" t="s">
        <v>47</v>
      </c>
      <c r="D482" s="18">
        <v>135</v>
      </c>
      <c r="E4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82">
        <f ca="1">IF(Tabla142[[#This Row],[frecuencia_new]]="Diaria"," ",RANDBETWEEN(1,6))</f>
        <v>6</v>
      </c>
      <c r="G482">
        <f ca="1">IF(Tabla142[[#This Row],[frecuencia_new]]="Diaria","",IF(Tabla142[[#This Row],[frecuencia_new]]="Semanal","",IF(Tabla142[[#This Row],[frecuencia_new]]="Quincenal",RANDBETWEEN(1,2),RANDBETWEEN(1,4))))</f>
        <v>1</v>
      </c>
      <c r="H482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482" s="18" t="s">
        <v>64</v>
      </c>
      <c r="K482" s="18">
        <f>SUM(MID(Tabla142[[#This Row],[Duración]],1,2)*60,MID(Tabla142[[#This Row],[Duración]],6,2))</f>
        <v>30</v>
      </c>
      <c r="L482" s="19" t="s">
        <v>48</v>
      </c>
      <c r="M482" s="18" t="s">
        <v>239</v>
      </c>
      <c r="N482" t="s">
        <v>299</v>
      </c>
      <c r="O482" t="s">
        <v>384</v>
      </c>
      <c r="P482" t="s">
        <v>360</v>
      </c>
      <c r="Q482" s="20">
        <v>46032.649155092593</v>
      </c>
      <c r="R482" s="18" t="s">
        <v>5</v>
      </c>
      <c r="T482" t="s">
        <v>466</v>
      </c>
    </row>
    <row r="483" spans="1:20" ht="15" customHeight="1" x14ac:dyDescent="0.25">
      <c r="A483">
        <f t="shared" si="7"/>
        <v>181</v>
      </c>
      <c r="B483" t="s">
        <v>1115</v>
      </c>
      <c r="C483" s="18" t="s">
        <v>47</v>
      </c>
      <c r="D483" s="18">
        <v>135</v>
      </c>
      <c r="E4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483">
        <f ca="1">IF(Tabla142[[#This Row],[frecuencia_new]]="Diaria"," ",RANDBETWEEN(1,6))</f>
        <v>6</v>
      </c>
      <c r="G483">
        <f ca="1">IF(Tabla142[[#This Row],[frecuencia_new]]="Diaria","",IF(Tabla142[[#This Row],[frecuencia_new]]="Semanal","",IF(Tabla142[[#This Row],[frecuencia_new]]="Quincenal",RANDBETWEEN(1,2),RANDBETWEEN(1,4))))</f>
        <v>2</v>
      </c>
      <c r="H483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83" s="18" t="s">
        <v>187</v>
      </c>
      <c r="K483" s="18">
        <f>SUM(MID(Tabla142[[#This Row],[Duración]],1,2)*60,MID(Tabla142[[#This Row],[Duración]],6,2))</f>
        <v>30</v>
      </c>
      <c r="L483" s="19" t="s">
        <v>48</v>
      </c>
      <c r="M483" s="18" t="s">
        <v>239</v>
      </c>
      <c r="N483" t="s">
        <v>299</v>
      </c>
      <c r="O483" t="s">
        <v>389</v>
      </c>
      <c r="P483" t="s">
        <v>363</v>
      </c>
      <c r="Q483" s="20">
        <v>46032.649155092593</v>
      </c>
      <c r="R483" s="18" t="s">
        <v>18</v>
      </c>
      <c r="T483" t="s">
        <v>592</v>
      </c>
    </row>
    <row r="484" spans="1:20" ht="15" customHeight="1" x14ac:dyDescent="0.25">
      <c r="A484">
        <f t="shared" si="7"/>
        <v>181</v>
      </c>
      <c r="B484" t="s">
        <v>1116</v>
      </c>
      <c r="C484" s="18" t="s">
        <v>47</v>
      </c>
      <c r="D484" s="18">
        <v>135</v>
      </c>
      <c r="E4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84">
        <f ca="1">IF(Tabla142[[#This Row],[frecuencia_new]]="Diaria"," ",RANDBETWEEN(1,6))</f>
        <v>1</v>
      </c>
      <c r="G484" t="str">
        <f ca="1">IF(Tabla142[[#This Row],[frecuencia_new]]="Diaria","",IF(Tabla142[[#This Row],[frecuencia_new]]="Semanal","",IF(Tabla142[[#This Row],[frecuencia_new]]="Quincenal",RANDBETWEEN(1,2),RANDBETWEEN(1,4))))</f>
        <v/>
      </c>
      <c r="H4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84" s="18" t="s">
        <v>188</v>
      </c>
      <c r="K484" s="18">
        <f>SUM(MID(Tabla142[[#This Row],[Duración]],1,2)*60,MID(Tabla142[[#This Row],[Duración]],6,2))</f>
        <v>10</v>
      </c>
      <c r="L484" s="19" t="s">
        <v>71</v>
      </c>
      <c r="M484" s="18" t="s">
        <v>239</v>
      </c>
      <c r="N484" t="s">
        <v>299</v>
      </c>
      <c r="O484" t="s">
        <v>389</v>
      </c>
      <c r="P484" t="s">
        <v>363</v>
      </c>
      <c r="Q484" s="20">
        <v>46032.649155092593</v>
      </c>
      <c r="R484" s="18" t="s">
        <v>8</v>
      </c>
      <c r="T484" t="s">
        <v>592</v>
      </c>
    </row>
    <row r="485" spans="1:20" ht="15" customHeight="1" x14ac:dyDescent="0.25">
      <c r="A485">
        <f t="shared" si="7"/>
        <v>181</v>
      </c>
      <c r="B485" t="s">
        <v>1117</v>
      </c>
      <c r="C485" s="18" t="s">
        <v>47</v>
      </c>
      <c r="D485" s="18">
        <v>135</v>
      </c>
      <c r="E4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85">
        <f ca="1">IF(Tabla142[[#This Row],[frecuencia_new]]="Diaria"," ",RANDBETWEEN(1,6))</f>
        <v>1</v>
      </c>
      <c r="G485">
        <f ca="1">IF(Tabla142[[#This Row],[frecuencia_new]]="Diaria","",IF(Tabla142[[#This Row],[frecuencia_new]]="Semanal","",IF(Tabla142[[#This Row],[frecuencia_new]]="Quincenal",RANDBETWEEN(1,2),RANDBETWEEN(1,4))))</f>
        <v>4</v>
      </c>
      <c r="H4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85" s="18" t="s">
        <v>189</v>
      </c>
      <c r="K485" s="18">
        <f>SUM(MID(Tabla142[[#This Row],[Duración]],1,2)*60,MID(Tabla142[[#This Row],[Duración]],6,2))</f>
        <v>15</v>
      </c>
      <c r="L485" s="19" t="s">
        <v>77</v>
      </c>
      <c r="M485" s="18" t="s">
        <v>239</v>
      </c>
      <c r="N485" t="s">
        <v>299</v>
      </c>
      <c r="O485" t="s">
        <v>389</v>
      </c>
      <c r="P485" t="s">
        <v>363</v>
      </c>
      <c r="Q485" s="20">
        <v>46032.649155092593</v>
      </c>
      <c r="R485" s="18" t="s">
        <v>7</v>
      </c>
      <c r="T485" t="s">
        <v>592</v>
      </c>
    </row>
    <row r="486" spans="1:20" ht="15" customHeight="1" x14ac:dyDescent="0.25">
      <c r="A486">
        <f t="shared" si="7"/>
        <v>181</v>
      </c>
      <c r="B486" t="s">
        <v>1118</v>
      </c>
      <c r="C486" s="18" t="s">
        <v>47</v>
      </c>
      <c r="D486" s="18">
        <v>135</v>
      </c>
      <c r="E4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86">
        <f ca="1">IF(Tabla142[[#This Row],[frecuencia_new]]="Diaria"," ",RANDBETWEEN(1,6))</f>
        <v>3</v>
      </c>
      <c r="G486">
        <f ca="1">IF(Tabla142[[#This Row],[frecuencia_new]]="Diaria","",IF(Tabla142[[#This Row],[frecuencia_new]]="Semanal","",IF(Tabla142[[#This Row],[frecuencia_new]]="Quincenal",RANDBETWEEN(1,2),RANDBETWEEN(1,4))))</f>
        <v>2</v>
      </c>
      <c r="H48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86" s="18" t="s">
        <v>190</v>
      </c>
      <c r="K486" s="18">
        <f>SUM(MID(Tabla142[[#This Row],[Duración]],1,2)*60,MID(Tabla142[[#This Row],[Duración]],6,2))</f>
        <v>10</v>
      </c>
      <c r="L486" s="19" t="s">
        <v>71</v>
      </c>
      <c r="M486" s="18" t="s">
        <v>239</v>
      </c>
      <c r="N486" t="s">
        <v>299</v>
      </c>
      <c r="O486" t="s">
        <v>389</v>
      </c>
      <c r="P486" t="s">
        <v>363</v>
      </c>
      <c r="Q486" s="20">
        <v>46032.649155092593</v>
      </c>
      <c r="R486" s="18" t="s">
        <v>7</v>
      </c>
      <c r="T486" t="s">
        <v>592</v>
      </c>
    </row>
    <row r="487" spans="1:20" ht="15" customHeight="1" x14ac:dyDescent="0.25">
      <c r="A487">
        <f t="shared" si="7"/>
        <v>181</v>
      </c>
      <c r="B487" t="s">
        <v>1119</v>
      </c>
      <c r="C487" s="18" t="s">
        <v>47</v>
      </c>
      <c r="D487" s="18">
        <v>135</v>
      </c>
      <c r="E4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87">
        <f ca="1">IF(Tabla142[[#This Row],[frecuencia_new]]="Diaria"," ",RANDBETWEEN(1,6))</f>
        <v>2</v>
      </c>
      <c r="G487">
        <f ca="1">IF(Tabla142[[#This Row],[frecuencia_new]]="Diaria","",IF(Tabla142[[#This Row],[frecuencia_new]]="Semanal","",IF(Tabla142[[#This Row],[frecuencia_new]]="Quincenal",RANDBETWEEN(1,2),RANDBETWEEN(1,4))))</f>
        <v>3</v>
      </c>
      <c r="H4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87" s="18" t="s">
        <v>191</v>
      </c>
      <c r="K487" s="18">
        <f>SUM(MID(Tabla142[[#This Row],[Duración]],1,2)*60,MID(Tabla142[[#This Row],[Duración]],6,2))</f>
        <v>15</v>
      </c>
      <c r="L487" s="19" t="s">
        <v>77</v>
      </c>
      <c r="M487" s="18" t="s">
        <v>239</v>
      </c>
      <c r="N487" t="s">
        <v>299</v>
      </c>
      <c r="O487" t="s">
        <v>389</v>
      </c>
      <c r="P487" t="s">
        <v>363</v>
      </c>
      <c r="Q487" s="20">
        <v>46032.649155092593</v>
      </c>
      <c r="R487" s="18" t="s">
        <v>7</v>
      </c>
      <c r="T487" t="s">
        <v>592</v>
      </c>
    </row>
    <row r="488" spans="1:20" x14ac:dyDescent="0.25">
      <c r="A488">
        <f t="shared" si="7"/>
        <v>181</v>
      </c>
      <c r="B488" t="s">
        <v>1120</v>
      </c>
      <c r="C488" s="18" t="s">
        <v>47</v>
      </c>
      <c r="D488" s="18">
        <v>135</v>
      </c>
      <c r="E4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488">
        <f ca="1">IF(Tabla142[[#This Row],[frecuencia_new]]="Diaria"," ",RANDBETWEEN(1,6))</f>
        <v>2</v>
      </c>
      <c r="G488">
        <f ca="1">IF(Tabla142[[#This Row],[frecuencia_new]]="Diaria","",IF(Tabla142[[#This Row],[frecuencia_new]]="Semanal","",IF(Tabla142[[#This Row],[frecuencia_new]]="Quincenal",RANDBETWEEN(1,2),RANDBETWEEN(1,4))))</f>
        <v>2</v>
      </c>
      <c r="H488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488" s="18" t="s">
        <v>192</v>
      </c>
      <c r="K488" s="18">
        <f>SUM(MID(Tabla142[[#This Row],[Duración]],1,2)*60,MID(Tabla142[[#This Row],[Duración]],6,2))</f>
        <v>20</v>
      </c>
      <c r="L488" s="19" t="s">
        <v>82</v>
      </c>
      <c r="M488" s="18" t="s">
        <v>239</v>
      </c>
      <c r="N488" t="s">
        <v>299</v>
      </c>
      <c r="O488" t="s">
        <v>389</v>
      </c>
      <c r="P488" t="s">
        <v>363</v>
      </c>
      <c r="Q488" s="20">
        <v>46032.649155092593</v>
      </c>
      <c r="R488" s="18" t="s">
        <v>20</v>
      </c>
      <c r="T488" t="s">
        <v>592</v>
      </c>
    </row>
    <row r="489" spans="1:20" ht="15" customHeight="1" x14ac:dyDescent="0.25">
      <c r="A489">
        <f t="shared" si="7"/>
        <v>62</v>
      </c>
      <c r="B489" t="s">
        <v>1121</v>
      </c>
      <c r="C489" s="18" t="s">
        <v>47</v>
      </c>
      <c r="D489">
        <v>180</v>
      </c>
      <c r="E4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89">
        <f ca="1">IF(Tabla142[[#This Row],[frecuencia_new]]="Diaria"," ",RANDBETWEEN(1,6))</f>
        <v>5</v>
      </c>
      <c r="G489">
        <f ca="1">IF(Tabla142[[#This Row],[frecuencia_new]]="Diaria","",IF(Tabla142[[#This Row],[frecuencia_new]]="Semanal","",IF(Tabla142[[#This Row],[frecuencia_new]]="Quincenal",RANDBETWEEN(1,2),RANDBETWEEN(1,4))))</f>
        <v>2</v>
      </c>
      <c r="H489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489" t="s">
        <v>46</v>
      </c>
      <c r="K489">
        <f>SUM(MID(Tabla142[[#This Row],[Duración]],1,2)*60,MID(Tabla142[[#This Row],[Duración]],6,2))</f>
        <v>30</v>
      </c>
      <c r="L489" s="4" t="s">
        <v>48</v>
      </c>
      <c r="M489" s="18" t="s">
        <v>239</v>
      </c>
      <c r="N489" t="s">
        <v>299</v>
      </c>
      <c r="O489" t="s">
        <v>384</v>
      </c>
      <c r="P489" t="s">
        <v>360</v>
      </c>
      <c r="Q489" s="20">
        <v>46032.649155092593</v>
      </c>
      <c r="R489" t="s">
        <v>5</v>
      </c>
      <c r="T489" t="s">
        <v>473</v>
      </c>
    </row>
    <row r="490" spans="1:20" ht="15" customHeight="1" x14ac:dyDescent="0.25">
      <c r="A490">
        <f t="shared" si="7"/>
        <v>62</v>
      </c>
      <c r="B490" t="s">
        <v>1122</v>
      </c>
      <c r="C490" s="18" t="s">
        <v>47</v>
      </c>
      <c r="D490">
        <v>180</v>
      </c>
      <c r="E4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90">
        <f ca="1">IF(Tabla142[[#This Row],[frecuencia_new]]="Diaria"," ",RANDBETWEEN(1,6))</f>
        <v>1</v>
      </c>
      <c r="G490">
        <f ca="1">IF(Tabla142[[#This Row],[frecuencia_new]]="Diaria","",IF(Tabla142[[#This Row],[frecuencia_new]]="Semanal","",IF(Tabla142[[#This Row],[frecuencia_new]]="Quincenal",RANDBETWEEN(1,2),RANDBETWEEN(1,4))))</f>
        <v>1</v>
      </c>
      <c r="H49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490" t="s">
        <v>52</v>
      </c>
      <c r="K490">
        <f>SUM(MID(Tabla142[[#This Row],[Duración]],1,2)*60,MID(Tabla142[[#This Row],[Duración]],6,2))</f>
        <v>30</v>
      </c>
      <c r="L490" s="4" t="s">
        <v>48</v>
      </c>
      <c r="M490" s="18" t="s">
        <v>239</v>
      </c>
      <c r="N490" t="s">
        <v>299</v>
      </c>
      <c r="O490" t="s">
        <v>384</v>
      </c>
      <c r="P490" t="s">
        <v>360</v>
      </c>
      <c r="Q490" s="20">
        <v>46032.649155092593</v>
      </c>
      <c r="R490" t="s">
        <v>5</v>
      </c>
      <c r="T490" t="s">
        <v>473</v>
      </c>
    </row>
    <row r="491" spans="1:20" ht="15" customHeight="1" x14ac:dyDescent="0.25">
      <c r="A491">
        <f t="shared" si="7"/>
        <v>62</v>
      </c>
      <c r="B491" t="s">
        <v>1123</v>
      </c>
      <c r="C491" s="18" t="s">
        <v>54</v>
      </c>
      <c r="D491">
        <v>180</v>
      </c>
      <c r="E4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91">
        <f ca="1">IF(Tabla142[[#This Row],[frecuencia_new]]="Diaria"," ",RANDBETWEEN(1,6))</f>
        <v>4</v>
      </c>
      <c r="G491">
        <f ca="1">IF(Tabla142[[#This Row],[frecuencia_new]]="Diaria","",IF(Tabla142[[#This Row],[frecuencia_new]]="Semanal","",IF(Tabla142[[#This Row],[frecuencia_new]]="Quincenal",RANDBETWEEN(1,2),RANDBETWEEN(1,4))))</f>
        <v>3</v>
      </c>
      <c r="H491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491" t="s">
        <v>53</v>
      </c>
      <c r="K491">
        <f>SUM(MID(Tabla142[[#This Row],[Duración]],1,2)*60,MID(Tabla142[[#This Row],[Duración]],6,2))</f>
        <v>30</v>
      </c>
      <c r="L491" s="4" t="s">
        <v>48</v>
      </c>
      <c r="M491" s="18" t="s">
        <v>239</v>
      </c>
      <c r="N491" t="s">
        <v>299</v>
      </c>
      <c r="O491" t="s">
        <v>384</v>
      </c>
      <c r="P491" t="s">
        <v>360</v>
      </c>
      <c r="Q491" s="20">
        <v>46032.649155092593</v>
      </c>
      <c r="R491" t="s">
        <v>5</v>
      </c>
      <c r="T491" t="s">
        <v>473</v>
      </c>
    </row>
    <row r="492" spans="1:20" ht="15" customHeight="1" x14ac:dyDescent="0.25">
      <c r="A492">
        <f t="shared" si="7"/>
        <v>62</v>
      </c>
      <c r="B492" t="s">
        <v>1124</v>
      </c>
      <c r="C492" s="18" t="s">
        <v>47</v>
      </c>
      <c r="D492">
        <v>180</v>
      </c>
      <c r="E4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492">
        <f ca="1">IF(Tabla142[[#This Row],[frecuencia_new]]="Diaria"," ",RANDBETWEEN(1,6))</f>
        <v>4</v>
      </c>
      <c r="G492">
        <f ca="1">IF(Tabla142[[#This Row],[frecuencia_new]]="Diaria","",IF(Tabla142[[#This Row],[frecuencia_new]]="Semanal","",IF(Tabla142[[#This Row],[frecuencia_new]]="Quincenal",RANDBETWEEN(1,2),RANDBETWEEN(1,4))))</f>
        <v>2</v>
      </c>
      <c r="H492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492" t="s">
        <v>64</v>
      </c>
      <c r="K492">
        <f>SUM(MID(Tabla142[[#This Row],[Duración]],1,2)*60,MID(Tabla142[[#This Row],[Duración]],6,2))</f>
        <v>30</v>
      </c>
      <c r="L492" s="4" t="s">
        <v>48</v>
      </c>
      <c r="M492" s="18" t="s">
        <v>239</v>
      </c>
      <c r="N492" t="s">
        <v>299</v>
      </c>
      <c r="O492" t="s">
        <v>384</v>
      </c>
      <c r="P492" t="s">
        <v>360</v>
      </c>
      <c r="Q492" s="20">
        <v>46032.649155092593</v>
      </c>
      <c r="R492" t="s">
        <v>5</v>
      </c>
      <c r="T492" t="s">
        <v>473</v>
      </c>
    </row>
    <row r="493" spans="1:20" ht="15" customHeight="1" x14ac:dyDescent="0.25">
      <c r="A493">
        <f t="shared" si="7"/>
        <v>182</v>
      </c>
      <c r="B493" t="s">
        <v>1125</v>
      </c>
      <c r="C493" s="18" t="s">
        <v>47</v>
      </c>
      <c r="D493">
        <v>180</v>
      </c>
      <c r="E4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93">
        <f ca="1">IF(Tabla142[[#This Row],[frecuencia_new]]="Diaria"," ",RANDBETWEEN(1,6))</f>
        <v>3</v>
      </c>
      <c r="G493">
        <f ca="1">IF(Tabla142[[#This Row],[frecuencia_new]]="Diaria","",IF(Tabla142[[#This Row],[frecuencia_new]]="Semanal","",IF(Tabla142[[#This Row],[frecuencia_new]]="Quincenal",RANDBETWEEN(1,2),RANDBETWEEN(1,4))))</f>
        <v>2</v>
      </c>
      <c r="H4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3" t="s">
        <v>73</v>
      </c>
      <c r="K493">
        <f>SUM(MID(Tabla142[[#This Row],[Duración]],1,2)*60,MID(Tabla142[[#This Row],[Duración]],6,2))</f>
        <v>30</v>
      </c>
      <c r="L493" s="4" t="s">
        <v>48</v>
      </c>
      <c r="M493" s="18" t="s">
        <v>239</v>
      </c>
      <c r="N493" t="s">
        <v>299</v>
      </c>
      <c r="O493" t="s">
        <v>389</v>
      </c>
      <c r="P493" t="s">
        <v>363</v>
      </c>
      <c r="Q493" s="20">
        <v>46032.649155092593</v>
      </c>
      <c r="R493" t="s">
        <v>7</v>
      </c>
      <c r="T493" t="s">
        <v>593</v>
      </c>
    </row>
    <row r="494" spans="1:20" ht="15" customHeight="1" x14ac:dyDescent="0.25">
      <c r="A494">
        <f t="shared" si="7"/>
        <v>182</v>
      </c>
      <c r="B494" t="s">
        <v>1126</v>
      </c>
      <c r="C494" s="18" t="s">
        <v>47</v>
      </c>
      <c r="D494">
        <v>180</v>
      </c>
      <c r="E4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94">
        <f ca="1">IF(Tabla142[[#This Row],[frecuencia_new]]="Diaria"," ",RANDBETWEEN(1,6))</f>
        <v>1</v>
      </c>
      <c r="G494">
        <f ca="1">IF(Tabla142[[#This Row],[frecuencia_new]]="Diaria","",IF(Tabla142[[#This Row],[frecuencia_new]]="Semanal","",IF(Tabla142[[#This Row],[frecuencia_new]]="Quincenal",RANDBETWEEN(1,2),RANDBETWEEN(1,4))))</f>
        <v>1</v>
      </c>
      <c r="H4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4" t="s">
        <v>74</v>
      </c>
      <c r="K494">
        <f>SUM(MID(Tabla142[[#This Row],[Duración]],1,2)*60,MID(Tabla142[[#This Row],[Duración]],6,2))</f>
        <v>30</v>
      </c>
      <c r="L494" s="4" t="s">
        <v>48</v>
      </c>
      <c r="M494" s="18" t="s">
        <v>239</v>
      </c>
      <c r="N494" t="s">
        <v>299</v>
      </c>
      <c r="O494" t="s">
        <v>389</v>
      </c>
      <c r="P494" t="s">
        <v>363</v>
      </c>
      <c r="Q494" s="20">
        <v>46032.649155092593</v>
      </c>
      <c r="R494" t="s">
        <v>7</v>
      </c>
      <c r="T494" t="s">
        <v>593</v>
      </c>
    </row>
    <row r="495" spans="1:20" ht="15" customHeight="1" x14ac:dyDescent="0.25">
      <c r="A495">
        <f t="shared" si="7"/>
        <v>182</v>
      </c>
      <c r="B495" t="s">
        <v>1127</v>
      </c>
      <c r="C495" s="18" t="s">
        <v>47</v>
      </c>
      <c r="D495">
        <v>180</v>
      </c>
      <c r="E4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95">
        <f ca="1">IF(Tabla142[[#This Row],[frecuencia_new]]="Diaria"," ",RANDBETWEEN(1,6))</f>
        <v>1</v>
      </c>
      <c r="G495">
        <f ca="1">IF(Tabla142[[#This Row],[frecuencia_new]]="Diaria","",IF(Tabla142[[#This Row],[frecuencia_new]]="Semanal","",IF(Tabla142[[#This Row],[frecuencia_new]]="Quincenal",RANDBETWEEN(1,2),RANDBETWEEN(1,4))))</f>
        <v>3</v>
      </c>
      <c r="H4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5" t="s">
        <v>75</v>
      </c>
      <c r="K495">
        <f>SUM(MID(Tabla142[[#This Row],[Duración]],1,2)*60,MID(Tabla142[[#This Row],[Duración]],6,2))</f>
        <v>30</v>
      </c>
      <c r="L495" s="4" t="s">
        <v>48</v>
      </c>
      <c r="M495" s="18" t="s">
        <v>239</v>
      </c>
      <c r="N495" t="s">
        <v>299</v>
      </c>
      <c r="O495" t="s">
        <v>389</v>
      </c>
      <c r="P495" t="s">
        <v>363</v>
      </c>
      <c r="Q495" s="20">
        <v>46032.649155092593</v>
      </c>
      <c r="R495" t="s">
        <v>7</v>
      </c>
      <c r="T495" t="s">
        <v>593</v>
      </c>
    </row>
    <row r="496" spans="1:20" ht="15" customHeight="1" x14ac:dyDescent="0.25">
      <c r="A496">
        <f t="shared" si="7"/>
        <v>182</v>
      </c>
      <c r="B496" t="s">
        <v>1128</v>
      </c>
      <c r="C496" s="18" t="s">
        <v>47</v>
      </c>
      <c r="D496">
        <v>180</v>
      </c>
      <c r="E4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96">
        <f ca="1">IF(Tabla142[[#This Row],[frecuencia_new]]="Diaria"," ",RANDBETWEEN(1,6))</f>
        <v>3</v>
      </c>
      <c r="G496">
        <f ca="1">IF(Tabla142[[#This Row],[frecuencia_new]]="Diaria","",IF(Tabla142[[#This Row],[frecuencia_new]]="Semanal","",IF(Tabla142[[#This Row],[frecuencia_new]]="Quincenal",RANDBETWEEN(1,2),RANDBETWEEN(1,4))))</f>
        <v>1</v>
      </c>
      <c r="H4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6" t="s">
        <v>76</v>
      </c>
      <c r="K496">
        <f>SUM(MID(Tabla142[[#This Row],[Duración]],1,2)*60,MID(Tabla142[[#This Row],[Duración]],6,2))</f>
        <v>15</v>
      </c>
      <c r="L496" s="4" t="s">
        <v>77</v>
      </c>
      <c r="M496" s="18" t="s">
        <v>239</v>
      </c>
      <c r="N496" t="s">
        <v>299</v>
      </c>
      <c r="O496" t="s">
        <v>389</v>
      </c>
      <c r="P496" t="s">
        <v>363</v>
      </c>
      <c r="Q496" s="20">
        <v>46032.649155092593</v>
      </c>
      <c r="R496" t="s">
        <v>7</v>
      </c>
      <c r="T496" t="s">
        <v>593</v>
      </c>
    </row>
    <row r="497" spans="1:20" ht="15" customHeight="1" x14ac:dyDescent="0.25">
      <c r="A497">
        <f t="shared" si="7"/>
        <v>5</v>
      </c>
      <c r="B497" t="s">
        <v>1129</v>
      </c>
      <c r="C497" t="s">
        <v>47</v>
      </c>
      <c r="D497">
        <v>4</v>
      </c>
      <c r="E4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497">
        <f ca="1">IF(Tabla142[[#This Row],[frecuencia_new]]="Diaria"," ",RANDBETWEEN(1,6))</f>
        <v>4</v>
      </c>
      <c r="G497">
        <f ca="1">IF(Tabla142[[#This Row],[frecuencia_new]]="Diaria","",IF(Tabla142[[#This Row],[frecuencia_new]]="Semanal","",IF(Tabla142[[#This Row],[frecuencia_new]]="Quincenal",RANDBETWEEN(1,2),RANDBETWEEN(1,4))))</f>
        <v>3</v>
      </c>
      <c r="H4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7" t="s">
        <v>51</v>
      </c>
      <c r="K497">
        <f>SUM(MID(Tabla142[[#This Row],[Duración]],1,2)*60,MID(Tabla142[[#This Row],[Duración]],6,2))</f>
        <v>5</v>
      </c>
      <c r="L497" s="4" t="s">
        <v>50</v>
      </c>
      <c r="M497" t="s">
        <v>239</v>
      </c>
      <c r="N497" t="s">
        <v>252</v>
      </c>
      <c r="O497" t="s">
        <v>390</v>
      </c>
      <c r="P497" t="s">
        <v>364</v>
      </c>
      <c r="Q497" s="20">
        <v>46032.649155092593</v>
      </c>
      <c r="R497" t="s">
        <v>7</v>
      </c>
      <c r="T497" t="s">
        <v>416</v>
      </c>
    </row>
    <row r="498" spans="1:20" ht="15" customHeight="1" x14ac:dyDescent="0.25">
      <c r="A498">
        <f t="shared" si="7"/>
        <v>5</v>
      </c>
      <c r="B498" t="s">
        <v>1130</v>
      </c>
      <c r="C498" t="s">
        <v>47</v>
      </c>
      <c r="D498">
        <v>4</v>
      </c>
      <c r="E4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98">
        <f ca="1">IF(Tabla142[[#This Row],[frecuencia_new]]="Diaria"," ",RANDBETWEEN(1,6))</f>
        <v>3</v>
      </c>
      <c r="G498" t="str">
        <f ca="1">IF(Tabla142[[#This Row],[frecuencia_new]]="Diaria","",IF(Tabla142[[#This Row],[frecuencia_new]]="Semanal","",IF(Tabla142[[#This Row],[frecuencia_new]]="Quincenal",RANDBETWEEN(1,2),RANDBETWEEN(1,4))))</f>
        <v/>
      </c>
      <c r="H4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8" t="s">
        <v>55</v>
      </c>
      <c r="K498">
        <f>SUM(MID(Tabla142[[#This Row],[Duración]],1,2)*60,MID(Tabla142[[#This Row],[Duración]],6,2))</f>
        <v>5</v>
      </c>
      <c r="L498" s="4" t="s">
        <v>50</v>
      </c>
      <c r="M498" t="s">
        <v>239</v>
      </c>
      <c r="N498" t="s">
        <v>252</v>
      </c>
      <c r="O498" t="s">
        <v>390</v>
      </c>
      <c r="P498" t="s">
        <v>363</v>
      </c>
      <c r="Q498" s="20">
        <v>46032.649155092593</v>
      </c>
      <c r="R498" t="s">
        <v>8</v>
      </c>
      <c r="T498" t="s">
        <v>416</v>
      </c>
    </row>
    <row r="499" spans="1:20" ht="15" customHeight="1" x14ac:dyDescent="0.25">
      <c r="A499">
        <f t="shared" si="7"/>
        <v>5</v>
      </c>
      <c r="B499" t="s">
        <v>1131</v>
      </c>
      <c r="C499" t="s">
        <v>54</v>
      </c>
      <c r="D499">
        <v>4</v>
      </c>
      <c r="E4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499">
        <f ca="1">IF(Tabla142[[#This Row],[frecuencia_new]]="Diaria"," ",RANDBETWEEN(1,6))</f>
        <v>5</v>
      </c>
      <c r="G499" t="str">
        <f ca="1">IF(Tabla142[[#This Row],[frecuencia_new]]="Diaria","",IF(Tabla142[[#This Row],[frecuencia_new]]="Semanal","",IF(Tabla142[[#This Row],[frecuencia_new]]="Quincenal",RANDBETWEEN(1,2),RANDBETWEEN(1,4))))</f>
        <v/>
      </c>
      <c r="H49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499" t="s">
        <v>57</v>
      </c>
      <c r="K499">
        <f>SUM(MID(Tabla142[[#This Row],[Duración]],1,2)*60,MID(Tabla142[[#This Row],[Duración]],6,2))</f>
        <v>5</v>
      </c>
      <c r="L499" s="4" t="s">
        <v>50</v>
      </c>
      <c r="M499" t="s">
        <v>239</v>
      </c>
      <c r="N499" t="s">
        <v>252</v>
      </c>
      <c r="O499" t="s">
        <v>390</v>
      </c>
      <c r="P499" t="s">
        <v>363</v>
      </c>
      <c r="Q499" s="20">
        <v>46032.649155092593</v>
      </c>
      <c r="R499" t="s">
        <v>8</v>
      </c>
      <c r="T499" t="s">
        <v>416</v>
      </c>
    </row>
    <row r="500" spans="1:20" ht="15" customHeight="1" x14ac:dyDescent="0.25">
      <c r="A500">
        <f t="shared" si="7"/>
        <v>22</v>
      </c>
      <c r="B500" t="s">
        <v>1132</v>
      </c>
      <c r="C500" t="s">
        <v>47</v>
      </c>
      <c r="D500">
        <v>4</v>
      </c>
      <c r="E5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0">
        <f ca="1">IF(Tabla142[[#This Row],[frecuencia_new]]="Diaria"," ",RANDBETWEEN(1,6))</f>
        <v>4</v>
      </c>
      <c r="G500">
        <f ca="1">IF(Tabla142[[#This Row],[frecuencia_new]]="Diaria","",IF(Tabla142[[#This Row],[frecuencia_new]]="Semanal","",IF(Tabla142[[#This Row],[frecuencia_new]]="Quincenal",RANDBETWEEN(1,2),RANDBETWEEN(1,4))))</f>
        <v>2</v>
      </c>
      <c r="H500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500" t="s">
        <v>46</v>
      </c>
      <c r="K500">
        <f>SUM(MID(Tabla142[[#This Row],[Duración]],1,2)*60,MID(Tabla142[[#This Row],[Duración]],6,2))</f>
        <v>30</v>
      </c>
      <c r="L500" s="4" t="s">
        <v>48</v>
      </c>
      <c r="M500" t="s">
        <v>239</v>
      </c>
      <c r="N500" t="s">
        <v>252</v>
      </c>
      <c r="O500" t="s">
        <v>384</v>
      </c>
      <c r="P500" t="s">
        <v>360</v>
      </c>
      <c r="Q500" s="20">
        <v>46032.649155092593</v>
      </c>
      <c r="R500" t="s">
        <v>5</v>
      </c>
      <c r="T500" t="s">
        <v>433</v>
      </c>
    </row>
    <row r="501" spans="1:20" ht="15" customHeight="1" x14ac:dyDescent="0.25">
      <c r="A501">
        <f t="shared" si="7"/>
        <v>22</v>
      </c>
      <c r="B501" t="s">
        <v>1133</v>
      </c>
      <c r="C501" t="s">
        <v>47</v>
      </c>
      <c r="D501">
        <v>4</v>
      </c>
      <c r="E5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1">
        <f ca="1">IF(Tabla142[[#This Row],[frecuencia_new]]="Diaria"," ",RANDBETWEEN(1,6))</f>
        <v>6</v>
      </c>
      <c r="G501">
        <f ca="1">IF(Tabla142[[#This Row],[frecuencia_new]]="Diaria","",IF(Tabla142[[#This Row],[frecuencia_new]]="Semanal","",IF(Tabla142[[#This Row],[frecuencia_new]]="Quincenal",RANDBETWEEN(1,2),RANDBETWEEN(1,4))))</f>
        <v>2</v>
      </c>
      <c r="H501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501" t="s">
        <v>52</v>
      </c>
      <c r="K501">
        <f>SUM(MID(Tabla142[[#This Row],[Duración]],1,2)*60,MID(Tabla142[[#This Row],[Duración]],6,2))</f>
        <v>30</v>
      </c>
      <c r="L501" s="4" t="s">
        <v>48</v>
      </c>
      <c r="M501" t="s">
        <v>239</v>
      </c>
      <c r="N501" t="s">
        <v>252</v>
      </c>
      <c r="O501" t="s">
        <v>384</v>
      </c>
      <c r="P501" t="s">
        <v>365</v>
      </c>
      <c r="Q501" s="20">
        <v>46032.649155092593</v>
      </c>
      <c r="R501" t="s">
        <v>5</v>
      </c>
      <c r="T501" t="s">
        <v>433</v>
      </c>
    </row>
    <row r="502" spans="1:20" ht="15" customHeight="1" x14ac:dyDescent="0.25">
      <c r="A502">
        <f t="shared" si="7"/>
        <v>22</v>
      </c>
      <c r="B502" t="s">
        <v>1134</v>
      </c>
      <c r="C502" t="s">
        <v>54</v>
      </c>
      <c r="D502">
        <v>4</v>
      </c>
      <c r="E5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2">
        <f ca="1">IF(Tabla142[[#This Row],[frecuencia_new]]="Diaria"," ",RANDBETWEEN(1,6))</f>
        <v>3</v>
      </c>
      <c r="G502">
        <f ca="1">IF(Tabla142[[#This Row],[frecuencia_new]]="Diaria","",IF(Tabla142[[#This Row],[frecuencia_new]]="Semanal","",IF(Tabla142[[#This Row],[frecuencia_new]]="Quincenal",RANDBETWEEN(1,2),RANDBETWEEN(1,4))))</f>
        <v>1</v>
      </c>
      <c r="H502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502" t="s">
        <v>53</v>
      </c>
      <c r="K502">
        <f>SUM(MID(Tabla142[[#This Row],[Duración]],1,2)*60,MID(Tabla142[[#This Row],[Duración]],6,2))</f>
        <v>30</v>
      </c>
      <c r="L502" s="4" t="s">
        <v>48</v>
      </c>
      <c r="M502" t="s">
        <v>239</v>
      </c>
      <c r="N502" t="s">
        <v>252</v>
      </c>
      <c r="O502" t="s">
        <v>384</v>
      </c>
      <c r="P502" t="s">
        <v>365</v>
      </c>
      <c r="Q502" s="20">
        <v>46032.649155092593</v>
      </c>
      <c r="R502" t="s">
        <v>5</v>
      </c>
      <c r="T502" t="s">
        <v>433</v>
      </c>
    </row>
    <row r="503" spans="1:20" ht="15" customHeight="1" x14ac:dyDescent="0.25">
      <c r="A503">
        <f t="shared" si="7"/>
        <v>22</v>
      </c>
      <c r="B503" t="s">
        <v>1135</v>
      </c>
      <c r="C503" t="s">
        <v>47</v>
      </c>
      <c r="D503">
        <v>4</v>
      </c>
      <c r="E5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3">
        <f ca="1">IF(Tabla142[[#This Row],[frecuencia_new]]="Diaria"," ",RANDBETWEEN(1,6))</f>
        <v>4</v>
      </c>
      <c r="G503">
        <f ca="1">IF(Tabla142[[#This Row],[frecuencia_new]]="Diaria","",IF(Tabla142[[#This Row],[frecuencia_new]]="Semanal","",IF(Tabla142[[#This Row],[frecuencia_new]]="Quincenal",RANDBETWEEN(1,2),RANDBETWEEN(1,4))))</f>
        <v>2</v>
      </c>
      <c r="H503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503" t="s">
        <v>56</v>
      </c>
      <c r="K503">
        <f>SUM(MID(Tabla142[[#This Row],[Duración]],1,2)*60,MID(Tabla142[[#This Row],[Duración]],6,2))</f>
        <v>30</v>
      </c>
      <c r="L503" s="4" t="s">
        <v>48</v>
      </c>
      <c r="M503" t="s">
        <v>239</v>
      </c>
      <c r="N503" t="s">
        <v>252</v>
      </c>
      <c r="O503" t="s">
        <v>384</v>
      </c>
      <c r="P503" t="s">
        <v>360</v>
      </c>
      <c r="Q503" s="20">
        <v>46032.649155092593</v>
      </c>
      <c r="R503" t="s">
        <v>5</v>
      </c>
      <c r="T503" t="s">
        <v>433</v>
      </c>
    </row>
    <row r="504" spans="1:20" ht="15" customHeight="1" x14ac:dyDescent="0.25">
      <c r="A504">
        <f t="shared" si="7"/>
        <v>199</v>
      </c>
      <c r="B504" t="s">
        <v>1136</v>
      </c>
      <c r="C504" s="18" t="s">
        <v>47</v>
      </c>
      <c r="D504" s="18">
        <v>4</v>
      </c>
      <c r="E5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04" t="str">
        <f ca="1">IF(Tabla142[[#This Row],[frecuencia_new]]="Diaria"," ",RANDBETWEEN(1,6))</f>
        <v xml:space="preserve"> </v>
      </c>
      <c r="G504" t="str">
        <f ca="1">IF(Tabla142[[#This Row],[frecuencia_new]]="Diaria","",IF(Tabla142[[#This Row],[frecuencia_new]]="Semanal","",IF(Tabla142[[#This Row],[frecuencia_new]]="Quincenal",RANDBETWEEN(1,2),RANDBETWEEN(1,4))))</f>
        <v/>
      </c>
      <c r="H5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04" s="18" t="s">
        <v>49</v>
      </c>
      <c r="K504" s="18">
        <f>SUM(MID(Tabla142[[#This Row],[Duración]],1,2)*60,MID(Tabla142[[#This Row],[Duración]],6,2))</f>
        <v>5</v>
      </c>
      <c r="L504" s="19" t="s">
        <v>50</v>
      </c>
      <c r="M504" s="18" t="s">
        <v>239</v>
      </c>
      <c r="N504" t="s">
        <v>252</v>
      </c>
      <c r="O504" t="s">
        <v>398</v>
      </c>
      <c r="P504" t="s">
        <v>361</v>
      </c>
      <c r="Q504" s="20">
        <v>46032.649155092593</v>
      </c>
      <c r="R504" s="18" t="s">
        <v>6</v>
      </c>
      <c r="T504" t="s">
        <v>610</v>
      </c>
    </row>
    <row r="505" spans="1:20" ht="15" customHeight="1" x14ac:dyDescent="0.25">
      <c r="A505">
        <f t="shared" si="7"/>
        <v>6</v>
      </c>
      <c r="B505" t="s">
        <v>1137</v>
      </c>
      <c r="C505" t="s">
        <v>47</v>
      </c>
      <c r="D505">
        <v>19</v>
      </c>
      <c r="E5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05">
        <f ca="1">IF(Tabla142[[#This Row],[frecuencia_new]]="Diaria"," ",RANDBETWEEN(1,6))</f>
        <v>2</v>
      </c>
      <c r="G505">
        <f ca="1">IF(Tabla142[[#This Row],[frecuencia_new]]="Diaria","",IF(Tabla142[[#This Row],[frecuencia_new]]="Semanal","",IF(Tabla142[[#This Row],[frecuencia_new]]="Quincenal",RANDBETWEEN(1,2),RANDBETWEEN(1,4))))</f>
        <v>2</v>
      </c>
      <c r="H5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05" t="s">
        <v>66</v>
      </c>
      <c r="K505">
        <f>SUM(MID(Tabla142[[#This Row],[Duración]],1,2)*60,MID(Tabla142[[#This Row],[Duración]],6,2))</f>
        <v>60</v>
      </c>
      <c r="L505" s="4" t="s">
        <v>58</v>
      </c>
      <c r="M505" t="s">
        <v>239</v>
      </c>
      <c r="N505" t="s">
        <v>252</v>
      </c>
      <c r="O505" t="s">
        <v>390</v>
      </c>
      <c r="P505" t="s">
        <v>363</v>
      </c>
      <c r="Q505" s="20">
        <v>46032.649155092593</v>
      </c>
      <c r="R505" t="s">
        <v>7</v>
      </c>
      <c r="T505" t="s">
        <v>417</v>
      </c>
    </row>
    <row r="506" spans="1:20" ht="15" customHeight="1" x14ac:dyDescent="0.25">
      <c r="A506">
        <f t="shared" si="7"/>
        <v>6</v>
      </c>
      <c r="B506" t="s">
        <v>1138</v>
      </c>
      <c r="C506" t="s">
        <v>47</v>
      </c>
      <c r="D506">
        <v>19</v>
      </c>
      <c r="E5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06">
        <f ca="1">IF(Tabla142[[#This Row],[frecuencia_new]]="Diaria"," ",RANDBETWEEN(1,6))</f>
        <v>2</v>
      </c>
      <c r="G506" t="str">
        <f ca="1">IF(Tabla142[[#This Row],[frecuencia_new]]="Diaria","",IF(Tabla142[[#This Row],[frecuencia_new]]="Semanal","",IF(Tabla142[[#This Row],[frecuencia_new]]="Quincenal",RANDBETWEEN(1,2),RANDBETWEEN(1,4))))</f>
        <v/>
      </c>
      <c r="H5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06" t="s">
        <v>57</v>
      </c>
      <c r="K506">
        <f>SUM(MID(Tabla142[[#This Row],[Duración]],1,2)*60,MID(Tabla142[[#This Row],[Duración]],6,2))</f>
        <v>10</v>
      </c>
      <c r="L506" s="4" t="s">
        <v>71</v>
      </c>
      <c r="M506" t="s">
        <v>239</v>
      </c>
      <c r="N506" t="s">
        <v>252</v>
      </c>
      <c r="O506" t="s">
        <v>390</v>
      </c>
      <c r="P506" t="s">
        <v>363</v>
      </c>
      <c r="Q506" s="20">
        <v>46032.649155092593</v>
      </c>
      <c r="R506" t="s">
        <v>8</v>
      </c>
      <c r="T506" t="s">
        <v>417</v>
      </c>
    </row>
    <row r="507" spans="1:20" ht="15" customHeight="1" x14ac:dyDescent="0.25">
      <c r="A507">
        <f t="shared" si="7"/>
        <v>25</v>
      </c>
      <c r="B507" t="s">
        <v>1139</v>
      </c>
      <c r="C507" t="s">
        <v>47</v>
      </c>
      <c r="D507">
        <v>19</v>
      </c>
      <c r="E5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7">
        <f ca="1">IF(Tabla142[[#This Row],[frecuencia_new]]="Diaria"," ",RANDBETWEEN(1,6))</f>
        <v>4</v>
      </c>
      <c r="G507">
        <f ca="1">IF(Tabla142[[#This Row],[frecuencia_new]]="Diaria","",IF(Tabla142[[#This Row],[frecuencia_new]]="Semanal","",IF(Tabla142[[#This Row],[frecuencia_new]]="Quincenal",RANDBETWEEN(1,2),RANDBETWEEN(1,4))))</f>
        <v>3</v>
      </c>
      <c r="H507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507" t="s">
        <v>46</v>
      </c>
      <c r="K507">
        <f>SUM(MID(Tabla142[[#This Row],[Duración]],1,2)*60,MID(Tabla142[[#This Row],[Duración]],6,2))</f>
        <v>30</v>
      </c>
      <c r="L507" s="4" t="s">
        <v>48</v>
      </c>
      <c r="M507" t="s">
        <v>239</v>
      </c>
      <c r="N507" t="s">
        <v>252</v>
      </c>
      <c r="O507" t="s">
        <v>384</v>
      </c>
      <c r="P507" t="s">
        <v>360</v>
      </c>
      <c r="Q507" s="20">
        <v>46032.649155092593</v>
      </c>
      <c r="R507" t="s">
        <v>5</v>
      </c>
      <c r="T507" t="s">
        <v>436</v>
      </c>
    </row>
    <row r="508" spans="1:20" ht="15" customHeight="1" x14ac:dyDescent="0.25">
      <c r="A508">
        <f t="shared" si="7"/>
        <v>25</v>
      </c>
      <c r="B508" t="s">
        <v>1140</v>
      </c>
      <c r="C508" t="s">
        <v>47</v>
      </c>
      <c r="D508">
        <v>19</v>
      </c>
      <c r="E5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8">
        <f ca="1">IF(Tabla142[[#This Row],[frecuencia_new]]="Diaria"," ",RANDBETWEEN(1,6))</f>
        <v>3</v>
      </c>
      <c r="G508">
        <f ca="1">IF(Tabla142[[#This Row],[frecuencia_new]]="Diaria","",IF(Tabla142[[#This Row],[frecuencia_new]]="Semanal","",IF(Tabla142[[#This Row],[frecuencia_new]]="Quincenal",RANDBETWEEN(1,2),RANDBETWEEN(1,4))))</f>
        <v>3</v>
      </c>
      <c r="H508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508" t="s">
        <v>52</v>
      </c>
      <c r="K508">
        <f>SUM(MID(Tabla142[[#This Row],[Duración]],1,2)*60,MID(Tabla142[[#This Row],[Duración]],6,2))</f>
        <v>30</v>
      </c>
      <c r="L508" s="4" t="s">
        <v>48</v>
      </c>
      <c r="M508" t="s">
        <v>239</v>
      </c>
      <c r="N508" t="s">
        <v>252</v>
      </c>
      <c r="O508" t="s">
        <v>384</v>
      </c>
      <c r="P508" t="s">
        <v>365</v>
      </c>
      <c r="Q508" s="20">
        <v>46032.649155092593</v>
      </c>
      <c r="R508" t="s">
        <v>5</v>
      </c>
      <c r="T508" t="s">
        <v>436</v>
      </c>
    </row>
    <row r="509" spans="1:20" ht="15" customHeight="1" x14ac:dyDescent="0.25">
      <c r="A509">
        <f t="shared" si="7"/>
        <v>25</v>
      </c>
      <c r="B509" t="s">
        <v>1141</v>
      </c>
      <c r="C509" t="s">
        <v>54</v>
      </c>
      <c r="D509">
        <v>19</v>
      </c>
      <c r="E5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09">
        <f ca="1">IF(Tabla142[[#This Row],[frecuencia_new]]="Diaria"," ",RANDBETWEEN(1,6))</f>
        <v>6</v>
      </c>
      <c r="G509">
        <f ca="1">IF(Tabla142[[#This Row],[frecuencia_new]]="Diaria","",IF(Tabla142[[#This Row],[frecuencia_new]]="Semanal","",IF(Tabla142[[#This Row],[frecuencia_new]]="Quincenal",RANDBETWEEN(1,2),RANDBETWEEN(1,4))))</f>
        <v>4</v>
      </c>
      <c r="H509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509" t="s">
        <v>53</v>
      </c>
      <c r="K509">
        <f>SUM(MID(Tabla142[[#This Row],[Duración]],1,2)*60,MID(Tabla142[[#This Row],[Duración]],6,2))</f>
        <v>30</v>
      </c>
      <c r="L509" s="4" t="s">
        <v>48</v>
      </c>
      <c r="M509" t="s">
        <v>239</v>
      </c>
      <c r="N509" t="s">
        <v>252</v>
      </c>
      <c r="O509" t="s">
        <v>384</v>
      </c>
      <c r="P509" t="s">
        <v>365</v>
      </c>
      <c r="Q509" s="20">
        <v>46032.649155092593</v>
      </c>
      <c r="R509" t="s">
        <v>5</v>
      </c>
      <c r="T509" t="s">
        <v>436</v>
      </c>
    </row>
    <row r="510" spans="1:20" ht="15" customHeight="1" x14ac:dyDescent="0.25">
      <c r="A510">
        <f t="shared" si="7"/>
        <v>25</v>
      </c>
      <c r="B510" t="s">
        <v>1142</v>
      </c>
      <c r="C510" t="s">
        <v>47</v>
      </c>
      <c r="D510">
        <v>19</v>
      </c>
      <c r="E5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10">
        <f ca="1">IF(Tabla142[[#This Row],[frecuencia_new]]="Diaria"," ",RANDBETWEEN(1,6))</f>
        <v>1</v>
      </c>
      <c r="G510">
        <f ca="1">IF(Tabla142[[#This Row],[frecuencia_new]]="Diaria","",IF(Tabla142[[#This Row],[frecuencia_new]]="Semanal","",IF(Tabla142[[#This Row],[frecuencia_new]]="Quincenal",RANDBETWEEN(1,2),RANDBETWEEN(1,4))))</f>
        <v>2</v>
      </c>
      <c r="H51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510" t="s">
        <v>64</v>
      </c>
      <c r="K510">
        <f>SUM(MID(Tabla142[[#This Row],[Duración]],1,2)*60,MID(Tabla142[[#This Row],[Duración]],6,2))</f>
        <v>30</v>
      </c>
      <c r="L510" s="4" t="s">
        <v>48</v>
      </c>
      <c r="M510" t="s">
        <v>239</v>
      </c>
      <c r="N510" t="s">
        <v>252</v>
      </c>
      <c r="O510" t="s">
        <v>384</v>
      </c>
      <c r="P510" t="s">
        <v>360</v>
      </c>
      <c r="Q510" s="20">
        <v>46032.649155092593</v>
      </c>
      <c r="R510" t="s">
        <v>5</v>
      </c>
      <c r="T510" t="s">
        <v>436</v>
      </c>
    </row>
    <row r="511" spans="1:20" ht="15" customHeight="1" x14ac:dyDescent="0.25">
      <c r="A511">
        <f t="shared" si="7"/>
        <v>202</v>
      </c>
      <c r="B511" t="s">
        <v>1143</v>
      </c>
      <c r="C511" s="18" t="s">
        <v>47</v>
      </c>
      <c r="D511" s="18">
        <v>19</v>
      </c>
      <c r="E5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11" t="str">
        <f ca="1">IF(Tabla142[[#This Row],[frecuencia_new]]="Diaria"," ",RANDBETWEEN(1,6))</f>
        <v xml:space="preserve"> </v>
      </c>
      <c r="G511" t="str">
        <f ca="1">IF(Tabla142[[#This Row],[frecuencia_new]]="Diaria","",IF(Tabla142[[#This Row],[frecuencia_new]]="Semanal","",IF(Tabla142[[#This Row],[frecuencia_new]]="Quincenal",RANDBETWEEN(1,2),RANDBETWEEN(1,4))))</f>
        <v/>
      </c>
      <c r="H5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1" s="18" t="s">
        <v>67</v>
      </c>
      <c r="K511" s="18">
        <f>SUM(MID(Tabla142[[#This Row],[Duración]],1,2)*60,MID(Tabla142[[#This Row],[Duración]],6,2))</f>
        <v>5</v>
      </c>
      <c r="L511" s="19" t="s">
        <v>50</v>
      </c>
      <c r="M511" s="18" t="s">
        <v>239</v>
      </c>
      <c r="N511" t="s">
        <v>252</v>
      </c>
      <c r="O511" t="s">
        <v>398</v>
      </c>
      <c r="P511" t="s">
        <v>367</v>
      </c>
      <c r="Q511" s="20">
        <v>46032.649155092593</v>
      </c>
      <c r="R511" s="18" t="s">
        <v>6</v>
      </c>
      <c r="T511" t="s">
        <v>613</v>
      </c>
    </row>
    <row r="512" spans="1:20" ht="15" customHeight="1" x14ac:dyDescent="0.25">
      <c r="A512">
        <f t="shared" si="7"/>
        <v>202</v>
      </c>
      <c r="B512" t="s">
        <v>1144</v>
      </c>
      <c r="C512" s="18" t="s">
        <v>47</v>
      </c>
      <c r="D512" s="18">
        <v>19</v>
      </c>
      <c r="E5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12" t="str">
        <f ca="1">IF(Tabla142[[#This Row],[frecuencia_new]]="Diaria"," ",RANDBETWEEN(1,6))</f>
        <v xml:space="preserve"> </v>
      </c>
      <c r="G512" t="str">
        <f ca="1">IF(Tabla142[[#This Row],[frecuencia_new]]="Diaria","",IF(Tabla142[[#This Row],[frecuencia_new]]="Semanal","",IF(Tabla142[[#This Row],[frecuencia_new]]="Quincenal",RANDBETWEEN(1,2),RANDBETWEEN(1,4))))</f>
        <v/>
      </c>
      <c r="H51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2" s="18" t="s">
        <v>68</v>
      </c>
      <c r="K512" s="18">
        <f>SUM(MID(Tabla142[[#This Row],[Duración]],1,2)*60,MID(Tabla142[[#This Row],[Duración]],6,2))</f>
        <v>5</v>
      </c>
      <c r="L512" s="19" t="s">
        <v>50</v>
      </c>
      <c r="M512" s="18" t="s">
        <v>239</v>
      </c>
      <c r="N512" t="s">
        <v>252</v>
      </c>
      <c r="O512" t="s">
        <v>398</v>
      </c>
      <c r="P512" t="s">
        <v>367</v>
      </c>
      <c r="Q512" s="20">
        <v>46032.649155092593</v>
      </c>
      <c r="R512" s="18" t="s">
        <v>6</v>
      </c>
      <c r="T512" t="s">
        <v>613</v>
      </c>
    </row>
    <row r="513" spans="1:20" ht="15" customHeight="1" x14ac:dyDescent="0.25">
      <c r="A513">
        <f t="shared" si="7"/>
        <v>202</v>
      </c>
      <c r="B513" t="s">
        <v>1145</v>
      </c>
      <c r="C513" s="18" t="s">
        <v>47</v>
      </c>
      <c r="D513" s="18">
        <v>19</v>
      </c>
      <c r="E5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13">
        <f ca="1">IF(Tabla142[[#This Row],[frecuencia_new]]="Diaria"," ",RANDBETWEEN(1,6))</f>
        <v>1</v>
      </c>
      <c r="G513">
        <f ca="1">IF(Tabla142[[#This Row],[frecuencia_new]]="Diaria","",IF(Tabla142[[#This Row],[frecuencia_new]]="Semanal","",IF(Tabla142[[#This Row],[frecuencia_new]]="Quincenal",RANDBETWEEN(1,2),RANDBETWEEN(1,4))))</f>
        <v>1</v>
      </c>
      <c r="H5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3" s="18" t="s">
        <v>69</v>
      </c>
      <c r="K513" s="18">
        <f>SUM(MID(Tabla142[[#This Row],[Duración]],1,2)*60,MID(Tabla142[[#This Row],[Duración]],6,2))</f>
        <v>60</v>
      </c>
      <c r="L513" s="19" t="s">
        <v>58</v>
      </c>
      <c r="M513" s="18" t="s">
        <v>239</v>
      </c>
      <c r="N513" t="s">
        <v>252</v>
      </c>
      <c r="O513" t="s">
        <v>398</v>
      </c>
      <c r="P513" t="s">
        <v>367</v>
      </c>
      <c r="Q513" s="20">
        <v>46032.649155092593</v>
      </c>
      <c r="R513" s="18" t="s">
        <v>7</v>
      </c>
      <c r="T513" t="s">
        <v>613</v>
      </c>
    </row>
    <row r="514" spans="1:20" ht="15" customHeight="1" x14ac:dyDescent="0.25">
      <c r="A514">
        <f t="shared" ref="A514:A577" si="8">VLOOKUP(T514,$V$2:$W$222,2,FALSE)</f>
        <v>202</v>
      </c>
      <c r="B514" t="s">
        <v>1146</v>
      </c>
      <c r="C514" s="18" t="s">
        <v>47</v>
      </c>
      <c r="D514">
        <v>19</v>
      </c>
      <c r="E5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14">
        <f ca="1">IF(Tabla142[[#This Row],[frecuencia_new]]="Diaria"," ",RANDBETWEEN(1,6))</f>
        <v>5</v>
      </c>
      <c r="G514" t="str">
        <f ca="1">IF(Tabla142[[#This Row],[frecuencia_new]]="Diaria","",IF(Tabla142[[#This Row],[frecuencia_new]]="Semanal","",IF(Tabla142[[#This Row],[frecuencia_new]]="Quincenal",RANDBETWEEN(1,2),RANDBETWEEN(1,4))))</f>
        <v/>
      </c>
      <c r="H51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4" t="s">
        <v>70</v>
      </c>
      <c r="K514">
        <f>SUM(MID(Tabla142[[#This Row],[Duración]],1,2)*60,MID(Tabla142[[#This Row],[Duración]],6,2))</f>
        <v>30</v>
      </c>
      <c r="L514" s="4" t="s">
        <v>48</v>
      </c>
      <c r="M514" s="18" t="s">
        <v>239</v>
      </c>
      <c r="N514" t="s">
        <v>252</v>
      </c>
      <c r="O514" t="s">
        <v>398</v>
      </c>
      <c r="P514" t="s">
        <v>367</v>
      </c>
      <c r="Q514" s="20">
        <v>46032.649155092593</v>
      </c>
      <c r="R514" t="s">
        <v>8</v>
      </c>
      <c r="T514" t="s">
        <v>613</v>
      </c>
    </row>
    <row r="515" spans="1:20" ht="15" customHeight="1" x14ac:dyDescent="0.25">
      <c r="A515">
        <f t="shared" si="8"/>
        <v>8</v>
      </c>
      <c r="B515" t="s">
        <v>1147</v>
      </c>
      <c r="C515" t="s">
        <v>47</v>
      </c>
      <c r="D515">
        <v>47</v>
      </c>
      <c r="E5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15" t="str">
        <f ca="1">IF(Tabla142[[#This Row],[frecuencia_new]]="Diaria"," ",RANDBETWEEN(1,6))</f>
        <v xml:space="preserve"> </v>
      </c>
      <c r="G515" t="str">
        <f ca="1">IF(Tabla142[[#This Row],[frecuencia_new]]="Diaria","",IF(Tabla142[[#This Row],[frecuencia_new]]="Semanal","",IF(Tabla142[[#This Row],[frecuencia_new]]="Quincenal",RANDBETWEEN(1,2),RANDBETWEEN(1,4))))</f>
        <v/>
      </c>
      <c r="H51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5" t="s">
        <v>83</v>
      </c>
      <c r="K515">
        <f>SUM(MID(Tabla142[[#This Row],[Duración]],1,2)*60,MID(Tabla142[[#This Row],[Duración]],6,2))</f>
        <v>5</v>
      </c>
      <c r="L515" s="4" t="s">
        <v>50</v>
      </c>
      <c r="M515" t="s">
        <v>239</v>
      </c>
      <c r="N515" t="s">
        <v>252</v>
      </c>
      <c r="O515" t="s">
        <v>390</v>
      </c>
      <c r="P515" t="s">
        <v>363</v>
      </c>
      <c r="Q515" s="20">
        <v>46032.649155092593</v>
      </c>
      <c r="R515" t="s">
        <v>6</v>
      </c>
      <c r="T515" t="s">
        <v>419</v>
      </c>
    </row>
    <row r="516" spans="1:20" ht="15" customHeight="1" x14ac:dyDescent="0.25">
      <c r="A516">
        <f t="shared" si="8"/>
        <v>8</v>
      </c>
      <c r="B516" t="s">
        <v>1148</v>
      </c>
      <c r="C516" t="s">
        <v>54</v>
      </c>
      <c r="D516">
        <v>47</v>
      </c>
      <c r="E5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16">
        <f ca="1">IF(Tabla142[[#This Row],[frecuencia_new]]="Diaria"," ",RANDBETWEEN(1,6))</f>
        <v>5</v>
      </c>
      <c r="G516" t="str">
        <f ca="1">IF(Tabla142[[#This Row],[frecuencia_new]]="Diaria","",IF(Tabla142[[#This Row],[frecuencia_new]]="Semanal","",IF(Tabla142[[#This Row],[frecuencia_new]]="Quincenal",RANDBETWEEN(1,2),RANDBETWEEN(1,4))))</f>
        <v/>
      </c>
      <c r="H5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6" t="s">
        <v>88</v>
      </c>
      <c r="K516">
        <f>SUM(MID(Tabla142[[#This Row],[Duración]],1,2)*60,MID(Tabla142[[#This Row],[Duración]],6,2))</f>
        <v>0</v>
      </c>
      <c r="L516" s="4" t="s">
        <v>89</v>
      </c>
      <c r="M516" t="s">
        <v>239</v>
      </c>
      <c r="N516" t="s">
        <v>252</v>
      </c>
      <c r="O516" t="s">
        <v>390</v>
      </c>
      <c r="P516" t="s">
        <v>363</v>
      </c>
      <c r="Q516" s="20">
        <v>46032.649155092593</v>
      </c>
      <c r="R516" t="s">
        <v>8</v>
      </c>
      <c r="T516" t="s">
        <v>419</v>
      </c>
    </row>
    <row r="517" spans="1:20" ht="15" customHeight="1" x14ac:dyDescent="0.25">
      <c r="A517">
        <f t="shared" si="8"/>
        <v>8</v>
      </c>
      <c r="B517" t="s">
        <v>1149</v>
      </c>
      <c r="C517" t="s">
        <v>54</v>
      </c>
      <c r="D517">
        <v>47</v>
      </c>
      <c r="E5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17">
        <f ca="1">IF(Tabla142[[#This Row],[frecuencia_new]]="Diaria"," ",RANDBETWEEN(1,6))</f>
        <v>4</v>
      </c>
      <c r="G517" t="str">
        <f ca="1">IF(Tabla142[[#This Row],[frecuencia_new]]="Diaria","",IF(Tabla142[[#This Row],[frecuencia_new]]="Semanal","",IF(Tabla142[[#This Row],[frecuencia_new]]="Quincenal",RANDBETWEEN(1,2),RANDBETWEEN(1,4))))</f>
        <v/>
      </c>
      <c r="H5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7" t="s">
        <v>91</v>
      </c>
      <c r="K517">
        <f>SUM(MID(Tabla142[[#This Row],[Duración]],1,2)*60,MID(Tabla142[[#This Row],[Duración]],6,2))</f>
        <v>5</v>
      </c>
      <c r="L517" s="4" t="s">
        <v>50</v>
      </c>
      <c r="M517" t="s">
        <v>239</v>
      </c>
      <c r="N517" t="s">
        <v>252</v>
      </c>
      <c r="O517" t="s">
        <v>390</v>
      </c>
      <c r="P517" t="s">
        <v>363</v>
      </c>
      <c r="Q517" s="20">
        <v>46032.649155092593</v>
      </c>
      <c r="R517" t="s">
        <v>8</v>
      </c>
      <c r="T517" t="s">
        <v>419</v>
      </c>
    </row>
    <row r="518" spans="1:20" ht="15" customHeight="1" x14ac:dyDescent="0.25">
      <c r="A518">
        <f t="shared" si="8"/>
        <v>34</v>
      </c>
      <c r="B518" t="s">
        <v>1150</v>
      </c>
      <c r="C518" t="s">
        <v>47</v>
      </c>
      <c r="D518">
        <v>47</v>
      </c>
      <c r="E5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18">
        <f ca="1">IF(Tabla142[[#This Row],[frecuencia_new]]="Diaria"," ",RANDBETWEEN(1,6))</f>
        <v>6</v>
      </c>
      <c r="G518">
        <f ca="1">IF(Tabla142[[#This Row],[frecuencia_new]]="Diaria","",IF(Tabla142[[#This Row],[frecuencia_new]]="Semanal","",IF(Tabla142[[#This Row],[frecuencia_new]]="Quincenal",RANDBETWEEN(1,2),RANDBETWEEN(1,4))))</f>
        <v>4</v>
      </c>
      <c r="H5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8" t="s">
        <v>46</v>
      </c>
      <c r="K518">
        <f>SUM(MID(Tabla142[[#This Row],[Duración]],1,2)*60,MID(Tabla142[[#This Row],[Duración]],6,2))</f>
        <v>20</v>
      </c>
      <c r="L518" s="4" t="s">
        <v>82</v>
      </c>
      <c r="M518" t="s">
        <v>239</v>
      </c>
      <c r="N518" t="s">
        <v>252</v>
      </c>
      <c r="O518" t="s">
        <v>384</v>
      </c>
      <c r="P518" t="s">
        <v>360</v>
      </c>
      <c r="Q518" s="20">
        <v>46032.649155092593</v>
      </c>
      <c r="R518" t="s">
        <v>7</v>
      </c>
      <c r="T518" t="s">
        <v>445</v>
      </c>
    </row>
    <row r="519" spans="1:20" ht="15" customHeight="1" x14ac:dyDescent="0.25">
      <c r="A519">
        <f t="shared" si="8"/>
        <v>34</v>
      </c>
      <c r="B519" t="s">
        <v>1151</v>
      </c>
      <c r="C519" t="s">
        <v>54</v>
      </c>
      <c r="D519">
        <v>47</v>
      </c>
      <c r="E5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19">
        <f ca="1">IF(Tabla142[[#This Row],[frecuencia_new]]="Diaria"," ",RANDBETWEEN(1,6))</f>
        <v>5</v>
      </c>
      <c r="G519">
        <f ca="1">IF(Tabla142[[#This Row],[frecuencia_new]]="Diaria","",IF(Tabla142[[#This Row],[frecuencia_new]]="Semanal","",IF(Tabla142[[#This Row],[frecuencia_new]]="Quincenal",RANDBETWEEN(1,2),RANDBETWEEN(1,4))))</f>
        <v>4</v>
      </c>
      <c r="H5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19" t="s">
        <v>87</v>
      </c>
      <c r="K519">
        <f>SUM(MID(Tabla142[[#This Row],[Duración]],1,2)*60,MID(Tabla142[[#This Row],[Duración]],6,2))</f>
        <v>20</v>
      </c>
      <c r="L519" s="4" t="s">
        <v>82</v>
      </c>
      <c r="M519" t="s">
        <v>239</v>
      </c>
      <c r="N519" t="s">
        <v>252</v>
      </c>
      <c r="O519" t="s">
        <v>384</v>
      </c>
      <c r="P519" t="s">
        <v>360</v>
      </c>
      <c r="Q519" s="20">
        <v>46032.649155092593</v>
      </c>
      <c r="R519" t="s">
        <v>7</v>
      </c>
      <c r="T519" t="s">
        <v>445</v>
      </c>
    </row>
    <row r="520" spans="1:20" ht="15" customHeight="1" x14ac:dyDescent="0.25">
      <c r="A520">
        <f t="shared" si="8"/>
        <v>34</v>
      </c>
      <c r="B520" t="s">
        <v>1152</v>
      </c>
      <c r="C520" t="s">
        <v>54</v>
      </c>
      <c r="D520">
        <v>47</v>
      </c>
      <c r="E5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20">
        <f ca="1">IF(Tabla142[[#This Row],[frecuencia_new]]="Diaria"," ",RANDBETWEEN(1,6))</f>
        <v>2</v>
      </c>
      <c r="G520">
        <f ca="1">IF(Tabla142[[#This Row],[frecuencia_new]]="Diaria","",IF(Tabla142[[#This Row],[frecuencia_new]]="Semanal","",IF(Tabla142[[#This Row],[frecuencia_new]]="Quincenal",RANDBETWEEN(1,2),RANDBETWEEN(1,4))))</f>
        <v>3</v>
      </c>
      <c r="H5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0" t="s">
        <v>90</v>
      </c>
      <c r="K520">
        <f>SUM(MID(Tabla142[[#This Row],[Duración]],1,2)*60,MID(Tabla142[[#This Row],[Duración]],6,2))</f>
        <v>0</v>
      </c>
      <c r="L520" s="4" t="s">
        <v>89</v>
      </c>
      <c r="M520" t="s">
        <v>239</v>
      </c>
      <c r="N520" t="s">
        <v>252</v>
      </c>
      <c r="O520" t="s">
        <v>384</v>
      </c>
      <c r="P520" t="s">
        <v>360</v>
      </c>
      <c r="Q520" s="20">
        <v>46032.649155092593</v>
      </c>
      <c r="R520" t="s">
        <v>7</v>
      </c>
      <c r="T520" t="s">
        <v>445</v>
      </c>
    </row>
    <row r="521" spans="1:20" ht="15" customHeight="1" x14ac:dyDescent="0.25">
      <c r="A521">
        <f t="shared" si="8"/>
        <v>203</v>
      </c>
      <c r="B521" t="s">
        <v>1153</v>
      </c>
      <c r="C521" s="18" t="s">
        <v>47</v>
      </c>
      <c r="D521" s="18">
        <v>47</v>
      </c>
      <c r="E5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21" t="str">
        <f ca="1">IF(Tabla142[[#This Row],[frecuencia_new]]="Diaria"," ",RANDBETWEEN(1,6))</f>
        <v xml:space="preserve"> </v>
      </c>
      <c r="G521" t="str">
        <f ca="1">IF(Tabla142[[#This Row],[frecuencia_new]]="Diaria","",IF(Tabla142[[#This Row],[frecuencia_new]]="Semanal","",IF(Tabla142[[#This Row],[frecuencia_new]]="Quincenal",RANDBETWEEN(1,2),RANDBETWEEN(1,4))))</f>
        <v/>
      </c>
      <c r="H5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1" s="18" t="s">
        <v>84</v>
      </c>
      <c r="K521" s="18">
        <f>SUM(MID(Tabla142[[#This Row],[Duración]],1,2)*60,MID(Tabla142[[#This Row],[Duración]],6,2))</f>
        <v>15</v>
      </c>
      <c r="L521" s="19" t="s">
        <v>77</v>
      </c>
      <c r="M521" s="18" t="s">
        <v>239</v>
      </c>
      <c r="N521" t="s">
        <v>252</v>
      </c>
      <c r="O521" t="s">
        <v>398</v>
      </c>
      <c r="P521" t="s">
        <v>361</v>
      </c>
      <c r="Q521" s="20">
        <v>46032.649155092593</v>
      </c>
      <c r="R521" t="s">
        <v>6</v>
      </c>
      <c r="T521" t="s">
        <v>614</v>
      </c>
    </row>
    <row r="522" spans="1:20" ht="15" customHeight="1" x14ac:dyDescent="0.25">
      <c r="A522">
        <f t="shared" si="8"/>
        <v>203</v>
      </c>
      <c r="B522" t="s">
        <v>1154</v>
      </c>
      <c r="C522" s="18" t="s">
        <v>54</v>
      </c>
      <c r="D522" s="18">
        <v>47</v>
      </c>
      <c r="E5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22" t="str">
        <f ca="1">IF(Tabla142[[#This Row],[frecuencia_new]]="Diaria"," ",RANDBETWEEN(1,6))</f>
        <v xml:space="preserve"> </v>
      </c>
      <c r="G522" t="str">
        <f ca="1">IF(Tabla142[[#This Row],[frecuencia_new]]="Diaria","",IF(Tabla142[[#This Row],[frecuencia_new]]="Semanal","",IF(Tabla142[[#This Row],[frecuencia_new]]="Quincenal",RANDBETWEEN(1,2),RANDBETWEEN(1,4))))</f>
        <v/>
      </c>
      <c r="H5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2" s="18" t="s">
        <v>85</v>
      </c>
      <c r="K522" s="18">
        <f>SUM(MID(Tabla142[[#This Row],[Duración]],1,2)*60,MID(Tabla142[[#This Row],[Duración]],6,2))</f>
        <v>10</v>
      </c>
      <c r="L522" s="19" t="s">
        <v>71</v>
      </c>
      <c r="M522" s="18" t="s">
        <v>239</v>
      </c>
      <c r="N522" t="s">
        <v>252</v>
      </c>
      <c r="O522" t="s">
        <v>398</v>
      </c>
      <c r="P522" t="s">
        <v>361</v>
      </c>
      <c r="Q522" s="20">
        <v>46032.649155092593</v>
      </c>
      <c r="R522" t="s">
        <v>6</v>
      </c>
      <c r="T522" t="s">
        <v>614</v>
      </c>
    </row>
    <row r="523" spans="1:20" ht="15" customHeight="1" x14ac:dyDescent="0.25">
      <c r="A523">
        <f t="shared" si="8"/>
        <v>203</v>
      </c>
      <c r="B523" t="s">
        <v>1155</v>
      </c>
      <c r="C523" s="18" t="s">
        <v>54</v>
      </c>
      <c r="D523" s="18">
        <v>47</v>
      </c>
      <c r="E5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23" t="str">
        <f ca="1">IF(Tabla142[[#This Row],[frecuencia_new]]="Diaria"," ",RANDBETWEEN(1,6))</f>
        <v xml:space="preserve"> </v>
      </c>
      <c r="G523" t="str">
        <f ca="1">IF(Tabla142[[#This Row],[frecuencia_new]]="Diaria","",IF(Tabla142[[#This Row],[frecuencia_new]]="Semanal","",IF(Tabla142[[#This Row],[frecuencia_new]]="Quincenal",RANDBETWEEN(1,2),RANDBETWEEN(1,4))))</f>
        <v/>
      </c>
      <c r="H5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3" s="18" t="s">
        <v>86</v>
      </c>
      <c r="K523" s="18">
        <f>SUM(MID(Tabla142[[#This Row],[Duración]],1,2)*60,MID(Tabla142[[#This Row],[Duración]],6,2))</f>
        <v>10</v>
      </c>
      <c r="L523" s="19" t="s">
        <v>71</v>
      </c>
      <c r="M523" s="18" t="s">
        <v>239</v>
      </c>
      <c r="N523" t="s">
        <v>252</v>
      </c>
      <c r="O523" t="s">
        <v>398</v>
      </c>
      <c r="P523" t="s">
        <v>361</v>
      </c>
      <c r="Q523" s="20">
        <v>46032.649155092593</v>
      </c>
      <c r="R523" t="s">
        <v>6</v>
      </c>
      <c r="T523" t="s">
        <v>614</v>
      </c>
    </row>
    <row r="524" spans="1:20" ht="15" customHeight="1" x14ac:dyDescent="0.25">
      <c r="A524">
        <f t="shared" si="8"/>
        <v>9</v>
      </c>
      <c r="B524" t="s">
        <v>1156</v>
      </c>
      <c r="C524" t="s">
        <v>47</v>
      </c>
      <c r="D524">
        <v>52</v>
      </c>
      <c r="E5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24">
        <f ca="1">IF(Tabla142[[#This Row],[frecuencia_new]]="Diaria"," ",RANDBETWEEN(1,6))</f>
        <v>5</v>
      </c>
      <c r="G524">
        <f ca="1">IF(Tabla142[[#This Row],[frecuencia_new]]="Diaria","",IF(Tabla142[[#This Row],[frecuencia_new]]="Semanal","",IF(Tabla142[[#This Row],[frecuencia_new]]="Quincenal",RANDBETWEEN(1,2),RANDBETWEEN(1,4))))</f>
        <v>4</v>
      </c>
      <c r="H5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4" t="s">
        <v>92</v>
      </c>
      <c r="K524">
        <f>SUM(MID(Tabla142[[#This Row],[Duración]],1,2)*60,MID(Tabla142[[#This Row],[Duración]],6,2))</f>
        <v>30</v>
      </c>
      <c r="L524" s="4" t="s">
        <v>48</v>
      </c>
      <c r="M524" t="s">
        <v>239</v>
      </c>
      <c r="N524" t="s">
        <v>252</v>
      </c>
      <c r="O524" t="s">
        <v>390</v>
      </c>
      <c r="P524" t="s">
        <v>363</v>
      </c>
      <c r="Q524" s="20">
        <v>46032.649155092593</v>
      </c>
      <c r="R524" t="s">
        <v>7</v>
      </c>
      <c r="T524" t="s">
        <v>420</v>
      </c>
    </row>
    <row r="525" spans="1:20" ht="15" customHeight="1" x14ac:dyDescent="0.25">
      <c r="A525">
        <f t="shared" si="8"/>
        <v>9</v>
      </c>
      <c r="B525" t="s">
        <v>1157</v>
      </c>
      <c r="C525" t="s">
        <v>47</v>
      </c>
      <c r="D525">
        <v>52</v>
      </c>
      <c r="E5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25">
        <f ca="1">IF(Tabla142[[#This Row],[frecuencia_new]]="Diaria"," ",RANDBETWEEN(1,6))</f>
        <v>3</v>
      </c>
      <c r="G525">
        <f ca="1">IF(Tabla142[[#This Row],[frecuencia_new]]="Diaria","",IF(Tabla142[[#This Row],[frecuencia_new]]="Semanal","",IF(Tabla142[[#This Row],[frecuencia_new]]="Quincenal",RANDBETWEEN(1,2),RANDBETWEEN(1,4))))</f>
        <v>2</v>
      </c>
      <c r="H5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5" t="s">
        <v>93</v>
      </c>
      <c r="K525">
        <f>SUM(MID(Tabla142[[#This Row],[Duración]],1,2)*60,MID(Tabla142[[#This Row],[Duración]],6,2))</f>
        <v>30</v>
      </c>
      <c r="L525" s="4" t="s">
        <v>48</v>
      </c>
      <c r="M525" t="s">
        <v>239</v>
      </c>
      <c r="N525" t="s">
        <v>252</v>
      </c>
      <c r="O525" t="s">
        <v>390</v>
      </c>
      <c r="P525" t="s">
        <v>363</v>
      </c>
      <c r="Q525" s="20">
        <v>46032.649155092593</v>
      </c>
      <c r="R525" t="s">
        <v>7</v>
      </c>
      <c r="T525" t="s">
        <v>420</v>
      </c>
    </row>
    <row r="526" spans="1:20" ht="15" customHeight="1" x14ac:dyDescent="0.25">
      <c r="A526">
        <f t="shared" si="8"/>
        <v>9</v>
      </c>
      <c r="B526" t="s">
        <v>1158</v>
      </c>
      <c r="C526" t="s">
        <v>47</v>
      </c>
      <c r="D526">
        <v>52</v>
      </c>
      <c r="E5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26">
        <f ca="1">IF(Tabla142[[#This Row],[frecuencia_new]]="Diaria"," ",RANDBETWEEN(1,6))</f>
        <v>5</v>
      </c>
      <c r="G526">
        <f ca="1">IF(Tabla142[[#This Row],[frecuencia_new]]="Diaria","",IF(Tabla142[[#This Row],[frecuencia_new]]="Semanal","",IF(Tabla142[[#This Row],[frecuencia_new]]="Quincenal",RANDBETWEEN(1,2),RANDBETWEEN(1,4))))</f>
        <v>2</v>
      </c>
      <c r="H5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6" t="s">
        <v>94</v>
      </c>
      <c r="K526">
        <f>SUM(MID(Tabla142[[#This Row],[Duración]],1,2)*60,MID(Tabla142[[#This Row],[Duración]],6,2))</f>
        <v>30</v>
      </c>
      <c r="L526" s="4" t="s">
        <v>48</v>
      </c>
      <c r="M526" t="s">
        <v>239</v>
      </c>
      <c r="N526" t="s">
        <v>252</v>
      </c>
      <c r="O526" t="s">
        <v>390</v>
      </c>
      <c r="P526" t="s">
        <v>363</v>
      </c>
      <c r="Q526" s="20">
        <v>46032.649155092593</v>
      </c>
      <c r="R526" t="s">
        <v>7</v>
      </c>
      <c r="T526" t="s">
        <v>420</v>
      </c>
    </row>
    <row r="527" spans="1:20" ht="15" customHeight="1" x14ac:dyDescent="0.25">
      <c r="A527">
        <f t="shared" si="8"/>
        <v>9</v>
      </c>
      <c r="B527" t="s">
        <v>1159</v>
      </c>
      <c r="C527" t="s">
        <v>47</v>
      </c>
      <c r="D527">
        <v>52</v>
      </c>
      <c r="E5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27">
        <f ca="1">IF(Tabla142[[#This Row],[frecuencia_new]]="Diaria"," ",RANDBETWEEN(1,6))</f>
        <v>4</v>
      </c>
      <c r="G527">
        <f ca="1">IF(Tabla142[[#This Row],[frecuencia_new]]="Diaria","",IF(Tabla142[[#This Row],[frecuencia_new]]="Semanal","",IF(Tabla142[[#This Row],[frecuencia_new]]="Quincenal",RANDBETWEEN(1,2),RANDBETWEEN(1,4))))</f>
        <v>1</v>
      </c>
      <c r="H5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7" t="s">
        <v>95</v>
      </c>
      <c r="K527">
        <f>SUM(MID(Tabla142[[#This Row],[Duración]],1,2)*60,MID(Tabla142[[#This Row],[Duración]],6,2))</f>
        <v>90</v>
      </c>
      <c r="L527" s="4" t="s">
        <v>96</v>
      </c>
      <c r="M527" t="s">
        <v>239</v>
      </c>
      <c r="N527" t="s">
        <v>252</v>
      </c>
      <c r="O527" t="s">
        <v>390</v>
      </c>
      <c r="P527" t="s">
        <v>363</v>
      </c>
      <c r="Q527" s="20">
        <v>46032.649155092593</v>
      </c>
      <c r="R527" t="s">
        <v>7</v>
      </c>
      <c r="T527" t="s">
        <v>420</v>
      </c>
    </row>
    <row r="528" spans="1:20" ht="15" customHeight="1" x14ac:dyDescent="0.25">
      <c r="A528">
        <f t="shared" si="8"/>
        <v>9</v>
      </c>
      <c r="B528" t="s">
        <v>1160</v>
      </c>
      <c r="C528" t="s">
        <v>47</v>
      </c>
      <c r="D528">
        <v>52</v>
      </c>
      <c r="E5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28">
        <f ca="1">IF(Tabla142[[#This Row],[frecuencia_new]]="Diaria"," ",RANDBETWEEN(1,6))</f>
        <v>2</v>
      </c>
      <c r="G528">
        <f ca="1">IF(Tabla142[[#This Row],[frecuencia_new]]="Diaria","",IF(Tabla142[[#This Row],[frecuencia_new]]="Semanal","",IF(Tabla142[[#This Row],[frecuencia_new]]="Quincenal",RANDBETWEEN(1,2),RANDBETWEEN(1,4))))</f>
        <v>2</v>
      </c>
      <c r="H528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528" t="s">
        <v>97</v>
      </c>
      <c r="K528">
        <f>SUM(MID(Tabla142[[#This Row],[Duración]],1,2)*60,MID(Tabla142[[#This Row],[Duración]],6,2))</f>
        <v>30</v>
      </c>
      <c r="L528" s="4" t="s">
        <v>48</v>
      </c>
      <c r="M528" t="s">
        <v>239</v>
      </c>
      <c r="N528" t="s">
        <v>252</v>
      </c>
      <c r="O528" t="s">
        <v>390</v>
      </c>
      <c r="P528" t="s">
        <v>363</v>
      </c>
      <c r="Q528" s="20">
        <v>46032.649155092593</v>
      </c>
      <c r="R528" t="s">
        <v>18</v>
      </c>
      <c r="T528" t="s">
        <v>420</v>
      </c>
    </row>
    <row r="529" spans="1:20" ht="15" customHeight="1" x14ac:dyDescent="0.25">
      <c r="A529">
        <f t="shared" si="8"/>
        <v>9</v>
      </c>
      <c r="B529" t="s">
        <v>1161</v>
      </c>
      <c r="C529" t="s">
        <v>54</v>
      </c>
      <c r="D529">
        <v>52</v>
      </c>
      <c r="E5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29">
        <f ca="1">IF(Tabla142[[#This Row],[frecuencia_new]]="Diaria"," ",RANDBETWEEN(1,6))</f>
        <v>2</v>
      </c>
      <c r="G529" t="str">
        <f ca="1">IF(Tabla142[[#This Row],[frecuencia_new]]="Diaria","",IF(Tabla142[[#This Row],[frecuencia_new]]="Semanal","",IF(Tabla142[[#This Row],[frecuencia_new]]="Quincenal",RANDBETWEEN(1,2),RANDBETWEEN(1,4))))</f>
        <v/>
      </c>
      <c r="H5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29" t="s">
        <v>57</v>
      </c>
      <c r="K529">
        <f>SUM(MID(Tabla142[[#This Row],[Duración]],1,2)*60,MID(Tabla142[[#This Row],[Duración]],6,2))</f>
        <v>15</v>
      </c>
      <c r="L529" s="4" t="s">
        <v>77</v>
      </c>
      <c r="M529" t="s">
        <v>239</v>
      </c>
      <c r="N529" t="s">
        <v>252</v>
      </c>
      <c r="O529" t="s">
        <v>390</v>
      </c>
      <c r="P529" t="s">
        <v>363</v>
      </c>
      <c r="Q529" s="20">
        <v>46032.649155092593</v>
      </c>
      <c r="R529" t="s">
        <v>8</v>
      </c>
      <c r="T529" t="s">
        <v>420</v>
      </c>
    </row>
    <row r="530" spans="1:20" ht="15" customHeight="1" x14ac:dyDescent="0.25">
      <c r="A530">
        <f t="shared" si="8"/>
        <v>36</v>
      </c>
      <c r="B530" t="s">
        <v>1162</v>
      </c>
      <c r="C530" t="s">
        <v>47</v>
      </c>
      <c r="D530">
        <v>52</v>
      </c>
      <c r="E5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30">
        <f ca="1">IF(Tabla142[[#This Row],[frecuencia_new]]="Diaria"," ",RANDBETWEEN(1,6))</f>
        <v>2</v>
      </c>
      <c r="G530">
        <f ca="1">IF(Tabla142[[#This Row],[frecuencia_new]]="Diaria","",IF(Tabla142[[#This Row],[frecuencia_new]]="Semanal","",IF(Tabla142[[#This Row],[frecuencia_new]]="Quincenal",RANDBETWEEN(1,2),RANDBETWEEN(1,4))))</f>
        <v>4</v>
      </c>
      <c r="H530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530" t="s">
        <v>46</v>
      </c>
      <c r="K530">
        <f>SUM(MID(Tabla142[[#This Row],[Duración]],1,2)*60,MID(Tabla142[[#This Row],[Duración]],6,2))</f>
        <v>30</v>
      </c>
      <c r="L530" s="4" t="s">
        <v>48</v>
      </c>
      <c r="M530" t="s">
        <v>239</v>
      </c>
      <c r="N530" t="s">
        <v>252</v>
      </c>
      <c r="O530" t="s">
        <v>384</v>
      </c>
      <c r="P530" t="s">
        <v>360</v>
      </c>
      <c r="Q530" s="20">
        <v>46032.649155092593</v>
      </c>
      <c r="R530" t="s">
        <v>5</v>
      </c>
      <c r="T530" t="s">
        <v>447</v>
      </c>
    </row>
    <row r="531" spans="1:20" ht="15" customHeight="1" x14ac:dyDescent="0.25">
      <c r="A531">
        <f t="shared" si="8"/>
        <v>36</v>
      </c>
      <c r="B531" t="s">
        <v>1163</v>
      </c>
      <c r="C531" t="s">
        <v>47</v>
      </c>
      <c r="D531">
        <v>52</v>
      </c>
      <c r="E5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31">
        <f ca="1">IF(Tabla142[[#This Row],[frecuencia_new]]="Diaria"," ",RANDBETWEEN(1,6))</f>
        <v>4</v>
      </c>
      <c r="G531">
        <f ca="1">IF(Tabla142[[#This Row],[frecuencia_new]]="Diaria","",IF(Tabla142[[#This Row],[frecuencia_new]]="Semanal","",IF(Tabla142[[#This Row],[frecuencia_new]]="Quincenal",RANDBETWEEN(1,2),RANDBETWEEN(1,4))))</f>
        <v>1</v>
      </c>
      <c r="H53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531" t="s">
        <v>52</v>
      </c>
      <c r="K531">
        <f>SUM(MID(Tabla142[[#This Row],[Duración]],1,2)*60,MID(Tabla142[[#This Row],[Duración]],6,2))</f>
        <v>30</v>
      </c>
      <c r="L531" s="4" t="s">
        <v>48</v>
      </c>
      <c r="M531" t="s">
        <v>239</v>
      </c>
      <c r="N531" t="s">
        <v>252</v>
      </c>
      <c r="O531" t="s">
        <v>384</v>
      </c>
      <c r="P531" t="s">
        <v>360</v>
      </c>
      <c r="Q531" s="20">
        <v>46032.649155092593</v>
      </c>
      <c r="R531" t="s">
        <v>5</v>
      </c>
      <c r="T531" t="s">
        <v>447</v>
      </c>
    </row>
    <row r="532" spans="1:20" ht="15" customHeight="1" x14ac:dyDescent="0.25">
      <c r="A532">
        <f t="shared" si="8"/>
        <v>36</v>
      </c>
      <c r="B532" t="s">
        <v>1164</v>
      </c>
      <c r="C532" t="s">
        <v>54</v>
      </c>
      <c r="D532">
        <v>52</v>
      </c>
      <c r="E5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32">
        <f ca="1">IF(Tabla142[[#This Row],[frecuencia_new]]="Diaria"," ",RANDBETWEEN(1,6))</f>
        <v>4</v>
      </c>
      <c r="G532">
        <f ca="1">IF(Tabla142[[#This Row],[frecuencia_new]]="Diaria","",IF(Tabla142[[#This Row],[frecuencia_new]]="Semanal","",IF(Tabla142[[#This Row],[frecuencia_new]]="Quincenal",RANDBETWEEN(1,2),RANDBETWEEN(1,4))))</f>
        <v>1</v>
      </c>
      <c r="H532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532" t="s">
        <v>53</v>
      </c>
      <c r="K532">
        <f>SUM(MID(Tabla142[[#This Row],[Duración]],1,2)*60,MID(Tabla142[[#This Row],[Duración]],6,2))</f>
        <v>30</v>
      </c>
      <c r="L532" s="4" t="s">
        <v>48</v>
      </c>
      <c r="M532" t="s">
        <v>239</v>
      </c>
      <c r="N532" t="s">
        <v>252</v>
      </c>
      <c r="O532" t="s">
        <v>384</v>
      </c>
      <c r="P532" t="s">
        <v>360</v>
      </c>
      <c r="Q532" s="20">
        <v>46032.649155092593</v>
      </c>
      <c r="R532" t="s">
        <v>5</v>
      </c>
      <c r="T532" t="s">
        <v>447</v>
      </c>
    </row>
    <row r="533" spans="1:20" ht="15" customHeight="1" x14ac:dyDescent="0.25">
      <c r="A533">
        <f t="shared" si="8"/>
        <v>36</v>
      </c>
      <c r="B533" t="s">
        <v>1165</v>
      </c>
      <c r="C533" t="s">
        <v>47</v>
      </c>
      <c r="D533">
        <v>52</v>
      </c>
      <c r="E5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33">
        <f ca="1">IF(Tabla142[[#This Row],[frecuencia_new]]="Diaria"," ",RANDBETWEEN(1,6))</f>
        <v>3</v>
      </c>
      <c r="G533">
        <f ca="1">IF(Tabla142[[#This Row],[frecuencia_new]]="Diaria","",IF(Tabla142[[#This Row],[frecuencia_new]]="Semanal","",IF(Tabla142[[#This Row],[frecuencia_new]]="Quincenal",RANDBETWEEN(1,2),RANDBETWEEN(1,4))))</f>
        <v>4</v>
      </c>
      <c r="H533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533" t="s">
        <v>64</v>
      </c>
      <c r="K533">
        <f>SUM(MID(Tabla142[[#This Row],[Duración]],1,2)*60,MID(Tabla142[[#This Row],[Duración]],6,2))</f>
        <v>30</v>
      </c>
      <c r="L533" s="4" t="s">
        <v>48</v>
      </c>
      <c r="M533" t="s">
        <v>239</v>
      </c>
      <c r="N533" t="s">
        <v>252</v>
      </c>
      <c r="O533" t="s">
        <v>384</v>
      </c>
      <c r="P533" t="s">
        <v>360</v>
      </c>
      <c r="Q533" s="20">
        <v>46032.649155092593</v>
      </c>
      <c r="R533" t="s">
        <v>5</v>
      </c>
      <c r="T533" t="s">
        <v>447</v>
      </c>
    </row>
    <row r="534" spans="1:20" ht="15" customHeight="1" x14ac:dyDescent="0.25">
      <c r="A534">
        <f t="shared" si="8"/>
        <v>10</v>
      </c>
      <c r="B534" t="s">
        <v>1166</v>
      </c>
      <c r="C534" t="s">
        <v>47</v>
      </c>
      <c r="D534">
        <v>79</v>
      </c>
      <c r="E5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34">
        <f ca="1">IF(Tabla142[[#This Row],[frecuencia_new]]="Diaria"," ",RANDBETWEEN(1,6))</f>
        <v>5</v>
      </c>
      <c r="G534">
        <f ca="1">IF(Tabla142[[#This Row],[frecuencia_new]]="Diaria","",IF(Tabla142[[#This Row],[frecuencia_new]]="Semanal","",IF(Tabla142[[#This Row],[frecuencia_new]]="Quincenal",RANDBETWEEN(1,2),RANDBETWEEN(1,4))))</f>
        <v>1</v>
      </c>
      <c r="H534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534" t="s">
        <v>105</v>
      </c>
      <c r="K534">
        <f>SUM(MID(Tabla142[[#This Row],[Duración]],1,2)*60,MID(Tabla142[[#This Row],[Duración]],6,2))</f>
        <v>60</v>
      </c>
      <c r="L534" s="4" t="s">
        <v>58</v>
      </c>
      <c r="M534" t="s">
        <v>239</v>
      </c>
      <c r="N534" t="s">
        <v>252</v>
      </c>
      <c r="O534" t="s">
        <v>390</v>
      </c>
      <c r="P534" t="s">
        <v>363</v>
      </c>
      <c r="Q534" s="20">
        <v>46032.649155092593</v>
      </c>
      <c r="R534" t="s">
        <v>18</v>
      </c>
      <c r="T534" t="s">
        <v>421</v>
      </c>
    </row>
    <row r="535" spans="1:20" ht="15" customHeight="1" x14ac:dyDescent="0.25">
      <c r="A535">
        <f t="shared" si="8"/>
        <v>10</v>
      </c>
      <c r="B535" t="s">
        <v>1167</v>
      </c>
      <c r="C535" t="s">
        <v>47</v>
      </c>
      <c r="D535">
        <v>79</v>
      </c>
      <c r="E5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35">
        <f ca="1">IF(Tabla142[[#This Row],[frecuencia_new]]="Diaria"," ",RANDBETWEEN(1,6))</f>
        <v>5</v>
      </c>
      <c r="G535">
        <f ca="1">IF(Tabla142[[#This Row],[frecuencia_new]]="Diaria","",IF(Tabla142[[#This Row],[frecuencia_new]]="Semanal","",IF(Tabla142[[#This Row],[frecuencia_new]]="Quincenal",RANDBETWEEN(1,2),RANDBETWEEN(1,4))))</f>
        <v>3</v>
      </c>
      <c r="H535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535" t="s">
        <v>107</v>
      </c>
      <c r="K535">
        <f>SUM(MID(Tabla142[[#This Row],[Duración]],1,2)*60,MID(Tabla142[[#This Row],[Duración]],6,2))</f>
        <v>60</v>
      </c>
      <c r="L535" s="4" t="s">
        <v>58</v>
      </c>
      <c r="M535" t="s">
        <v>239</v>
      </c>
      <c r="N535" t="s">
        <v>252</v>
      </c>
      <c r="O535" t="s">
        <v>390</v>
      </c>
      <c r="P535" t="s">
        <v>363</v>
      </c>
      <c r="Q535" s="20">
        <v>46032.649155092593</v>
      </c>
      <c r="R535" t="s">
        <v>5</v>
      </c>
      <c r="T535" t="s">
        <v>421</v>
      </c>
    </row>
    <row r="536" spans="1:20" ht="15" customHeight="1" x14ac:dyDescent="0.25">
      <c r="A536">
        <f t="shared" si="8"/>
        <v>10</v>
      </c>
      <c r="B536" t="s">
        <v>1168</v>
      </c>
      <c r="C536" t="s">
        <v>47</v>
      </c>
      <c r="D536">
        <v>79</v>
      </c>
      <c r="E5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36">
        <f ca="1">IF(Tabla142[[#This Row],[frecuencia_new]]="Diaria"," ",RANDBETWEEN(1,6))</f>
        <v>6</v>
      </c>
      <c r="G536" t="str">
        <f ca="1">IF(Tabla142[[#This Row],[frecuencia_new]]="Diaria","",IF(Tabla142[[#This Row],[frecuencia_new]]="Semanal","",IF(Tabla142[[#This Row],[frecuencia_new]]="Quincenal",RANDBETWEEN(1,2),RANDBETWEEN(1,4))))</f>
        <v/>
      </c>
      <c r="H5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36" t="s">
        <v>108</v>
      </c>
      <c r="K536">
        <f>SUM(MID(Tabla142[[#This Row],[Duración]],1,2)*60,MID(Tabla142[[#This Row],[Duración]],6,2))</f>
        <v>15</v>
      </c>
      <c r="L536" s="4" t="s">
        <v>77</v>
      </c>
      <c r="M536" t="s">
        <v>239</v>
      </c>
      <c r="N536" t="s">
        <v>252</v>
      </c>
      <c r="O536" t="s">
        <v>390</v>
      </c>
      <c r="P536" t="s">
        <v>363</v>
      </c>
      <c r="Q536" s="20">
        <v>46032.649155092593</v>
      </c>
      <c r="R536" t="s">
        <v>8</v>
      </c>
      <c r="T536" t="s">
        <v>421</v>
      </c>
    </row>
    <row r="537" spans="1:20" ht="15" customHeight="1" x14ac:dyDescent="0.25">
      <c r="A537">
        <f t="shared" si="8"/>
        <v>10</v>
      </c>
      <c r="B537" t="s">
        <v>1169</v>
      </c>
      <c r="C537" t="s">
        <v>47</v>
      </c>
      <c r="D537">
        <v>79</v>
      </c>
      <c r="E5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37">
        <f ca="1">IF(Tabla142[[#This Row],[frecuencia_new]]="Diaria"," ",RANDBETWEEN(1,6))</f>
        <v>4</v>
      </c>
      <c r="G537">
        <f ca="1">IF(Tabla142[[#This Row],[frecuencia_new]]="Diaria","",IF(Tabla142[[#This Row],[frecuencia_new]]="Semanal","",IF(Tabla142[[#This Row],[frecuencia_new]]="Quincenal",RANDBETWEEN(1,2),RANDBETWEEN(1,4))))</f>
        <v>4</v>
      </c>
      <c r="H53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37" t="s">
        <v>109</v>
      </c>
      <c r="K537">
        <f>SUM(MID(Tabla142[[#This Row],[Duración]],1,2)*60,MID(Tabla142[[#This Row],[Duración]],6,2))</f>
        <v>20</v>
      </c>
      <c r="L537" s="4" t="s">
        <v>82</v>
      </c>
      <c r="M537" t="s">
        <v>239</v>
      </c>
      <c r="N537" t="s">
        <v>252</v>
      </c>
      <c r="O537" t="s">
        <v>390</v>
      </c>
      <c r="P537" t="s">
        <v>363</v>
      </c>
      <c r="Q537" s="20">
        <v>46032.649155092593</v>
      </c>
      <c r="R537" t="s">
        <v>7</v>
      </c>
      <c r="T537" t="s">
        <v>421</v>
      </c>
    </row>
    <row r="538" spans="1:20" ht="15" customHeight="1" x14ac:dyDescent="0.25">
      <c r="A538">
        <f t="shared" si="8"/>
        <v>10</v>
      </c>
      <c r="B538" t="s">
        <v>1170</v>
      </c>
      <c r="C538" t="s">
        <v>47</v>
      </c>
      <c r="D538">
        <v>79</v>
      </c>
      <c r="E5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38">
        <f ca="1">IF(Tabla142[[#This Row],[frecuencia_new]]="Diaria"," ",RANDBETWEEN(1,6))</f>
        <v>5</v>
      </c>
      <c r="G538">
        <f ca="1">IF(Tabla142[[#This Row],[frecuencia_new]]="Diaria","",IF(Tabla142[[#This Row],[frecuencia_new]]="Semanal","",IF(Tabla142[[#This Row],[frecuencia_new]]="Quincenal",RANDBETWEEN(1,2),RANDBETWEEN(1,4))))</f>
        <v>1</v>
      </c>
      <c r="H53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38" t="s">
        <v>110</v>
      </c>
      <c r="K538">
        <f>SUM(MID(Tabla142[[#This Row],[Duración]],1,2)*60,MID(Tabla142[[#This Row],[Duración]],6,2))</f>
        <v>10</v>
      </c>
      <c r="L538" s="4" t="s">
        <v>71</v>
      </c>
      <c r="M538" t="s">
        <v>239</v>
      </c>
      <c r="N538" t="s">
        <v>252</v>
      </c>
      <c r="O538" t="s">
        <v>390</v>
      </c>
      <c r="P538" t="s">
        <v>363</v>
      </c>
      <c r="Q538" s="20">
        <v>46032.649155092593</v>
      </c>
      <c r="R538" t="s">
        <v>7</v>
      </c>
      <c r="T538" t="s">
        <v>421</v>
      </c>
    </row>
    <row r="539" spans="1:20" ht="15" customHeight="1" x14ac:dyDescent="0.25">
      <c r="A539">
        <f t="shared" si="8"/>
        <v>10</v>
      </c>
      <c r="B539" t="s">
        <v>1171</v>
      </c>
      <c r="C539" t="s">
        <v>47</v>
      </c>
      <c r="D539">
        <v>79</v>
      </c>
      <c r="E5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39">
        <f ca="1">IF(Tabla142[[#This Row],[frecuencia_new]]="Diaria"," ",RANDBETWEEN(1,6))</f>
        <v>3</v>
      </c>
      <c r="G539">
        <f ca="1">IF(Tabla142[[#This Row],[frecuencia_new]]="Diaria","",IF(Tabla142[[#This Row],[frecuencia_new]]="Semanal","",IF(Tabla142[[#This Row],[frecuencia_new]]="Quincenal",RANDBETWEEN(1,2),RANDBETWEEN(1,4))))</f>
        <v>4</v>
      </c>
      <c r="H539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539" t="s">
        <v>111</v>
      </c>
      <c r="K539">
        <f>SUM(MID(Tabla142[[#This Row],[Duración]],1,2)*60,MID(Tabla142[[#This Row],[Duración]],6,2))</f>
        <v>60</v>
      </c>
      <c r="L539" s="4" t="s">
        <v>58</v>
      </c>
      <c r="M539" t="s">
        <v>239</v>
      </c>
      <c r="N539" t="s">
        <v>252</v>
      </c>
      <c r="O539" t="s">
        <v>390</v>
      </c>
      <c r="P539" t="s">
        <v>363</v>
      </c>
      <c r="Q539" s="20">
        <v>46032.649155092593</v>
      </c>
      <c r="R539" t="s">
        <v>18</v>
      </c>
      <c r="T539" t="s">
        <v>421</v>
      </c>
    </row>
    <row r="540" spans="1:20" ht="15" customHeight="1" x14ac:dyDescent="0.25">
      <c r="A540">
        <f t="shared" si="8"/>
        <v>41</v>
      </c>
      <c r="B540" t="s">
        <v>1172</v>
      </c>
      <c r="C540" t="s">
        <v>47</v>
      </c>
      <c r="D540">
        <v>79</v>
      </c>
      <c r="E5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40">
        <f ca="1">IF(Tabla142[[#This Row],[frecuencia_new]]="Diaria"," ",RANDBETWEEN(1,6))</f>
        <v>1</v>
      </c>
      <c r="G540">
        <f ca="1">IF(Tabla142[[#This Row],[frecuencia_new]]="Diaria","",IF(Tabla142[[#This Row],[frecuencia_new]]="Semanal","",IF(Tabla142[[#This Row],[frecuencia_new]]="Quincenal",RANDBETWEEN(1,2),RANDBETWEEN(1,4))))</f>
        <v>2</v>
      </c>
      <c r="H540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540" t="s">
        <v>46</v>
      </c>
      <c r="K540">
        <f>SUM(MID(Tabla142[[#This Row],[Duración]],1,2)*60,MID(Tabla142[[#This Row],[Duración]],6,2))</f>
        <v>30</v>
      </c>
      <c r="L540" s="4" t="s">
        <v>48</v>
      </c>
      <c r="M540" t="s">
        <v>239</v>
      </c>
      <c r="N540" t="s">
        <v>252</v>
      </c>
      <c r="O540" t="s">
        <v>384</v>
      </c>
      <c r="P540" t="s">
        <v>360</v>
      </c>
      <c r="Q540" s="20">
        <v>46032.649155092593</v>
      </c>
      <c r="R540" t="s">
        <v>5</v>
      </c>
      <c r="T540" t="s">
        <v>452</v>
      </c>
    </row>
    <row r="541" spans="1:20" ht="15" customHeight="1" x14ac:dyDescent="0.25">
      <c r="A541">
        <f t="shared" si="8"/>
        <v>41</v>
      </c>
      <c r="B541" t="s">
        <v>1173</v>
      </c>
      <c r="C541" t="s">
        <v>47</v>
      </c>
      <c r="D541">
        <v>79</v>
      </c>
      <c r="E5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41">
        <f ca="1">IF(Tabla142[[#This Row],[frecuencia_new]]="Diaria"," ",RANDBETWEEN(1,6))</f>
        <v>3</v>
      </c>
      <c r="G541">
        <f ca="1">IF(Tabla142[[#This Row],[frecuencia_new]]="Diaria","",IF(Tabla142[[#This Row],[frecuencia_new]]="Semanal","",IF(Tabla142[[#This Row],[frecuencia_new]]="Quincenal",RANDBETWEEN(1,2),RANDBETWEEN(1,4))))</f>
        <v>4</v>
      </c>
      <c r="H54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541" t="s">
        <v>52</v>
      </c>
      <c r="K541">
        <f>SUM(MID(Tabla142[[#This Row],[Duración]],1,2)*60,MID(Tabla142[[#This Row],[Duración]],6,2))</f>
        <v>30</v>
      </c>
      <c r="L541" s="4" t="s">
        <v>48</v>
      </c>
      <c r="M541" t="s">
        <v>239</v>
      </c>
      <c r="N541" t="s">
        <v>252</v>
      </c>
      <c r="O541" t="s">
        <v>384</v>
      </c>
      <c r="P541" t="s">
        <v>360</v>
      </c>
      <c r="Q541" s="20">
        <v>46032.649155092593</v>
      </c>
      <c r="R541" t="s">
        <v>5</v>
      </c>
      <c r="T541" t="s">
        <v>452</v>
      </c>
    </row>
    <row r="542" spans="1:20" ht="15" customHeight="1" x14ac:dyDescent="0.25">
      <c r="A542">
        <f t="shared" si="8"/>
        <v>41</v>
      </c>
      <c r="B542" t="s">
        <v>1174</v>
      </c>
      <c r="C542" t="s">
        <v>54</v>
      </c>
      <c r="D542">
        <v>79</v>
      </c>
      <c r="E5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42">
        <f ca="1">IF(Tabla142[[#This Row],[frecuencia_new]]="Diaria"," ",RANDBETWEEN(1,6))</f>
        <v>5</v>
      </c>
      <c r="G542">
        <f ca="1">IF(Tabla142[[#This Row],[frecuencia_new]]="Diaria","",IF(Tabla142[[#This Row],[frecuencia_new]]="Semanal","",IF(Tabla142[[#This Row],[frecuencia_new]]="Quincenal",RANDBETWEEN(1,2),RANDBETWEEN(1,4))))</f>
        <v>2</v>
      </c>
      <c r="H542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542" t="s">
        <v>53</v>
      </c>
      <c r="K542">
        <f>SUM(MID(Tabla142[[#This Row],[Duración]],1,2)*60,MID(Tabla142[[#This Row],[Duración]],6,2))</f>
        <v>30</v>
      </c>
      <c r="L542" s="4" t="s">
        <v>48</v>
      </c>
      <c r="M542" t="s">
        <v>239</v>
      </c>
      <c r="N542" t="s">
        <v>252</v>
      </c>
      <c r="O542" t="s">
        <v>384</v>
      </c>
      <c r="P542" t="s">
        <v>360</v>
      </c>
      <c r="Q542" s="20">
        <v>46032.649155092593</v>
      </c>
      <c r="R542" t="s">
        <v>5</v>
      </c>
      <c r="T542" t="s">
        <v>452</v>
      </c>
    </row>
    <row r="543" spans="1:20" ht="15" customHeight="1" x14ac:dyDescent="0.25">
      <c r="A543">
        <f t="shared" si="8"/>
        <v>41</v>
      </c>
      <c r="B543" t="s">
        <v>1175</v>
      </c>
      <c r="C543" t="s">
        <v>47</v>
      </c>
      <c r="D543">
        <v>79</v>
      </c>
      <c r="E5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43">
        <f ca="1">IF(Tabla142[[#This Row],[frecuencia_new]]="Diaria"," ",RANDBETWEEN(1,6))</f>
        <v>4</v>
      </c>
      <c r="G543">
        <f ca="1">IF(Tabla142[[#This Row],[frecuencia_new]]="Diaria","",IF(Tabla142[[#This Row],[frecuencia_new]]="Semanal","",IF(Tabla142[[#This Row],[frecuencia_new]]="Quincenal",RANDBETWEEN(1,2),RANDBETWEEN(1,4))))</f>
        <v>2</v>
      </c>
      <c r="H543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543" t="s">
        <v>64</v>
      </c>
      <c r="K543">
        <f>SUM(MID(Tabla142[[#This Row],[Duración]],1,2)*60,MID(Tabla142[[#This Row],[Duración]],6,2))</f>
        <v>30</v>
      </c>
      <c r="L543" s="4" t="s">
        <v>48</v>
      </c>
      <c r="M543" t="s">
        <v>239</v>
      </c>
      <c r="N543" t="s">
        <v>252</v>
      </c>
      <c r="O543" t="s">
        <v>384</v>
      </c>
      <c r="P543" t="s">
        <v>360</v>
      </c>
      <c r="Q543" s="20">
        <v>46032.649155092593</v>
      </c>
      <c r="R543" t="s">
        <v>5</v>
      </c>
      <c r="T543" t="s">
        <v>452</v>
      </c>
    </row>
    <row r="544" spans="1:20" ht="15" customHeight="1" x14ac:dyDescent="0.25">
      <c r="A544">
        <f t="shared" si="8"/>
        <v>205</v>
      </c>
      <c r="B544" t="s">
        <v>1176</v>
      </c>
      <c r="C544" s="18" t="s">
        <v>47</v>
      </c>
      <c r="D544">
        <v>79</v>
      </c>
      <c r="E5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44" t="str">
        <f ca="1">IF(Tabla142[[#This Row],[frecuencia_new]]="Diaria"," ",RANDBETWEEN(1,6))</f>
        <v xml:space="preserve"> </v>
      </c>
      <c r="G544" t="str">
        <f ca="1">IF(Tabla142[[#This Row],[frecuencia_new]]="Diaria","",IF(Tabla142[[#This Row],[frecuencia_new]]="Semanal","",IF(Tabla142[[#This Row],[frecuencia_new]]="Quincenal",RANDBETWEEN(1,2),RANDBETWEEN(1,4))))</f>
        <v/>
      </c>
      <c r="H5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44" t="s">
        <v>106</v>
      </c>
      <c r="K544">
        <f>SUM(MID(Tabla142[[#This Row],[Duración]],1,2)*60,MID(Tabla142[[#This Row],[Duración]],6,2))</f>
        <v>5</v>
      </c>
      <c r="L544" s="4" t="s">
        <v>50</v>
      </c>
      <c r="M544" s="18" t="s">
        <v>239</v>
      </c>
      <c r="N544" t="s">
        <v>252</v>
      </c>
      <c r="O544" t="s">
        <v>398</v>
      </c>
      <c r="P544" t="s">
        <v>361</v>
      </c>
      <c r="Q544" s="20">
        <v>46032.649155092593</v>
      </c>
      <c r="R544" t="s">
        <v>6</v>
      </c>
      <c r="T544" t="s">
        <v>616</v>
      </c>
    </row>
    <row r="545" spans="1:20" ht="15" customHeight="1" x14ac:dyDescent="0.25">
      <c r="A545">
        <f t="shared" si="8"/>
        <v>11</v>
      </c>
      <c r="B545" t="s">
        <v>1177</v>
      </c>
      <c r="C545" t="s">
        <v>47</v>
      </c>
      <c r="D545">
        <v>106</v>
      </c>
      <c r="E5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45">
        <f ca="1">IF(Tabla142[[#This Row],[frecuencia_new]]="Diaria"," ",RANDBETWEEN(1,6))</f>
        <v>5</v>
      </c>
      <c r="G545">
        <f ca="1">IF(Tabla142[[#This Row],[frecuencia_new]]="Diaria","",IF(Tabla142[[#This Row],[frecuencia_new]]="Semanal","",IF(Tabla142[[#This Row],[frecuencia_new]]="Quincenal",RANDBETWEEN(1,2),RANDBETWEEN(1,4))))</f>
        <v>2</v>
      </c>
      <c r="H545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545" t="s">
        <v>115</v>
      </c>
      <c r="K545">
        <f>SUM(MID(Tabla142[[#This Row],[Duración]],1,2)*60,MID(Tabla142[[#This Row],[Duración]],6,2))</f>
        <v>60</v>
      </c>
      <c r="L545" s="4" t="s">
        <v>58</v>
      </c>
      <c r="M545" t="s">
        <v>239</v>
      </c>
      <c r="N545" t="s">
        <v>252</v>
      </c>
      <c r="O545" t="s">
        <v>390</v>
      </c>
      <c r="P545" t="s">
        <v>363</v>
      </c>
      <c r="Q545" s="20">
        <v>46032.649155092593</v>
      </c>
      <c r="R545" t="s">
        <v>5</v>
      </c>
      <c r="T545" t="s">
        <v>422</v>
      </c>
    </row>
    <row r="546" spans="1:20" ht="15" customHeight="1" x14ac:dyDescent="0.25">
      <c r="A546">
        <f t="shared" si="8"/>
        <v>11</v>
      </c>
      <c r="B546" t="s">
        <v>1178</v>
      </c>
      <c r="C546" t="s">
        <v>47</v>
      </c>
      <c r="D546">
        <v>106</v>
      </c>
      <c r="E5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46">
        <f ca="1">IF(Tabla142[[#This Row],[frecuencia_new]]="Diaria"," ",RANDBETWEEN(1,6))</f>
        <v>6</v>
      </c>
      <c r="G546">
        <f ca="1">IF(Tabla142[[#This Row],[frecuencia_new]]="Diaria","",IF(Tabla142[[#This Row],[frecuencia_new]]="Semanal","",IF(Tabla142[[#This Row],[frecuencia_new]]="Quincenal",RANDBETWEEN(1,2),RANDBETWEEN(1,4))))</f>
        <v>3</v>
      </c>
      <c r="H546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546" t="s">
        <v>117</v>
      </c>
      <c r="K546">
        <f>SUM(MID(Tabla142[[#This Row],[Duración]],1,2)*60,MID(Tabla142[[#This Row],[Duración]],6,2))</f>
        <v>90</v>
      </c>
      <c r="L546" s="4" t="s">
        <v>96</v>
      </c>
      <c r="M546" t="s">
        <v>239</v>
      </c>
      <c r="N546" t="s">
        <v>252</v>
      </c>
      <c r="O546" t="s">
        <v>390</v>
      </c>
      <c r="P546" t="s">
        <v>363</v>
      </c>
      <c r="Q546" s="20">
        <v>46032.649155092593</v>
      </c>
      <c r="R546" t="s">
        <v>5</v>
      </c>
      <c r="T546" t="s">
        <v>422</v>
      </c>
    </row>
    <row r="547" spans="1:20" ht="15" customHeight="1" x14ac:dyDescent="0.25">
      <c r="A547">
        <f t="shared" si="8"/>
        <v>11</v>
      </c>
      <c r="B547" t="s">
        <v>1179</v>
      </c>
      <c r="C547" t="s">
        <v>47</v>
      </c>
      <c r="D547">
        <v>106</v>
      </c>
      <c r="E5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47">
        <f ca="1">IF(Tabla142[[#This Row],[frecuencia_new]]="Diaria"," ",RANDBETWEEN(1,6))</f>
        <v>4</v>
      </c>
      <c r="G547">
        <f ca="1">IF(Tabla142[[#This Row],[frecuencia_new]]="Diaria","",IF(Tabla142[[#This Row],[frecuencia_new]]="Semanal","",IF(Tabla142[[#This Row],[frecuencia_new]]="Quincenal",RANDBETWEEN(1,2),RANDBETWEEN(1,4))))</f>
        <v>2</v>
      </c>
      <c r="H5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47" t="s">
        <v>118</v>
      </c>
      <c r="K547">
        <f>SUM(MID(Tabla142[[#This Row],[Duración]],1,2)*60,MID(Tabla142[[#This Row],[Duración]],6,2))</f>
        <v>10</v>
      </c>
      <c r="L547" s="4" t="s">
        <v>71</v>
      </c>
      <c r="M547" t="s">
        <v>239</v>
      </c>
      <c r="N547" t="s">
        <v>252</v>
      </c>
      <c r="O547" t="s">
        <v>390</v>
      </c>
      <c r="P547" t="s">
        <v>363</v>
      </c>
      <c r="Q547" s="20">
        <v>46032.649155092593</v>
      </c>
      <c r="R547" t="s">
        <v>7</v>
      </c>
      <c r="T547" t="s">
        <v>422</v>
      </c>
    </row>
    <row r="548" spans="1:20" ht="15" customHeight="1" x14ac:dyDescent="0.25">
      <c r="A548">
        <f t="shared" si="8"/>
        <v>11</v>
      </c>
      <c r="B548" t="s">
        <v>1180</v>
      </c>
      <c r="C548" t="s">
        <v>47</v>
      </c>
      <c r="D548">
        <v>106</v>
      </c>
      <c r="E5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48">
        <f ca="1">IF(Tabla142[[#This Row],[frecuencia_new]]="Diaria"," ",RANDBETWEEN(1,6))</f>
        <v>5</v>
      </c>
      <c r="G548">
        <f ca="1">IF(Tabla142[[#This Row],[frecuencia_new]]="Diaria","",IF(Tabla142[[#This Row],[frecuencia_new]]="Semanal","",IF(Tabla142[[#This Row],[frecuencia_new]]="Quincenal",RANDBETWEEN(1,2),RANDBETWEEN(1,4))))</f>
        <v>1</v>
      </c>
      <c r="H5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48" t="s">
        <v>119</v>
      </c>
      <c r="K548">
        <f>SUM(MID(Tabla142[[#This Row],[Duración]],1,2)*60,MID(Tabla142[[#This Row],[Duración]],6,2))</f>
        <v>10</v>
      </c>
      <c r="L548" s="4" t="s">
        <v>71</v>
      </c>
      <c r="M548" t="s">
        <v>239</v>
      </c>
      <c r="N548" t="s">
        <v>252</v>
      </c>
      <c r="O548" t="s">
        <v>390</v>
      </c>
      <c r="P548" t="s">
        <v>363</v>
      </c>
      <c r="Q548" s="20">
        <v>46032.649155092593</v>
      </c>
      <c r="R548" t="s">
        <v>7</v>
      </c>
      <c r="T548" t="s">
        <v>422</v>
      </c>
    </row>
    <row r="549" spans="1:20" ht="15" customHeight="1" x14ac:dyDescent="0.25">
      <c r="A549">
        <f t="shared" si="8"/>
        <v>11</v>
      </c>
      <c r="B549" t="s">
        <v>1181</v>
      </c>
      <c r="C549" t="s">
        <v>47</v>
      </c>
      <c r="D549">
        <v>106</v>
      </c>
      <c r="E5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49">
        <f ca="1">IF(Tabla142[[#This Row],[frecuencia_new]]="Diaria"," ",RANDBETWEEN(1,6))</f>
        <v>3</v>
      </c>
      <c r="G549">
        <f ca="1">IF(Tabla142[[#This Row],[frecuencia_new]]="Diaria","",IF(Tabla142[[#This Row],[frecuencia_new]]="Semanal","",IF(Tabla142[[#This Row],[frecuencia_new]]="Quincenal",RANDBETWEEN(1,2),RANDBETWEEN(1,4))))</f>
        <v>1</v>
      </c>
      <c r="H5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49" t="s">
        <v>120</v>
      </c>
      <c r="K549">
        <f>SUM(MID(Tabla142[[#This Row],[Duración]],1,2)*60,MID(Tabla142[[#This Row],[Duración]],6,2))</f>
        <v>90</v>
      </c>
      <c r="L549" s="4" t="s">
        <v>96</v>
      </c>
      <c r="M549" t="s">
        <v>239</v>
      </c>
      <c r="N549" t="s">
        <v>252</v>
      </c>
      <c r="O549" t="s">
        <v>390</v>
      </c>
      <c r="P549" t="s">
        <v>363</v>
      </c>
      <c r="Q549" s="20">
        <v>46032.649155092593</v>
      </c>
      <c r="R549" t="s">
        <v>7</v>
      </c>
      <c r="T549" t="s">
        <v>422</v>
      </c>
    </row>
    <row r="550" spans="1:20" ht="15" customHeight="1" x14ac:dyDescent="0.25">
      <c r="A550">
        <f t="shared" si="8"/>
        <v>11</v>
      </c>
      <c r="B550" t="s">
        <v>1182</v>
      </c>
      <c r="C550" t="s">
        <v>47</v>
      </c>
      <c r="D550">
        <v>106</v>
      </c>
      <c r="E5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0">
        <f ca="1">IF(Tabla142[[#This Row],[frecuencia_new]]="Diaria"," ",RANDBETWEEN(1,6))</f>
        <v>5</v>
      </c>
      <c r="G550" t="str">
        <f ca="1">IF(Tabla142[[#This Row],[frecuencia_new]]="Diaria","",IF(Tabla142[[#This Row],[frecuencia_new]]="Semanal","",IF(Tabla142[[#This Row],[frecuencia_new]]="Quincenal",RANDBETWEEN(1,2),RANDBETWEEN(1,4))))</f>
        <v/>
      </c>
      <c r="H55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0" t="s">
        <v>121</v>
      </c>
      <c r="K550">
        <f>SUM(MID(Tabla142[[#This Row],[Duración]],1,2)*60,MID(Tabla142[[#This Row],[Duración]],6,2))</f>
        <v>5</v>
      </c>
      <c r="L550" s="4" t="s">
        <v>50</v>
      </c>
      <c r="M550" t="s">
        <v>239</v>
      </c>
      <c r="N550" t="s">
        <v>252</v>
      </c>
      <c r="O550" t="s">
        <v>390</v>
      </c>
      <c r="P550" t="s">
        <v>363</v>
      </c>
      <c r="Q550" s="20">
        <v>46032.649155092593</v>
      </c>
      <c r="R550" t="s">
        <v>8</v>
      </c>
      <c r="T550" t="s">
        <v>422</v>
      </c>
    </row>
    <row r="551" spans="1:20" ht="15" customHeight="1" x14ac:dyDescent="0.25">
      <c r="A551">
        <f t="shared" si="8"/>
        <v>11</v>
      </c>
      <c r="B551" t="s">
        <v>1183</v>
      </c>
      <c r="C551" t="s">
        <v>47</v>
      </c>
      <c r="D551">
        <v>106</v>
      </c>
      <c r="E5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51">
        <f ca="1">IF(Tabla142[[#This Row],[frecuencia_new]]="Diaria"," ",RANDBETWEEN(1,6))</f>
        <v>2</v>
      </c>
      <c r="G551">
        <f ca="1">IF(Tabla142[[#This Row],[frecuencia_new]]="Diaria","",IF(Tabla142[[#This Row],[frecuencia_new]]="Semanal","",IF(Tabla142[[#This Row],[frecuencia_new]]="Quincenal",RANDBETWEEN(1,2),RANDBETWEEN(1,4))))</f>
        <v>1</v>
      </c>
      <c r="H551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551" t="s">
        <v>122</v>
      </c>
      <c r="K551">
        <f>SUM(MID(Tabla142[[#This Row],[Duración]],1,2)*60,MID(Tabla142[[#This Row],[Duración]],6,2))</f>
        <v>30</v>
      </c>
      <c r="L551" s="4" t="s">
        <v>48</v>
      </c>
      <c r="M551" t="s">
        <v>239</v>
      </c>
      <c r="N551" t="s">
        <v>252</v>
      </c>
      <c r="O551" t="s">
        <v>390</v>
      </c>
      <c r="P551" t="s">
        <v>363</v>
      </c>
      <c r="Q551" s="20">
        <v>46032.649155092593</v>
      </c>
      <c r="R551" t="s">
        <v>18</v>
      </c>
      <c r="T551" t="s">
        <v>422</v>
      </c>
    </row>
    <row r="552" spans="1:20" ht="15" customHeight="1" x14ac:dyDescent="0.25">
      <c r="A552">
        <f t="shared" si="8"/>
        <v>11</v>
      </c>
      <c r="B552" t="s">
        <v>1184</v>
      </c>
      <c r="C552" t="s">
        <v>47</v>
      </c>
      <c r="D552">
        <v>106</v>
      </c>
      <c r="E5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2">
        <f ca="1">IF(Tabla142[[#This Row],[frecuencia_new]]="Diaria"," ",RANDBETWEEN(1,6))</f>
        <v>6</v>
      </c>
      <c r="G552" t="str">
        <f ca="1">IF(Tabla142[[#This Row],[frecuencia_new]]="Diaria","",IF(Tabla142[[#This Row],[frecuencia_new]]="Semanal","",IF(Tabla142[[#This Row],[frecuencia_new]]="Quincenal",RANDBETWEEN(1,2),RANDBETWEEN(1,4))))</f>
        <v/>
      </c>
      <c r="H5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2" t="s">
        <v>123</v>
      </c>
      <c r="K552">
        <f>SUM(MID(Tabla142[[#This Row],[Duración]],1,2)*60,MID(Tabla142[[#This Row],[Duración]],6,2))</f>
        <v>5</v>
      </c>
      <c r="L552" s="4" t="s">
        <v>50</v>
      </c>
      <c r="M552" t="s">
        <v>239</v>
      </c>
      <c r="N552" t="s">
        <v>252</v>
      </c>
      <c r="O552" t="s">
        <v>390</v>
      </c>
      <c r="P552" t="s">
        <v>363</v>
      </c>
      <c r="Q552" s="20">
        <v>46032.649155092593</v>
      </c>
      <c r="R552" t="s">
        <v>8</v>
      </c>
      <c r="T552" t="s">
        <v>422</v>
      </c>
    </row>
    <row r="553" spans="1:20" ht="15" customHeight="1" x14ac:dyDescent="0.25">
      <c r="A553">
        <f t="shared" si="8"/>
        <v>11</v>
      </c>
      <c r="B553" t="s">
        <v>1185</v>
      </c>
      <c r="C553" t="s">
        <v>47</v>
      </c>
      <c r="D553">
        <v>106</v>
      </c>
      <c r="E5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3">
        <f ca="1">IF(Tabla142[[#This Row],[frecuencia_new]]="Diaria"," ",RANDBETWEEN(1,6))</f>
        <v>6</v>
      </c>
      <c r="G553" t="str">
        <f ca="1">IF(Tabla142[[#This Row],[frecuencia_new]]="Diaria","",IF(Tabla142[[#This Row],[frecuencia_new]]="Semanal","",IF(Tabla142[[#This Row],[frecuencia_new]]="Quincenal",RANDBETWEEN(1,2),RANDBETWEEN(1,4))))</f>
        <v/>
      </c>
      <c r="H5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3" t="s">
        <v>124</v>
      </c>
      <c r="K553">
        <f>SUM(MID(Tabla142[[#This Row],[Duración]],1,2)*60,MID(Tabla142[[#This Row],[Duración]],6,2))</f>
        <v>5</v>
      </c>
      <c r="L553" s="4" t="s">
        <v>50</v>
      </c>
      <c r="M553" t="s">
        <v>239</v>
      </c>
      <c r="N553" t="s">
        <v>252</v>
      </c>
      <c r="O553" t="s">
        <v>390</v>
      </c>
      <c r="P553" t="s">
        <v>363</v>
      </c>
      <c r="Q553" s="20">
        <v>46032.649155092593</v>
      </c>
      <c r="R553" t="s">
        <v>8</v>
      </c>
      <c r="T553" t="s">
        <v>422</v>
      </c>
    </row>
    <row r="554" spans="1:20" ht="15" customHeight="1" x14ac:dyDescent="0.25">
      <c r="A554">
        <f t="shared" si="8"/>
        <v>11</v>
      </c>
      <c r="B554" t="s">
        <v>1186</v>
      </c>
      <c r="C554" t="s">
        <v>47</v>
      </c>
      <c r="D554">
        <v>106</v>
      </c>
      <c r="E5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4">
        <f ca="1">IF(Tabla142[[#This Row],[frecuencia_new]]="Diaria"," ",RANDBETWEEN(1,6))</f>
        <v>2</v>
      </c>
      <c r="G554" t="str">
        <f ca="1">IF(Tabla142[[#This Row],[frecuencia_new]]="Diaria","",IF(Tabla142[[#This Row],[frecuencia_new]]="Semanal","",IF(Tabla142[[#This Row],[frecuencia_new]]="Quincenal",RANDBETWEEN(1,2),RANDBETWEEN(1,4))))</f>
        <v/>
      </c>
      <c r="H5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4" t="s">
        <v>125</v>
      </c>
      <c r="K554">
        <f>SUM(MID(Tabla142[[#This Row],[Duración]],1,2)*60,MID(Tabla142[[#This Row],[Duración]],6,2))</f>
        <v>5</v>
      </c>
      <c r="L554" s="4" t="s">
        <v>50</v>
      </c>
      <c r="M554" t="s">
        <v>239</v>
      </c>
      <c r="N554" t="s">
        <v>252</v>
      </c>
      <c r="O554" t="s">
        <v>390</v>
      </c>
      <c r="P554" t="s">
        <v>363</v>
      </c>
      <c r="Q554" s="20">
        <v>46032.649155092593</v>
      </c>
      <c r="R554" t="s">
        <v>8</v>
      </c>
      <c r="T554" t="s">
        <v>422</v>
      </c>
    </row>
    <row r="555" spans="1:20" ht="15" customHeight="1" x14ac:dyDescent="0.25">
      <c r="A555">
        <f t="shared" si="8"/>
        <v>11</v>
      </c>
      <c r="B555" t="s">
        <v>1187</v>
      </c>
      <c r="C555" t="s">
        <v>47</v>
      </c>
      <c r="D555">
        <v>106</v>
      </c>
      <c r="E5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5">
        <f ca="1">IF(Tabla142[[#This Row],[frecuencia_new]]="Diaria"," ",RANDBETWEEN(1,6))</f>
        <v>1</v>
      </c>
      <c r="G555" t="str">
        <f ca="1">IF(Tabla142[[#This Row],[frecuencia_new]]="Diaria","",IF(Tabla142[[#This Row],[frecuencia_new]]="Semanal","",IF(Tabla142[[#This Row],[frecuencia_new]]="Quincenal",RANDBETWEEN(1,2),RANDBETWEEN(1,4))))</f>
        <v/>
      </c>
      <c r="H5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5" t="s">
        <v>126</v>
      </c>
      <c r="K555">
        <f>SUM(MID(Tabla142[[#This Row],[Duración]],1,2)*60,MID(Tabla142[[#This Row],[Duración]],6,2))</f>
        <v>5</v>
      </c>
      <c r="L555" s="4" t="s">
        <v>50</v>
      </c>
      <c r="M555" t="s">
        <v>239</v>
      </c>
      <c r="N555" t="s">
        <v>252</v>
      </c>
      <c r="O555" t="s">
        <v>390</v>
      </c>
      <c r="P555" t="s">
        <v>363</v>
      </c>
      <c r="Q555" s="20">
        <v>46032.649155092593</v>
      </c>
      <c r="R555" t="s">
        <v>8</v>
      </c>
      <c r="T555" t="s">
        <v>422</v>
      </c>
    </row>
    <row r="556" spans="1:20" ht="15" customHeight="1" x14ac:dyDescent="0.25">
      <c r="A556">
        <f t="shared" si="8"/>
        <v>11</v>
      </c>
      <c r="B556" t="s">
        <v>1188</v>
      </c>
      <c r="C556" t="s">
        <v>47</v>
      </c>
      <c r="D556">
        <v>106</v>
      </c>
      <c r="E5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6">
        <f ca="1">IF(Tabla142[[#This Row],[frecuencia_new]]="Diaria"," ",RANDBETWEEN(1,6))</f>
        <v>1</v>
      </c>
      <c r="G556" t="str">
        <f ca="1">IF(Tabla142[[#This Row],[frecuencia_new]]="Diaria","",IF(Tabla142[[#This Row],[frecuencia_new]]="Semanal","",IF(Tabla142[[#This Row],[frecuencia_new]]="Quincenal",RANDBETWEEN(1,2),RANDBETWEEN(1,4))))</f>
        <v/>
      </c>
      <c r="H5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6" t="s">
        <v>127</v>
      </c>
      <c r="K556">
        <f>SUM(MID(Tabla142[[#This Row],[Duración]],1,2)*60,MID(Tabla142[[#This Row],[Duración]],6,2))</f>
        <v>5</v>
      </c>
      <c r="L556" s="4" t="s">
        <v>50</v>
      </c>
      <c r="M556" t="s">
        <v>239</v>
      </c>
      <c r="N556" t="s">
        <v>252</v>
      </c>
      <c r="O556" t="s">
        <v>390</v>
      </c>
      <c r="P556" t="s">
        <v>363</v>
      </c>
      <c r="Q556" s="20">
        <v>46032.649155092593</v>
      </c>
      <c r="R556" t="s">
        <v>8</v>
      </c>
      <c r="T556" t="s">
        <v>422</v>
      </c>
    </row>
    <row r="557" spans="1:20" ht="15" customHeight="1" x14ac:dyDescent="0.25">
      <c r="A557">
        <f t="shared" si="8"/>
        <v>11</v>
      </c>
      <c r="B557" t="s">
        <v>1189</v>
      </c>
      <c r="C557" t="s">
        <v>47</v>
      </c>
      <c r="D557">
        <v>106</v>
      </c>
      <c r="E5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57">
        <f ca="1">IF(Tabla142[[#This Row],[frecuencia_new]]="Diaria"," ",RANDBETWEEN(1,6))</f>
        <v>2</v>
      </c>
      <c r="G557" t="str">
        <f ca="1">IF(Tabla142[[#This Row],[frecuencia_new]]="Diaria","",IF(Tabla142[[#This Row],[frecuencia_new]]="Semanal","",IF(Tabla142[[#This Row],[frecuencia_new]]="Quincenal",RANDBETWEEN(1,2),RANDBETWEEN(1,4))))</f>
        <v/>
      </c>
      <c r="H5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7" t="s">
        <v>128</v>
      </c>
      <c r="K557">
        <f>SUM(MID(Tabla142[[#This Row],[Duración]],1,2)*60,MID(Tabla142[[#This Row],[Duración]],6,2))</f>
        <v>5</v>
      </c>
      <c r="L557" s="4" t="s">
        <v>50</v>
      </c>
      <c r="M557" t="s">
        <v>239</v>
      </c>
      <c r="N557" t="s">
        <v>252</v>
      </c>
      <c r="O557" t="s">
        <v>390</v>
      </c>
      <c r="P557" t="s">
        <v>363</v>
      </c>
      <c r="Q557" s="20">
        <v>46032.649155092593</v>
      </c>
      <c r="R557" t="s">
        <v>8</v>
      </c>
      <c r="T557" t="s">
        <v>422</v>
      </c>
    </row>
    <row r="558" spans="1:20" ht="15" customHeight="1" x14ac:dyDescent="0.25">
      <c r="A558">
        <f t="shared" si="8"/>
        <v>11</v>
      </c>
      <c r="B558" t="s">
        <v>1190</v>
      </c>
      <c r="C558" t="s">
        <v>47</v>
      </c>
      <c r="D558">
        <v>106</v>
      </c>
      <c r="E5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58">
        <f ca="1">IF(Tabla142[[#This Row],[frecuencia_new]]="Diaria"," ",RANDBETWEEN(1,6))</f>
        <v>5</v>
      </c>
      <c r="G558">
        <f ca="1">IF(Tabla142[[#This Row],[frecuencia_new]]="Diaria","",IF(Tabla142[[#This Row],[frecuencia_new]]="Semanal","",IF(Tabla142[[#This Row],[frecuencia_new]]="Quincenal",RANDBETWEEN(1,2),RANDBETWEEN(1,4))))</f>
        <v>4</v>
      </c>
      <c r="H55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8" t="s">
        <v>129</v>
      </c>
      <c r="K558">
        <f>SUM(MID(Tabla142[[#This Row],[Duración]],1,2)*60,MID(Tabla142[[#This Row],[Duración]],6,2))</f>
        <v>10</v>
      </c>
      <c r="L558" s="4" t="s">
        <v>71</v>
      </c>
      <c r="M558" t="s">
        <v>239</v>
      </c>
      <c r="N558" t="s">
        <v>252</v>
      </c>
      <c r="O558" t="s">
        <v>390</v>
      </c>
      <c r="P558" t="s">
        <v>363</v>
      </c>
      <c r="Q558" s="20">
        <v>46032.649155092593</v>
      </c>
      <c r="R558" t="s">
        <v>7</v>
      </c>
      <c r="T558" t="s">
        <v>422</v>
      </c>
    </row>
    <row r="559" spans="1:20" ht="15" customHeight="1" x14ac:dyDescent="0.25">
      <c r="A559">
        <f t="shared" si="8"/>
        <v>11</v>
      </c>
      <c r="B559" t="s">
        <v>1191</v>
      </c>
      <c r="C559" t="s">
        <v>47</v>
      </c>
      <c r="D559">
        <v>106</v>
      </c>
      <c r="E5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59">
        <f ca="1">IF(Tabla142[[#This Row],[frecuencia_new]]="Diaria"," ",RANDBETWEEN(1,6))</f>
        <v>4</v>
      </c>
      <c r="G559">
        <f ca="1">IF(Tabla142[[#This Row],[frecuencia_new]]="Diaria","",IF(Tabla142[[#This Row],[frecuencia_new]]="Semanal","",IF(Tabla142[[#This Row],[frecuencia_new]]="Quincenal",RANDBETWEEN(1,2),RANDBETWEEN(1,4))))</f>
        <v>4</v>
      </c>
      <c r="H55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59" t="s">
        <v>130</v>
      </c>
      <c r="K559">
        <f>SUM(MID(Tabla142[[#This Row],[Duración]],1,2)*60,MID(Tabla142[[#This Row],[Duración]],6,2))</f>
        <v>10</v>
      </c>
      <c r="L559" s="4" t="s">
        <v>71</v>
      </c>
      <c r="M559" t="s">
        <v>239</v>
      </c>
      <c r="N559" t="s">
        <v>252</v>
      </c>
      <c r="O559" t="s">
        <v>390</v>
      </c>
      <c r="P559" t="s">
        <v>363</v>
      </c>
      <c r="Q559" s="20">
        <v>46032.649155092593</v>
      </c>
      <c r="R559" t="s">
        <v>7</v>
      </c>
      <c r="T559" t="s">
        <v>422</v>
      </c>
    </row>
    <row r="560" spans="1:20" ht="15" customHeight="1" x14ac:dyDescent="0.25">
      <c r="A560">
        <f t="shared" si="8"/>
        <v>11</v>
      </c>
      <c r="B560" t="s">
        <v>1192</v>
      </c>
      <c r="C560" t="s">
        <v>47</v>
      </c>
      <c r="D560">
        <v>106</v>
      </c>
      <c r="E5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60">
        <f ca="1">IF(Tabla142[[#This Row],[frecuencia_new]]="Diaria"," ",RANDBETWEEN(1,6))</f>
        <v>1</v>
      </c>
      <c r="G560">
        <f ca="1">IF(Tabla142[[#This Row],[frecuencia_new]]="Diaria","",IF(Tabla142[[#This Row],[frecuencia_new]]="Semanal","",IF(Tabla142[[#This Row],[frecuencia_new]]="Quincenal",RANDBETWEEN(1,2),RANDBETWEEN(1,4))))</f>
        <v>1</v>
      </c>
      <c r="H5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0" t="s">
        <v>131</v>
      </c>
      <c r="K560">
        <f>SUM(MID(Tabla142[[#This Row],[Duración]],1,2)*60,MID(Tabla142[[#This Row],[Duración]],6,2))</f>
        <v>10</v>
      </c>
      <c r="L560" s="4" t="s">
        <v>71</v>
      </c>
      <c r="M560" t="s">
        <v>239</v>
      </c>
      <c r="N560" t="s">
        <v>252</v>
      </c>
      <c r="O560" t="s">
        <v>390</v>
      </c>
      <c r="P560" t="s">
        <v>363</v>
      </c>
      <c r="Q560" s="20">
        <v>46032.649155092593</v>
      </c>
      <c r="R560" t="s">
        <v>7</v>
      </c>
      <c r="T560" t="s">
        <v>422</v>
      </c>
    </row>
    <row r="561" spans="1:20" ht="15" customHeight="1" x14ac:dyDescent="0.25">
      <c r="A561">
        <f t="shared" si="8"/>
        <v>11</v>
      </c>
      <c r="B561" t="s">
        <v>1193</v>
      </c>
      <c r="C561" t="s">
        <v>47</v>
      </c>
      <c r="D561">
        <v>106</v>
      </c>
      <c r="E5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61">
        <f ca="1">IF(Tabla142[[#This Row],[frecuencia_new]]="Diaria"," ",RANDBETWEEN(1,6))</f>
        <v>6</v>
      </c>
      <c r="G561">
        <f ca="1">IF(Tabla142[[#This Row],[frecuencia_new]]="Diaria","",IF(Tabla142[[#This Row],[frecuencia_new]]="Semanal","",IF(Tabla142[[#This Row],[frecuencia_new]]="Quincenal",RANDBETWEEN(1,2),RANDBETWEEN(1,4))))</f>
        <v>4</v>
      </c>
      <c r="H56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561" t="s">
        <v>132</v>
      </c>
      <c r="K561">
        <f>SUM(MID(Tabla142[[#This Row],[Duración]],1,2)*60,MID(Tabla142[[#This Row],[Duración]],6,2))</f>
        <v>30</v>
      </c>
      <c r="L561" s="4" t="s">
        <v>48</v>
      </c>
      <c r="M561" t="s">
        <v>239</v>
      </c>
      <c r="N561" t="s">
        <v>252</v>
      </c>
      <c r="O561" t="s">
        <v>390</v>
      </c>
      <c r="P561" t="s">
        <v>363</v>
      </c>
      <c r="Q561" s="20">
        <v>46032.649155092593</v>
      </c>
      <c r="R561" t="s">
        <v>18</v>
      </c>
      <c r="T561" t="s">
        <v>422</v>
      </c>
    </row>
    <row r="562" spans="1:20" ht="15" customHeight="1" x14ac:dyDescent="0.25">
      <c r="A562">
        <f t="shared" si="8"/>
        <v>11</v>
      </c>
      <c r="B562" t="s">
        <v>1194</v>
      </c>
      <c r="C562" t="s">
        <v>47</v>
      </c>
      <c r="D562">
        <v>106</v>
      </c>
      <c r="E5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62">
        <f ca="1">IF(Tabla142[[#This Row],[frecuencia_new]]="Diaria"," ",RANDBETWEEN(1,6))</f>
        <v>2</v>
      </c>
      <c r="G562">
        <f ca="1">IF(Tabla142[[#This Row],[frecuencia_new]]="Diaria","",IF(Tabla142[[#This Row],[frecuencia_new]]="Semanal","",IF(Tabla142[[#This Row],[frecuencia_new]]="Quincenal",RANDBETWEEN(1,2),RANDBETWEEN(1,4))))</f>
        <v>3</v>
      </c>
      <c r="H56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2" t="s">
        <v>133</v>
      </c>
      <c r="K562">
        <f>SUM(MID(Tabla142[[#This Row],[Duración]],1,2)*60,MID(Tabla142[[#This Row],[Duración]],6,2))</f>
        <v>10</v>
      </c>
      <c r="L562" s="4" t="s">
        <v>71</v>
      </c>
      <c r="M562" t="s">
        <v>239</v>
      </c>
      <c r="N562" t="s">
        <v>252</v>
      </c>
      <c r="O562" t="s">
        <v>390</v>
      </c>
      <c r="P562" t="s">
        <v>363</v>
      </c>
      <c r="Q562" s="20">
        <v>46032.649155092593</v>
      </c>
      <c r="R562" t="s">
        <v>7</v>
      </c>
      <c r="T562" t="s">
        <v>422</v>
      </c>
    </row>
    <row r="563" spans="1:20" ht="15" customHeight="1" x14ac:dyDescent="0.25">
      <c r="A563">
        <f t="shared" si="8"/>
        <v>11</v>
      </c>
      <c r="B563" t="s">
        <v>1195</v>
      </c>
      <c r="C563" t="s">
        <v>47</v>
      </c>
      <c r="D563">
        <v>106</v>
      </c>
      <c r="E5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63">
        <f ca="1">IF(Tabla142[[#This Row],[frecuencia_new]]="Diaria"," ",RANDBETWEEN(1,6))</f>
        <v>6</v>
      </c>
      <c r="G563">
        <f ca="1">IF(Tabla142[[#This Row],[frecuencia_new]]="Diaria","",IF(Tabla142[[#This Row],[frecuencia_new]]="Semanal","",IF(Tabla142[[#This Row],[frecuencia_new]]="Quincenal",RANDBETWEEN(1,2),RANDBETWEEN(1,4))))</f>
        <v>2</v>
      </c>
      <c r="H56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3" t="s">
        <v>134</v>
      </c>
      <c r="K563">
        <f>SUM(MID(Tabla142[[#This Row],[Duración]],1,2)*60,MID(Tabla142[[#This Row],[Duración]],6,2))</f>
        <v>10</v>
      </c>
      <c r="L563" s="4" t="s">
        <v>71</v>
      </c>
      <c r="M563" t="s">
        <v>239</v>
      </c>
      <c r="N563" t="s">
        <v>252</v>
      </c>
      <c r="O563" t="s">
        <v>390</v>
      </c>
      <c r="P563" t="s">
        <v>363</v>
      </c>
      <c r="Q563" s="20">
        <v>46032.649155092593</v>
      </c>
      <c r="R563" t="s">
        <v>7</v>
      </c>
      <c r="T563" t="s">
        <v>422</v>
      </c>
    </row>
    <row r="564" spans="1:20" ht="15" customHeight="1" x14ac:dyDescent="0.25">
      <c r="A564">
        <f t="shared" si="8"/>
        <v>11</v>
      </c>
      <c r="B564" t="s">
        <v>1196</v>
      </c>
      <c r="C564" t="s">
        <v>47</v>
      </c>
      <c r="D564">
        <v>106</v>
      </c>
      <c r="E5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64">
        <f ca="1">IF(Tabla142[[#This Row],[frecuencia_new]]="Diaria"," ",RANDBETWEEN(1,6))</f>
        <v>6</v>
      </c>
      <c r="G564" t="str">
        <f ca="1">IF(Tabla142[[#This Row],[frecuencia_new]]="Diaria","",IF(Tabla142[[#This Row],[frecuencia_new]]="Semanal","",IF(Tabla142[[#This Row],[frecuencia_new]]="Quincenal",RANDBETWEEN(1,2),RANDBETWEEN(1,4))))</f>
        <v/>
      </c>
      <c r="H5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4" t="s">
        <v>135</v>
      </c>
      <c r="K564">
        <f>SUM(MID(Tabla142[[#This Row],[Duración]],1,2)*60,MID(Tabla142[[#This Row],[Duración]],6,2))</f>
        <v>5</v>
      </c>
      <c r="L564" s="4" t="s">
        <v>50</v>
      </c>
      <c r="M564" t="s">
        <v>239</v>
      </c>
      <c r="N564" t="s">
        <v>252</v>
      </c>
      <c r="O564" t="s">
        <v>390</v>
      </c>
      <c r="P564" t="s">
        <v>363</v>
      </c>
      <c r="Q564" s="20">
        <v>46032.649155092593</v>
      </c>
      <c r="R564" t="s">
        <v>8</v>
      </c>
      <c r="T564" t="s">
        <v>422</v>
      </c>
    </row>
    <row r="565" spans="1:20" ht="15" customHeight="1" x14ac:dyDescent="0.25">
      <c r="A565">
        <f t="shared" si="8"/>
        <v>11</v>
      </c>
      <c r="B565" t="s">
        <v>1197</v>
      </c>
      <c r="C565" t="s">
        <v>47</v>
      </c>
      <c r="D565">
        <v>106</v>
      </c>
      <c r="E5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65">
        <f ca="1">IF(Tabla142[[#This Row],[frecuencia_new]]="Diaria"," ",RANDBETWEEN(1,6))</f>
        <v>3</v>
      </c>
      <c r="G565">
        <f ca="1">IF(Tabla142[[#This Row],[frecuencia_new]]="Diaria","",IF(Tabla142[[#This Row],[frecuencia_new]]="Semanal","",IF(Tabla142[[#This Row],[frecuencia_new]]="Quincenal",RANDBETWEEN(1,2),RANDBETWEEN(1,4))))</f>
        <v>1</v>
      </c>
      <c r="H5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5" t="s">
        <v>137</v>
      </c>
      <c r="K565">
        <f>SUM(MID(Tabla142[[#This Row],[Duración]],1,2)*60,MID(Tabla142[[#This Row],[Duración]],6,2))</f>
        <v>10</v>
      </c>
      <c r="L565" s="4" t="s">
        <v>71</v>
      </c>
      <c r="M565" t="s">
        <v>239</v>
      </c>
      <c r="N565" t="s">
        <v>252</v>
      </c>
      <c r="O565" t="s">
        <v>390</v>
      </c>
      <c r="P565" t="s">
        <v>363</v>
      </c>
      <c r="Q565" s="20">
        <v>46032.649155092593</v>
      </c>
      <c r="R565" t="s">
        <v>7</v>
      </c>
      <c r="T565" t="s">
        <v>422</v>
      </c>
    </row>
    <row r="566" spans="1:20" ht="15" customHeight="1" x14ac:dyDescent="0.25">
      <c r="A566">
        <f t="shared" si="8"/>
        <v>11</v>
      </c>
      <c r="B566" t="s">
        <v>1198</v>
      </c>
      <c r="C566" t="s">
        <v>47</v>
      </c>
      <c r="D566">
        <v>106</v>
      </c>
      <c r="E5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66">
        <f ca="1">IF(Tabla142[[#This Row],[frecuencia_new]]="Diaria"," ",RANDBETWEEN(1,6))</f>
        <v>5</v>
      </c>
      <c r="G566">
        <f ca="1">IF(Tabla142[[#This Row],[frecuencia_new]]="Diaria","",IF(Tabla142[[#This Row],[frecuencia_new]]="Semanal","",IF(Tabla142[[#This Row],[frecuencia_new]]="Quincenal",RANDBETWEEN(1,2),RANDBETWEEN(1,4))))</f>
        <v>3</v>
      </c>
      <c r="H566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566" t="s">
        <v>138</v>
      </c>
      <c r="K566">
        <f>SUM(MID(Tabla142[[#This Row],[Duración]],1,2)*60,MID(Tabla142[[#This Row],[Duración]],6,2))</f>
        <v>30</v>
      </c>
      <c r="L566" s="4" t="s">
        <v>48</v>
      </c>
      <c r="M566" t="s">
        <v>239</v>
      </c>
      <c r="N566" t="s">
        <v>252</v>
      </c>
      <c r="O566" t="s">
        <v>390</v>
      </c>
      <c r="P566" t="s">
        <v>363</v>
      </c>
      <c r="Q566" s="20">
        <v>46032.649155092593</v>
      </c>
      <c r="R566" t="s">
        <v>18</v>
      </c>
      <c r="T566" t="s">
        <v>422</v>
      </c>
    </row>
    <row r="567" spans="1:20" ht="15" customHeight="1" x14ac:dyDescent="0.25">
      <c r="A567">
        <f t="shared" si="8"/>
        <v>11</v>
      </c>
      <c r="B567" t="s">
        <v>1199</v>
      </c>
      <c r="C567" t="s">
        <v>47</v>
      </c>
      <c r="D567">
        <v>106</v>
      </c>
      <c r="E5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67">
        <f ca="1">IF(Tabla142[[#This Row],[frecuencia_new]]="Diaria"," ",RANDBETWEEN(1,6))</f>
        <v>1</v>
      </c>
      <c r="G567">
        <f ca="1">IF(Tabla142[[#This Row],[frecuencia_new]]="Diaria","",IF(Tabla142[[#This Row],[frecuencia_new]]="Semanal","",IF(Tabla142[[#This Row],[frecuencia_new]]="Quincenal",RANDBETWEEN(1,2),RANDBETWEEN(1,4))))</f>
        <v>3</v>
      </c>
      <c r="H567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567" t="s">
        <v>140</v>
      </c>
      <c r="K567">
        <f>SUM(MID(Tabla142[[#This Row],[Duración]],1,2)*60,MID(Tabla142[[#This Row],[Duración]],6,2))</f>
        <v>30</v>
      </c>
      <c r="L567" s="4" t="s">
        <v>48</v>
      </c>
      <c r="M567" t="s">
        <v>239</v>
      </c>
      <c r="N567" t="s">
        <v>252</v>
      </c>
      <c r="O567" t="s">
        <v>390</v>
      </c>
      <c r="P567" t="s">
        <v>363</v>
      </c>
      <c r="Q567" s="20">
        <v>46032.649155092593</v>
      </c>
      <c r="R567" t="s">
        <v>18</v>
      </c>
      <c r="T567" t="s">
        <v>422</v>
      </c>
    </row>
    <row r="568" spans="1:20" ht="15" customHeight="1" x14ac:dyDescent="0.25">
      <c r="A568">
        <f t="shared" si="8"/>
        <v>11</v>
      </c>
      <c r="B568" t="s">
        <v>1200</v>
      </c>
      <c r="C568" t="s">
        <v>47</v>
      </c>
      <c r="D568">
        <v>106</v>
      </c>
      <c r="E5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68">
        <f ca="1">IF(Tabla142[[#This Row],[frecuencia_new]]="Diaria"," ",RANDBETWEEN(1,6))</f>
        <v>6</v>
      </c>
      <c r="G568" t="str">
        <f ca="1">IF(Tabla142[[#This Row],[frecuencia_new]]="Diaria","",IF(Tabla142[[#This Row],[frecuencia_new]]="Semanal","",IF(Tabla142[[#This Row],[frecuencia_new]]="Quincenal",RANDBETWEEN(1,2),RANDBETWEEN(1,4))))</f>
        <v/>
      </c>
      <c r="H5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68" t="s">
        <v>141</v>
      </c>
      <c r="K568">
        <f>SUM(MID(Tabla142[[#This Row],[Duración]],1,2)*60,MID(Tabla142[[#This Row],[Duración]],6,2))</f>
        <v>5</v>
      </c>
      <c r="L568" s="4" t="s">
        <v>50</v>
      </c>
      <c r="M568" t="s">
        <v>239</v>
      </c>
      <c r="N568" t="s">
        <v>252</v>
      </c>
      <c r="O568" t="s">
        <v>390</v>
      </c>
      <c r="P568" t="s">
        <v>363</v>
      </c>
      <c r="Q568" s="20">
        <v>46032.649155092593</v>
      </c>
      <c r="R568" t="s">
        <v>8</v>
      </c>
      <c r="T568" t="s">
        <v>422</v>
      </c>
    </row>
    <row r="569" spans="1:20" ht="15" customHeight="1" x14ac:dyDescent="0.25">
      <c r="A569">
        <f t="shared" si="8"/>
        <v>11</v>
      </c>
      <c r="B569" t="s">
        <v>1201</v>
      </c>
      <c r="C569" t="s">
        <v>47</v>
      </c>
      <c r="D569">
        <v>106</v>
      </c>
      <c r="E5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69">
        <f ca="1">IF(Tabla142[[#This Row],[frecuencia_new]]="Diaria"," ",RANDBETWEEN(1,6))</f>
        <v>2</v>
      </c>
      <c r="G569">
        <f ca="1">IF(Tabla142[[#This Row],[frecuencia_new]]="Diaria","",IF(Tabla142[[#This Row],[frecuencia_new]]="Semanal","",IF(Tabla142[[#This Row],[frecuencia_new]]="Quincenal",RANDBETWEEN(1,2),RANDBETWEEN(1,4))))</f>
        <v>3</v>
      </c>
      <c r="H569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569" t="s">
        <v>142</v>
      </c>
      <c r="K569">
        <f>SUM(MID(Tabla142[[#This Row],[Duración]],1,2)*60,MID(Tabla142[[#This Row],[Duración]],6,2))</f>
        <v>30</v>
      </c>
      <c r="L569" s="4" t="s">
        <v>48</v>
      </c>
      <c r="M569" t="s">
        <v>239</v>
      </c>
      <c r="N569" t="s">
        <v>252</v>
      </c>
      <c r="O569" t="s">
        <v>390</v>
      </c>
      <c r="P569" t="s">
        <v>363</v>
      </c>
      <c r="Q569" s="20">
        <v>46032.649155092593</v>
      </c>
      <c r="R569" t="s">
        <v>18</v>
      </c>
      <c r="T569" t="s">
        <v>422</v>
      </c>
    </row>
    <row r="570" spans="1:20" ht="15" customHeight="1" x14ac:dyDescent="0.25">
      <c r="A570">
        <f t="shared" si="8"/>
        <v>11</v>
      </c>
      <c r="B570" t="s">
        <v>1202</v>
      </c>
      <c r="C570" t="s">
        <v>47</v>
      </c>
      <c r="D570">
        <v>106</v>
      </c>
      <c r="E5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70">
        <f ca="1">IF(Tabla142[[#This Row],[frecuencia_new]]="Diaria"," ",RANDBETWEEN(1,6))</f>
        <v>1</v>
      </c>
      <c r="G570">
        <f ca="1">IF(Tabla142[[#This Row],[frecuencia_new]]="Diaria","",IF(Tabla142[[#This Row],[frecuencia_new]]="Semanal","",IF(Tabla142[[#This Row],[frecuencia_new]]="Quincenal",RANDBETWEEN(1,2),RANDBETWEEN(1,4))))</f>
        <v>2</v>
      </c>
      <c r="H5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0" t="s">
        <v>143</v>
      </c>
      <c r="K570">
        <f>SUM(MID(Tabla142[[#This Row],[Duración]],1,2)*60,MID(Tabla142[[#This Row],[Duración]],6,2))</f>
        <v>10</v>
      </c>
      <c r="L570" s="4" t="s">
        <v>71</v>
      </c>
      <c r="M570" t="s">
        <v>239</v>
      </c>
      <c r="N570" t="s">
        <v>252</v>
      </c>
      <c r="O570" t="s">
        <v>390</v>
      </c>
      <c r="P570" t="s">
        <v>363</v>
      </c>
      <c r="Q570" s="20">
        <v>46032.649155092593</v>
      </c>
      <c r="R570" t="s">
        <v>7</v>
      </c>
      <c r="T570" t="s">
        <v>422</v>
      </c>
    </row>
    <row r="571" spans="1:20" ht="15" customHeight="1" x14ac:dyDescent="0.25">
      <c r="A571">
        <f t="shared" si="8"/>
        <v>11</v>
      </c>
      <c r="B571" t="s">
        <v>1203</v>
      </c>
      <c r="C571" t="s">
        <v>47</v>
      </c>
      <c r="D571">
        <v>106</v>
      </c>
      <c r="E5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71">
        <f ca="1">IF(Tabla142[[#This Row],[frecuencia_new]]="Diaria"," ",RANDBETWEEN(1,6))</f>
        <v>2</v>
      </c>
      <c r="G571">
        <f ca="1">IF(Tabla142[[#This Row],[frecuencia_new]]="Diaria","",IF(Tabla142[[#This Row],[frecuencia_new]]="Semanal","",IF(Tabla142[[#This Row],[frecuencia_new]]="Quincenal",RANDBETWEEN(1,2),RANDBETWEEN(1,4))))</f>
        <v>4</v>
      </c>
      <c r="H571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571" t="s">
        <v>145</v>
      </c>
      <c r="K571">
        <f>SUM(MID(Tabla142[[#This Row],[Duración]],1,2)*60,MID(Tabla142[[#This Row],[Duración]],6,2))</f>
        <v>30</v>
      </c>
      <c r="L571" s="4" t="s">
        <v>48</v>
      </c>
      <c r="M571" t="s">
        <v>239</v>
      </c>
      <c r="N571" t="s">
        <v>252</v>
      </c>
      <c r="O571" t="s">
        <v>390</v>
      </c>
      <c r="P571" t="s">
        <v>363</v>
      </c>
      <c r="Q571" s="20">
        <v>46032.649155092593</v>
      </c>
      <c r="R571" t="s">
        <v>18</v>
      </c>
      <c r="T571" t="s">
        <v>422</v>
      </c>
    </row>
    <row r="572" spans="1:20" ht="15" customHeight="1" x14ac:dyDescent="0.25">
      <c r="A572">
        <f t="shared" si="8"/>
        <v>11</v>
      </c>
      <c r="B572" t="s">
        <v>1204</v>
      </c>
      <c r="C572" t="s">
        <v>47</v>
      </c>
      <c r="D572">
        <v>106</v>
      </c>
      <c r="E5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72">
        <f ca="1">IF(Tabla142[[#This Row],[frecuencia_new]]="Diaria"," ",RANDBETWEEN(1,6))</f>
        <v>3</v>
      </c>
      <c r="G572">
        <f ca="1">IF(Tabla142[[#This Row],[frecuencia_new]]="Diaria","",IF(Tabla142[[#This Row],[frecuencia_new]]="Semanal","",IF(Tabla142[[#This Row],[frecuencia_new]]="Quincenal",RANDBETWEEN(1,2),RANDBETWEEN(1,4))))</f>
        <v>3</v>
      </c>
      <c r="H5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2" t="s">
        <v>146</v>
      </c>
      <c r="K572">
        <f>SUM(MID(Tabla142[[#This Row],[Duración]],1,2)*60,MID(Tabla142[[#This Row],[Duración]],6,2))</f>
        <v>20</v>
      </c>
      <c r="L572" s="4" t="s">
        <v>82</v>
      </c>
      <c r="M572" t="s">
        <v>239</v>
      </c>
      <c r="N572" t="s">
        <v>252</v>
      </c>
      <c r="O572" t="s">
        <v>390</v>
      </c>
      <c r="P572" t="s">
        <v>363</v>
      </c>
      <c r="Q572" s="20">
        <v>46032.649155092593</v>
      </c>
      <c r="R572" t="s">
        <v>7</v>
      </c>
      <c r="T572" t="s">
        <v>422</v>
      </c>
    </row>
    <row r="573" spans="1:20" ht="15" customHeight="1" x14ac:dyDescent="0.25">
      <c r="A573">
        <f t="shared" si="8"/>
        <v>11</v>
      </c>
      <c r="B573" t="s">
        <v>1205</v>
      </c>
      <c r="C573" t="s">
        <v>47</v>
      </c>
      <c r="D573">
        <v>106</v>
      </c>
      <c r="E5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73">
        <f ca="1">IF(Tabla142[[#This Row],[frecuencia_new]]="Diaria"," ",RANDBETWEEN(1,6))</f>
        <v>1</v>
      </c>
      <c r="G573">
        <f ca="1">IF(Tabla142[[#This Row],[frecuencia_new]]="Diaria","",IF(Tabla142[[#This Row],[frecuencia_new]]="Semanal","",IF(Tabla142[[#This Row],[frecuencia_new]]="Quincenal",RANDBETWEEN(1,2),RANDBETWEEN(1,4))))</f>
        <v>2</v>
      </c>
      <c r="H57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3" t="s">
        <v>148</v>
      </c>
      <c r="K573">
        <f>SUM(MID(Tabla142[[#This Row],[Duración]],1,2)*60,MID(Tabla142[[#This Row],[Duración]],6,2))</f>
        <v>30</v>
      </c>
      <c r="L573" s="4" t="s">
        <v>48</v>
      </c>
      <c r="M573" t="s">
        <v>239</v>
      </c>
      <c r="N573" t="s">
        <v>252</v>
      </c>
      <c r="O573" t="s">
        <v>390</v>
      </c>
      <c r="P573" t="s">
        <v>363</v>
      </c>
      <c r="Q573" s="20">
        <v>46032.649155092593</v>
      </c>
      <c r="R573" t="s">
        <v>7</v>
      </c>
      <c r="T573" t="s">
        <v>422</v>
      </c>
    </row>
    <row r="574" spans="1:20" ht="15" customHeight="1" x14ac:dyDescent="0.25">
      <c r="A574">
        <f t="shared" si="8"/>
        <v>11</v>
      </c>
      <c r="B574" t="s">
        <v>1206</v>
      </c>
      <c r="C574" t="s">
        <v>47</v>
      </c>
      <c r="D574">
        <v>106</v>
      </c>
      <c r="E5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74">
        <f ca="1">IF(Tabla142[[#This Row],[frecuencia_new]]="Diaria"," ",RANDBETWEEN(1,6))</f>
        <v>4</v>
      </c>
      <c r="G574" t="str">
        <f ca="1">IF(Tabla142[[#This Row],[frecuencia_new]]="Diaria","",IF(Tabla142[[#This Row],[frecuencia_new]]="Semanal","",IF(Tabla142[[#This Row],[frecuencia_new]]="Quincenal",RANDBETWEEN(1,2),RANDBETWEEN(1,4))))</f>
        <v/>
      </c>
      <c r="H57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4" t="s">
        <v>149</v>
      </c>
      <c r="K574">
        <f>SUM(MID(Tabla142[[#This Row],[Duración]],1,2)*60,MID(Tabla142[[#This Row],[Duración]],6,2))</f>
        <v>3</v>
      </c>
      <c r="L574" s="4" t="s">
        <v>150</v>
      </c>
      <c r="M574" t="s">
        <v>239</v>
      </c>
      <c r="N574" t="s">
        <v>252</v>
      </c>
      <c r="O574" t="s">
        <v>390</v>
      </c>
      <c r="P574" t="s">
        <v>363</v>
      </c>
      <c r="Q574" s="20">
        <v>46032.649155092593</v>
      </c>
      <c r="R574" t="s">
        <v>8</v>
      </c>
      <c r="T574" t="s">
        <v>422</v>
      </c>
    </row>
    <row r="575" spans="1:20" ht="15" customHeight="1" x14ac:dyDescent="0.25">
      <c r="A575">
        <f t="shared" si="8"/>
        <v>11</v>
      </c>
      <c r="B575" t="s">
        <v>1207</v>
      </c>
      <c r="C575" t="s">
        <v>47</v>
      </c>
      <c r="D575">
        <v>106</v>
      </c>
      <c r="E5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75">
        <f ca="1">IF(Tabla142[[#This Row],[frecuencia_new]]="Diaria"," ",RANDBETWEEN(1,6))</f>
        <v>3</v>
      </c>
      <c r="G575">
        <f ca="1">IF(Tabla142[[#This Row],[frecuencia_new]]="Diaria","",IF(Tabla142[[#This Row],[frecuencia_new]]="Semanal","",IF(Tabla142[[#This Row],[frecuencia_new]]="Quincenal",RANDBETWEEN(1,2),RANDBETWEEN(1,4))))</f>
        <v>4</v>
      </c>
      <c r="H575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575" t="s">
        <v>151</v>
      </c>
      <c r="K575">
        <f>SUM(MID(Tabla142[[#This Row],[Duración]],1,2)*60,MID(Tabla142[[#This Row],[Duración]],6,2))</f>
        <v>60</v>
      </c>
      <c r="L575" s="4" t="s">
        <v>58</v>
      </c>
      <c r="M575" t="s">
        <v>239</v>
      </c>
      <c r="N575" t="s">
        <v>252</v>
      </c>
      <c r="O575" t="s">
        <v>390</v>
      </c>
      <c r="P575" t="s">
        <v>363</v>
      </c>
      <c r="Q575" s="20">
        <v>46032.649155092593</v>
      </c>
      <c r="R575" t="s">
        <v>18</v>
      </c>
      <c r="T575" t="s">
        <v>422</v>
      </c>
    </row>
    <row r="576" spans="1:20" ht="15" customHeight="1" x14ac:dyDescent="0.25">
      <c r="A576">
        <f t="shared" si="8"/>
        <v>11</v>
      </c>
      <c r="B576" t="s">
        <v>1208</v>
      </c>
      <c r="C576" t="s">
        <v>47</v>
      </c>
      <c r="D576">
        <v>106</v>
      </c>
      <c r="E5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76">
        <f ca="1">IF(Tabla142[[#This Row],[frecuencia_new]]="Diaria"," ",RANDBETWEEN(1,6))</f>
        <v>4</v>
      </c>
      <c r="G576" t="str">
        <f ca="1">IF(Tabla142[[#This Row],[frecuencia_new]]="Diaria","",IF(Tabla142[[#This Row],[frecuencia_new]]="Semanal","",IF(Tabla142[[#This Row],[frecuencia_new]]="Quincenal",RANDBETWEEN(1,2),RANDBETWEEN(1,4))))</f>
        <v/>
      </c>
      <c r="H5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6" t="s">
        <v>152</v>
      </c>
      <c r="K576">
        <f>SUM(MID(Tabla142[[#This Row],[Duración]],1,2)*60,MID(Tabla142[[#This Row],[Duración]],6,2))</f>
        <v>3</v>
      </c>
      <c r="L576" s="4" t="s">
        <v>150</v>
      </c>
      <c r="M576" t="s">
        <v>239</v>
      </c>
      <c r="N576" t="s">
        <v>252</v>
      </c>
      <c r="O576" t="s">
        <v>390</v>
      </c>
      <c r="P576" t="s">
        <v>363</v>
      </c>
      <c r="Q576" s="20">
        <v>46032.649155092593</v>
      </c>
      <c r="R576" t="s">
        <v>8</v>
      </c>
      <c r="T576" t="s">
        <v>422</v>
      </c>
    </row>
    <row r="577" spans="1:20" ht="15" customHeight="1" x14ac:dyDescent="0.25">
      <c r="A577">
        <f t="shared" si="8"/>
        <v>11</v>
      </c>
      <c r="B577" t="s">
        <v>1209</v>
      </c>
      <c r="C577" t="s">
        <v>47</v>
      </c>
      <c r="D577">
        <v>106</v>
      </c>
      <c r="E5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77">
        <f ca="1">IF(Tabla142[[#This Row],[frecuencia_new]]="Diaria"," ",RANDBETWEEN(1,6))</f>
        <v>5</v>
      </c>
      <c r="G577" t="str">
        <f ca="1">IF(Tabla142[[#This Row],[frecuencia_new]]="Diaria","",IF(Tabla142[[#This Row],[frecuencia_new]]="Semanal","",IF(Tabla142[[#This Row],[frecuencia_new]]="Quincenal",RANDBETWEEN(1,2),RANDBETWEEN(1,4))))</f>
        <v/>
      </c>
      <c r="H5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7" t="s">
        <v>153</v>
      </c>
      <c r="K577">
        <f>SUM(MID(Tabla142[[#This Row],[Duración]],1,2)*60,MID(Tabla142[[#This Row],[Duración]],6,2))</f>
        <v>3</v>
      </c>
      <c r="L577" s="4" t="s">
        <v>150</v>
      </c>
      <c r="M577" t="s">
        <v>239</v>
      </c>
      <c r="N577" t="s">
        <v>252</v>
      </c>
      <c r="O577" t="s">
        <v>390</v>
      </c>
      <c r="P577" t="s">
        <v>363</v>
      </c>
      <c r="Q577" s="20">
        <v>46032.649155092593</v>
      </c>
      <c r="R577" t="s">
        <v>8</v>
      </c>
      <c r="T577" t="s">
        <v>422</v>
      </c>
    </row>
    <row r="578" spans="1:20" ht="15" customHeight="1" x14ac:dyDescent="0.25">
      <c r="A578">
        <f t="shared" ref="A578:A641" si="9">VLOOKUP(T578,$V$2:$W$222,2,FALSE)</f>
        <v>11</v>
      </c>
      <c r="B578" t="s">
        <v>1210</v>
      </c>
      <c r="C578" t="s">
        <v>47</v>
      </c>
      <c r="D578">
        <v>106</v>
      </c>
      <c r="E5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78">
        <f ca="1">IF(Tabla142[[#This Row],[frecuencia_new]]="Diaria"," ",RANDBETWEEN(1,6))</f>
        <v>2</v>
      </c>
      <c r="G578" t="str">
        <f ca="1">IF(Tabla142[[#This Row],[frecuencia_new]]="Diaria","",IF(Tabla142[[#This Row],[frecuencia_new]]="Semanal","",IF(Tabla142[[#This Row],[frecuencia_new]]="Quincenal",RANDBETWEEN(1,2),RANDBETWEEN(1,4))))</f>
        <v/>
      </c>
      <c r="H5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8" t="s">
        <v>154</v>
      </c>
      <c r="K578">
        <f>SUM(MID(Tabla142[[#This Row],[Duración]],1,2)*60,MID(Tabla142[[#This Row],[Duración]],6,2))</f>
        <v>3</v>
      </c>
      <c r="L578" s="4" t="s">
        <v>150</v>
      </c>
      <c r="M578" t="s">
        <v>239</v>
      </c>
      <c r="N578" t="s">
        <v>252</v>
      </c>
      <c r="O578" t="s">
        <v>390</v>
      </c>
      <c r="P578" t="s">
        <v>363</v>
      </c>
      <c r="Q578" s="20">
        <v>46032.649155092593</v>
      </c>
      <c r="R578" t="s">
        <v>8</v>
      </c>
      <c r="T578" t="s">
        <v>422</v>
      </c>
    </row>
    <row r="579" spans="1:20" ht="15" customHeight="1" x14ac:dyDescent="0.25">
      <c r="A579">
        <f t="shared" si="9"/>
        <v>11</v>
      </c>
      <c r="B579" t="s">
        <v>1211</v>
      </c>
      <c r="C579" t="s">
        <v>47</v>
      </c>
      <c r="D579">
        <v>106</v>
      </c>
      <c r="E5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79">
        <f ca="1">IF(Tabla142[[#This Row],[frecuencia_new]]="Diaria"," ",RANDBETWEEN(1,6))</f>
        <v>3</v>
      </c>
      <c r="G579" t="str">
        <f ca="1">IF(Tabla142[[#This Row],[frecuencia_new]]="Diaria","",IF(Tabla142[[#This Row],[frecuencia_new]]="Semanal","",IF(Tabla142[[#This Row],[frecuencia_new]]="Quincenal",RANDBETWEEN(1,2),RANDBETWEEN(1,4))))</f>
        <v/>
      </c>
      <c r="H5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79" t="s">
        <v>155</v>
      </c>
      <c r="K579">
        <f>SUM(MID(Tabla142[[#This Row],[Duración]],1,2)*60,MID(Tabla142[[#This Row],[Duración]],6,2))</f>
        <v>3</v>
      </c>
      <c r="L579" s="4" t="s">
        <v>150</v>
      </c>
      <c r="M579" t="s">
        <v>239</v>
      </c>
      <c r="N579" t="s">
        <v>252</v>
      </c>
      <c r="O579" t="s">
        <v>390</v>
      </c>
      <c r="P579" t="s">
        <v>363</v>
      </c>
      <c r="Q579" s="20">
        <v>46032.649155092593</v>
      </c>
      <c r="R579" t="s">
        <v>8</v>
      </c>
      <c r="T579" t="s">
        <v>422</v>
      </c>
    </row>
    <row r="580" spans="1:20" ht="15" customHeight="1" x14ac:dyDescent="0.25">
      <c r="A580">
        <f t="shared" si="9"/>
        <v>11</v>
      </c>
      <c r="B580" t="s">
        <v>1212</v>
      </c>
      <c r="C580" t="s">
        <v>47</v>
      </c>
      <c r="D580">
        <v>106</v>
      </c>
      <c r="E5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80">
        <f ca="1">IF(Tabla142[[#This Row],[frecuencia_new]]="Diaria"," ",RANDBETWEEN(1,6))</f>
        <v>3</v>
      </c>
      <c r="G580" t="str">
        <f ca="1">IF(Tabla142[[#This Row],[frecuencia_new]]="Diaria","",IF(Tabla142[[#This Row],[frecuencia_new]]="Semanal","",IF(Tabla142[[#This Row],[frecuencia_new]]="Quincenal",RANDBETWEEN(1,2),RANDBETWEEN(1,4))))</f>
        <v/>
      </c>
      <c r="H5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80" t="s">
        <v>156</v>
      </c>
      <c r="K580">
        <f>SUM(MID(Tabla142[[#This Row],[Duración]],1,2)*60,MID(Tabla142[[#This Row],[Duración]],6,2))</f>
        <v>3</v>
      </c>
      <c r="L580" s="4" t="s">
        <v>150</v>
      </c>
      <c r="M580" t="s">
        <v>239</v>
      </c>
      <c r="N580" t="s">
        <v>252</v>
      </c>
      <c r="O580" t="s">
        <v>390</v>
      </c>
      <c r="P580" t="s">
        <v>363</v>
      </c>
      <c r="Q580" s="20">
        <v>46032.649155092593</v>
      </c>
      <c r="R580" t="s">
        <v>8</v>
      </c>
      <c r="T580" t="s">
        <v>422</v>
      </c>
    </row>
    <row r="581" spans="1:20" x14ac:dyDescent="0.25">
      <c r="A581">
        <f t="shared" si="9"/>
        <v>11</v>
      </c>
      <c r="B581" t="s">
        <v>1213</v>
      </c>
      <c r="C581" t="s">
        <v>47</v>
      </c>
      <c r="D581">
        <v>106</v>
      </c>
      <c r="E5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581">
        <f ca="1">IF(Tabla142[[#This Row],[frecuencia_new]]="Diaria"," ",RANDBETWEEN(1,6))</f>
        <v>3</v>
      </c>
      <c r="G581">
        <f ca="1">IF(Tabla142[[#This Row],[frecuencia_new]]="Diaria","",IF(Tabla142[[#This Row],[frecuencia_new]]="Semanal","",IF(Tabla142[[#This Row],[frecuencia_new]]="Quincenal",RANDBETWEEN(1,2),RANDBETWEEN(1,4))))</f>
        <v>2</v>
      </c>
      <c r="H58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581" t="s">
        <v>157</v>
      </c>
      <c r="K581">
        <f>SUM(MID(Tabla142[[#This Row],[Duración]],1,2)*60,MID(Tabla142[[#This Row],[Duración]],6,2))</f>
        <v>60</v>
      </c>
      <c r="L581" s="4" t="s">
        <v>58</v>
      </c>
      <c r="M581" t="s">
        <v>239</v>
      </c>
      <c r="N581" t="s">
        <v>252</v>
      </c>
      <c r="O581" t="s">
        <v>390</v>
      </c>
      <c r="P581" t="s">
        <v>363</v>
      </c>
      <c r="Q581" s="20">
        <v>46032.649155092593</v>
      </c>
      <c r="R581" t="s">
        <v>20</v>
      </c>
      <c r="T581" t="s">
        <v>422</v>
      </c>
    </row>
    <row r="582" spans="1:20" ht="15" customHeight="1" x14ac:dyDescent="0.25">
      <c r="A582">
        <f t="shared" si="9"/>
        <v>11</v>
      </c>
      <c r="B582" t="s">
        <v>1214</v>
      </c>
      <c r="C582" t="s">
        <v>47</v>
      </c>
      <c r="D582">
        <v>106</v>
      </c>
      <c r="E5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582">
        <f ca="1">IF(Tabla142[[#This Row],[frecuencia_new]]="Diaria"," ",RANDBETWEEN(1,6))</f>
        <v>1</v>
      </c>
      <c r="G582">
        <f ca="1">IF(Tabla142[[#This Row],[frecuencia_new]]="Diaria","",IF(Tabla142[[#This Row],[frecuencia_new]]="Semanal","",IF(Tabla142[[#This Row],[frecuencia_new]]="Quincenal",RANDBETWEEN(1,2),RANDBETWEEN(1,4))))</f>
        <v>2</v>
      </c>
      <c r="H582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582" t="s">
        <v>158</v>
      </c>
      <c r="K582">
        <f>SUM(MID(Tabla142[[#This Row],[Duración]],1,2)*60,MID(Tabla142[[#This Row],[Duración]],6,2))</f>
        <v>60</v>
      </c>
      <c r="L582" s="4" t="s">
        <v>58</v>
      </c>
      <c r="M582" t="s">
        <v>239</v>
      </c>
      <c r="N582" t="s">
        <v>252</v>
      </c>
      <c r="O582" t="s">
        <v>390</v>
      </c>
      <c r="P582" t="s">
        <v>363</v>
      </c>
      <c r="Q582" s="20">
        <v>46032.649155092593</v>
      </c>
      <c r="R582" t="s">
        <v>18</v>
      </c>
      <c r="T582" t="s">
        <v>422</v>
      </c>
    </row>
    <row r="583" spans="1:20" ht="15" customHeight="1" x14ac:dyDescent="0.25">
      <c r="A583">
        <f t="shared" si="9"/>
        <v>11</v>
      </c>
      <c r="B583" t="s">
        <v>1215</v>
      </c>
      <c r="C583" t="s">
        <v>47</v>
      </c>
      <c r="D583">
        <v>106</v>
      </c>
      <c r="E5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83">
        <f ca="1">IF(Tabla142[[#This Row],[frecuencia_new]]="Diaria"," ",RANDBETWEEN(1,6))</f>
        <v>4</v>
      </c>
      <c r="G583">
        <f ca="1">IF(Tabla142[[#This Row],[frecuencia_new]]="Diaria","",IF(Tabla142[[#This Row],[frecuencia_new]]="Semanal","",IF(Tabla142[[#This Row],[frecuencia_new]]="Quincenal",RANDBETWEEN(1,2),RANDBETWEEN(1,4))))</f>
        <v>2</v>
      </c>
      <c r="H58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583" t="s">
        <v>159</v>
      </c>
      <c r="K583">
        <f>SUM(MID(Tabla142[[#This Row],[Duración]],1,2)*60,MID(Tabla142[[#This Row],[Duración]],6,2))</f>
        <v>90</v>
      </c>
      <c r="L583" s="4" t="s">
        <v>96</v>
      </c>
      <c r="M583" t="s">
        <v>239</v>
      </c>
      <c r="N583" t="s">
        <v>252</v>
      </c>
      <c r="O583" t="s">
        <v>390</v>
      </c>
      <c r="P583" t="s">
        <v>363</v>
      </c>
      <c r="Q583" s="20">
        <v>46032.649155092593</v>
      </c>
      <c r="R583" t="s">
        <v>5</v>
      </c>
      <c r="T583" t="s">
        <v>422</v>
      </c>
    </row>
    <row r="584" spans="1:20" ht="15" customHeight="1" x14ac:dyDescent="0.25">
      <c r="A584">
        <f t="shared" si="9"/>
        <v>11</v>
      </c>
      <c r="B584" t="s">
        <v>1216</v>
      </c>
      <c r="C584" t="s">
        <v>47</v>
      </c>
      <c r="D584">
        <v>106</v>
      </c>
      <c r="E5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84">
        <f ca="1">IF(Tabla142[[#This Row],[frecuencia_new]]="Diaria"," ",RANDBETWEEN(1,6))</f>
        <v>6</v>
      </c>
      <c r="G584" t="str">
        <f ca="1">IF(Tabla142[[#This Row],[frecuencia_new]]="Diaria","",IF(Tabla142[[#This Row],[frecuencia_new]]="Semanal","",IF(Tabla142[[#This Row],[frecuencia_new]]="Quincenal",RANDBETWEEN(1,2),RANDBETWEEN(1,4))))</f>
        <v/>
      </c>
      <c r="H5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84" t="s">
        <v>57</v>
      </c>
      <c r="K584">
        <f>SUM(MID(Tabla142[[#This Row],[Duración]],1,2)*60,MID(Tabla142[[#This Row],[Duración]],6,2))</f>
        <v>10</v>
      </c>
      <c r="L584" s="4" t="s">
        <v>71</v>
      </c>
      <c r="M584" t="s">
        <v>239</v>
      </c>
      <c r="N584" t="s">
        <v>252</v>
      </c>
      <c r="O584" t="s">
        <v>390</v>
      </c>
      <c r="P584" t="s">
        <v>363</v>
      </c>
      <c r="Q584" s="20">
        <v>46032.649155092593</v>
      </c>
      <c r="R584" t="s">
        <v>8</v>
      </c>
      <c r="T584" t="s">
        <v>422</v>
      </c>
    </row>
    <row r="585" spans="1:20" ht="15" customHeight="1" x14ac:dyDescent="0.25">
      <c r="A585">
        <f t="shared" si="9"/>
        <v>11</v>
      </c>
      <c r="B585" t="s">
        <v>1217</v>
      </c>
      <c r="C585" t="s">
        <v>47</v>
      </c>
      <c r="D585">
        <v>106</v>
      </c>
      <c r="E5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85">
        <f ca="1">IF(Tabla142[[#This Row],[frecuencia_new]]="Diaria"," ",RANDBETWEEN(1,6))</f>
        <v>2</v>
      </c>
      <c r="G585">
        <f ca="1">IF(Tabla142[[#This Row],[frecuencia_new]]="Diaria","",IF(Tabla142[[#This Row],[frecuencia_new]]="Semanal","",IF(Tabla142[[#This Row],[frecuencia_new]]="Quincenal",RANDBETWEEN(1,2),RANDBETWEEN(1,4))))</f>
        <v>1</v>
      </c>
      <c r="H585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585" t="s">
        <v>160</v>
      </c>
      <c r="K585">
        <f>SUM(MID(Tabla142[[#This Row],[Duración]],1,2)*60,MID(Tabla142[[#This Row],[Duración]],6,2))</f>
        <v>30</v>
      </c>
      <c r="L585" s="4" t="s">
        <v>48</v>
      </c>
      <c r="M585" t="s">
        <v>239</v>
      </c>
      <c r="N585" t="s">
        <v>252</v>
      </c>
      <c r="O585" t="s">
        <v>390</v>
      </c>
      <c r="P585" t="s">
        <v>363</v>
      </c>
      <c r="Q585" s="20">
        <v>46032.649155092593</v>
      </c>
      <c r="R585" t="s">
        <v>5</v>
      </c>
      <c r="T585" t="s">
        <v>422</v>
      </c>
    </row>
    <row r="586" spans="1:20" ht="15" customHeight="1" x14ac:dyDescent="0.25">
      <c r="A586">
        <f t="shared" si="9"/>
        <v>45</v>
      </c>
      <c r="B586" t="s">
        <v>1218</v>
      </c>
      <c r="C586" t="s">
        <v>47</v>
      </c>
      <c r="D586">
        <v>106</v>
      </c>
      <c r="E5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86">
        <f ca="1">IF(Tabla142[[#This Row],[frecuencia_new]]="Diaria"," ",RANDBETWEEN(1,6))</f>
        <v>6</v>
      </c>
      <c r="G586">
        <f ca="1">IF(Tabla142[[#This Row],[frecuencia_new]]="Diaria","",IF(Tabla142[[#This Row],[frecuencia_new]]="Semanal","",IF(Tabla142[[#This Row],[frecuencia_new]]="Quincenal",RANDBETWEEN(1,2),RANDBETWEEN(1,4))))</f>
        <v>3</v>
      </c>
      <c r="H586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586" t="s">
        <v>116</v>
      </c>
      <c r="K586">
        <f>SUM(MID(Tabla142[[#This Row],[Duración]],1,2)*60,MID(Tabla142[[#This Row],[Duración]],6,2))</f>
        <v>60</v>
      </c>
      <c r="L586" s="4" t="s">
        <v>58</v>
      </c>
      <c r="M586" t="s">
        <v>239</v>
      </c>
      <c r="N586" t="s">
        <v>252</v>
      </c>
      <c r="O586" t="s">
        <v>384</v>
      </c>
      <c r="P586" t="s">
        <v>360</v>
      </c>
      <c r="Q586" s="20">
        <v>46032.649155092593</v>
      </c>
      <c r="R586" t="s">
        <v>5</v>
      </c>
      <c r="T586" t="s">
        <v>456</v>
      </c>
    </row>
    <row r="587" spans="1:20" ht="15" customHeight="1" x14ac:dyDescent="0.25">
      <c r="A587">
        <f t="shared" si="9"/>
        <v>45</v>
      </c>
      <c r="B587" t="s">
        <v>1219</v>
      </c>
      <c r="C587" t="s">
        <v>47</v>
      </c>
      <c r="D587">
        <v>106</v>
      </c>
      <c r="E5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87">
        <f ca="1">IF(Tabla142[[#This Row],[frecuencia_new]]="Diaria"," ",RANDBETWEEN(1,6))</f>
        <v>4</v>
      </c>
      <c r="G587">
        <f ca="1">IF(Tabla142[[#This Row],[frecuencia_new]]="Diaria","",IF(Tabla142[[#This Row],[frecuencia_new]]="Semanal","",IF(Tabla142[[#This Row],[frecuencia_new]]="Quincenal",RANDBETWEEN(1,2),RANDBETWEEN(1,4))))</f>
        <v>3</v>
      </c>
      <c r="H587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587" t="s">
        <v>46</v>
      </c>
      <c r="K587">
        <f>SUM(MID(Tabla142[[#This Row],[Duración]],1,2)*60,MID(Tabla142[[#This Row],[Duración]],6,2))</f>
        <v>90</v>
      </c>
      <c r="L587" s="4" t="s">
        <v>96</v>
      </c>
      <c r="M587" t="s">
        <v>239</v>
      </c>
      <c r="N587" t="s">
        <v>252</v>
      </c>
      <c r="O587" t="s">
        <v>384</v>
      </c>
      <c r="P587" t="s">
        <v>360</v>
      </c>
      <c r="Q587" s="20">
        <v>46032.649155092593</v>
      </c>
      <c r="R587" t="s">
        <v>5</v>
      </c>
      <c r="T587" t="s">
        <v>456</v>
      </c>
    </row>
    <row r="588" spans="1:20" ht="15" customHeight="1" x14ac:dyDescent="0.25">
      <c r="A588">
        <f t="shared" si="9"/>
        <v>45</v>
      </c>
      <c r="B588" t="s">
        <v>1220</v>
      </c>
      <c r="C588" t="s">
        <v>47</v>
      </c>
      <c r="D588">
        <v>106</v>
      </c>
      <c r="E5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88">
        <f ca="1">IF(Tabla142[[#This Row],[frecuencia_new]]="Diaria"," ",RANDBETWEEN(1,6))</f>
        <v>3</v>
      </c>
      <c r="G588">
        <f ca="1">IF(Tabla142[[#This Row],[frecuencia_new]]="Diaria","",IF(Tabla142[[#This Row],[frecuencia_new]]="Semanal","",IF(Tabla142[[#This Row],[frecuencia_new]]="Quincenal",RANDBETWEEN(1,2),RANDBETWEEN(1,4))))</f>
        <v>4</v>
      </c>
      <c r="H588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588" t="s">
        <v>53</v>
      </c>
      <c r="K588">
        <f>SUM(MID(Tabla142[[#This Row],[Duración]],1,2)*60,MID(Tabla142[[#This Row],[Duración]],6,2))</f>
        <v>90</v>
      </c>
      <c r="L588" s="4" t="s">
        <v>96</v>
      </c>
      <c r="M588" t="s">
        <v>239</v>
      </c>
      <c r="N588" t="s">
        <v>252</v>
      </c>
      <c r="O588" t="s">
        <v>384</v>
      </c>
      <c r="P588" t="s">
        <v>360</v>
      </c>
      <c r="Q588" s="20">
        <v>46032.649155092593</v>
      </c>
      <c r="R588" t="s">
        <v>5</v>
      </c>
      <c r="T588" t="s">
        <v>456</v>
      </c>
    </row>
    <row r="589" spans="1:20" ht="15" customHeight="1" x14ac:dyDescent="0.25">
      <c r="A589">
        <f t="shared" si="9"/>
        <v>45</v>
      </c>
      <c r="B589" t="s">
        <v>1221</v>
      </c>
      <c r="C589" t="s">
        <v>47</v>
      </c>
      <c r="D589">
        <v>106</v>
      </c>
      <c r="E5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89">
        <f ca="1">IF(Tabla142[[#This Row],[frecuencia_new]]="Diaria"," ",RANDBETWEEN(1,6))</f>
        <v>6</v>
      </c>
      <c r="G589">
        <f ca="1">IF(Tabla142[[#This Row],[frecuencia_new]]="Diaria","",IF(Tabla142[[#This Row],[frecuencia_new]]="Semanal","",IF(Tabla142[[#This Row],[frecuencia_new]]="Quincenal",RANDBETWEEN(1,2),RANDBETWEEN(1,4))))</f>
        <v>3</v>
      </c>
      <c r="H589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589" t="s">
        <v>147</v>
      </c>
      <c r="K589">
        <f>SUM(MID(Tabla142[[#This Row],[Duración]],1,2)*60,MID(Tabla142[[#This Row],[Duración]],6,2))</f>
        <v>90</v>
      </c>
      <c r="L589" s="4" t="s">
        <v>96</v>
      </c>
      <c r="M589" t="s">
        <v>239</v>
      </c>
      <c r="N589" t="s">
        <v>252</v>
      </c>
      <c r="O589" t="s">
        <v>384</v>
      </c>
      <c r="P589" t="s">
        <v>360</v>
      </c>
      <c r="Q589" s="20">
        <v>46032.649155092593</v>
      </c>
      <c r="R589" t="s">
        <v>5</v>
      </c>
      <c r="T589" t="s">
        <v>456</v>
      </c>
    </row>
    <row r="590" spans="1:20" ht="15" customHeight="1" x14ac:dyDescent="0.25">
      <c r="A590">
        <f t="shared" si="9"/>
        <v>45</v>
      </c>
      <c r="B590" t="s">
        <v>1222</v>
      </c>
      <c r="C590" t="s">
        <v>47</v>
      </c>
      <c r="D590">
        <v>106</v>
      </c>
      <c r="E5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590">
        <f ca="1">IF(Tabla142[[#This Row],[frecuencia_new]]="Diaria"," ",RANDBETWEEN(1,6))</f>
        <v>5</v>
      </c>
      <c r="G590">
        <f ca="1">IF(Tabla142[[#This Row],[frecuencia_new]]="Diaria","",IF(Tabla142[[#This Row],[frecuencia_new]]="Semanal","",IF(Tabla142[[#This Row],[frecuencia_new]]="Quincenal",RANDBETWEEN(1,2),RANDBETWEEN(1,4))))</f>
        <v>2</v>
      </c>
      <c r="H590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590" t="s">
        <v>64</v>
      </c>
      <c r="K590">
        <f>SUM(MID(Tabla142[[#This Row],[Duración]],1,2)*60,MID(Tabla142[[#This Row],[Duración]],6,2))</f>
        <v>90</v>
      </c>
      <c r="L590" s="4" t="s">
        <v>96</v>
      </c>
      <c r="M590" t="s">
        <v>239</v>
      </c>
      <c r="N590" t="s">
        <v>252</v>
      </c>
      <c r="O590" t="s">
        <v>384</v>
      </c>
      <c r="P590" t="s">
        <v>360</v>
      </c>
      <c r="Q590" s="20">
        <v>46032.649155092593</v>
      </c>
      <c r="R590" t="s">
        <v>5</v>
      </c>
      <c r="T590" t="s">
        <v>456</v>
      </c>
    </row>
    <row r="591" spans="1:20" ht="15" customHeight="1" x14ac:dyDescent="0.25">
      <c r="A591">
        <f t="shared" si="9"/>
        <v>207</v>
      </c>
      <c r="B591" t="s">
        <v>1223</v>
      </c>
      <c r="C591" s="18" t="s">
        <v>47</v>
      </c>
      <c r="D591">
        <v>106</v>
      </c>
      <c r="E5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91" t="str">
        <f ca="1">IF(Tabla142[[#This Row],[frecuencia_new]]="Diaria"," ",RANDBETWEEN(1,6))</f>
        <v xml:space="preserve"> </v>
      </c>
      <c r="G591" t="str">
        <f ca="1">IF(Tabla142[[#This Row],[frecuencia_new]]="Diaria","",IF(Tabla142[[#This Row],[frecuencia_new]]="Semanal","",IF(Tabla142[[#This Row],[frecuencia_new]]="Quincenal",RANDBETWEEN(1,2),RANDBETWEEN(1,4))))</f>
        <v/>
      </c>
      <c r="H5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1" t="s">
        <v>136</v>
      </c>
      <c r="K591">
        <f>SUM(MID(Tabla142[[#This Row],[Duración]],1,2)*60,MID(Tabla142[[#This Row],[Duración]],6,2))</f>
        <v>2</v>
      </c>
      <c r="L591" s="4" t="s">
        <v>60</v>
      </c>
      <c r="M591" s="18" t="s">
        <v>239</v>
      </c>
      <c r="N591" t="s">
        <v>252</v>
      </c>
      <c r="O591" t="s">
        <v>398</v>
      </c>
      <c r="P591" t="s">
        <v>361</v>
      </c>
      <c r="Q591" s="20">
        <v>46032.649155092593</v>
      </c>
      <c r="R591" t="s">
        <v>6</v>
      </c>
      <c r="T591" t="s">
        <v>618</v>
      </c>
    </row>
    <row r="592" spans="1:20" ht="15" customHeight="1" x14ac:dyDescent="0.25">
      <c r="A592">
        <f t="shared" si="9"/>
        <v>207</v>
      </c>
      <c r="B592" t="s">
        <v>1224</v>
      </c>
      <c r="C592" s="18" t="s">
        <v>47</v>
      </c>
      <c r="D592">
        <v>106</v>
      </c>
      <c r="E5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92" t="str">
        <f ca="1">IF(Tabla142[[#This Row],[frecuencia_new]]="Diaria"," ",RANDBETWEEN(1,6))</f>
        <v xml:space="preserve"> </v>
      </c>
      <c r="G592" t="str">
        <f ca="1">IF(Tabla142[[#This Row],[frecuencia_new]]="Diaria","",IF(Tabla142[[#This Row],[frecuencia_new]]="Semanal","",IF(Tabla142[[#This Row],[frecuencia_new]]="Quincenal",RANDBETWEEN(1,2),RANDBETWEEN(1,4))))</f>
        <v/>
      </c>
      <c r="H5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2" t="s">
        <v>139</v>
      </c>
      <c r="K592">
        <f>SUM(MID(Tabla142[[#This Row],[Duración]],1,2)*60,MID(Tabla142[[#This Row],[Duración]],6,2))</f>
        <v>2</v>
      </c>
      <c r="L592" s="4" t="s">
        <v>60</v>
      </c>
      <c r="M592" s="18" t="s">
        <v>239</v>
      </c>
      <c r="N592" t="s">
        <v>252</v>
      </c>
      <c r="O592" t="s">
        <v>398</v>
      </c>
      <c r="P592" t="s">
        <v>361</v>
      </c>
      <c r="Q592" s="20">
        <v>46032.649155092593</v>
      </c>
      <c r="R592" t="s">
        <v>6</v>
      </c>
      <c r="T592" t="s">
        <v>618</v>
      </c>
    </row>
    <row r="593" spans="1:20" ht="15" customHeight="1" x14ac:dyDescent="0.25">
      <c r="A593">
        <f t="shared" si="9"/>
        <v>207</v>
      </c>
      <c r="B593" t="s">
        <v>1225</v>
      </c>
      <c r="C593" s="18" t="s">
        <v>47</v>
      </c>
      <c r="D593">
        <v>106</v>
      </c>
      <c r="E5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593" t="str">
        <f ca="1">IF(Tabla142[[#This Row],[frecuencia_new]]="Diaria"," ",RANDBETWEEN(1,6))</f>
        <v xml:space="preserve"> </v>
      </c>
      <c r="G593" t="str">
        <f ca="1">IF(Tabla142[[#This Row],[frecuencia_new]]="Diaria","",IF(Tabla142[[#This Row],[frecuencia_new]]="Semanal","",IF(Tabla142[[#This Row],[frecuencia_new]]="Quincenal",RANDBETWEEN(1,2),RANDBETWEEN(1,4))))</f>
        <v/>
      </c>
      <c r="H5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3" t="s">
        <v>372</v>
      </c>
      <c r="K593">
        <f>SUM(MID(Tabla142[[#This Row],[Duración]],1,2)*60,MID(Tabla142[[#This Row],[Duración]],6,2))</f>
        <v>2</v>
      </c>
      <c r="L593" s="4" t="s">
        <v>60</v>
      </c>
      <c r="M593" s="18" t="s">
        <v>239</v>
      </c>
      <c r="N593" t="s">
        <v>252</v>
      </c>
      <c r="O593" t="s">
        <v>398</v>
      </c>
      <c r="P593" t="s">
        <v>361</v>
      </c>
      <c r="Q593" s="20">
        <v>46032.649155092593</v>
      </c>
      <c r="R593" t="s">
        <v>6</v>
      </c>
      <c r="T593" t="s">
        <v>618</v>
      </c>
    </row>
    <row r="594" spans="1:20" ht="15" customHeight="1" x14ac:dyDescent="0.25">
      <c r="A594">
        <f t="shared" si="9"/>
        <v>12</v>
      </c>
      <c r="B594" t="s">
        <v>1226</v>
      </c>
      <c r="C594" t="s">
        <v>47</v>
      </c>
      <c r="D594">
        <v>110</v>
      </c>
      <c r="E5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94">
        <f ca="1">IF(Tabla142[[#This Row],[frecuencia_new]]="Diaria"," ",RANDBETWEEN(1,6))</f>
        <v>3</v>
      </c>
      <c r="G594">
        <f ca="1">IF(Tabla142[[#This Row],[frecuencia_new]]="Diaria","",IF(Tabla142[[#This Row],[frecuencia_new]]="Semanal","",IF(Tabla142[[#This Row],[frecuencia_new]]="Quincenal",RANDBETWEEN(1,2),RANDBETWEEN(1,4))))</f>
        <v>1</v>
      </c>
      <c r="H5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4" t="s">
        <v>66</v>
      </c>
      <c r="K594">
        <f>SUM(MID(Tabla142[[#This Row],[Duración]],1,2)*60,MID(Tabla142[[#This Row],[Duración]],6,2))</f>
        <v>20</v>
      </c>
      <c r="L594" s="4" t="s">
        <v>82</v>
      </c>
      <c r="M594" t="s">
        <v>239</v>
      </c>
      <c r="N594" t="s">
        <v>252</v>
      </c>
      <c r="O594" t="s">
        <v>390</v>
      </c>
      <c r="P594" t="s">
        <v>363</v>
      </c>
      <c r="Q594" s="20">
        <v>46032.649155092593</v>
      </c>
      <c r="R594" t="s">
        <v>7</v>
      </c>
      <c r="T594" t="s">
        <v>423</v>
      </c>
    </row>
    <row r="595" spans="1:20" ht="15" customHeight="1" x14ac:dyDescent="0.25">
      <c r="A595">
        <f t="shared" si="9"/>
        <v>12</v>
      </c>
      <c r="B595" t="s">
        <v>1227</v>
      </c>
      <c r="C595" t="s">
        <v>47</v>
      </c>
      <c r="D595">
        <v>110</v>
      </c>
      <c r="E5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95">
        <f ca="1">IF(Tabla142[[#This Row],[frecuencia_new]]="Diaria"," ",RANDBETWEEN(1,6))</f>
        <v>5</v>
      </c>
      <c r="G595">
        <f ca="1">IF(Tabla142[[#This Row],[frecuencia_new]]="Diaria","",IF(Tabla142[[#This Row],[frecuencia_new]]="Semanal","",IF(Tabla142[[#This Row],[frecuencia_new]]="Quincenal",RANDBETWEEN(1,2),RANDBETWEEN(1,4))))</f>
        <v>2</v>
      </c>
      <c r="H5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5" t="s">
        <v>161</v>
      </c>
      <c r="K595">
        <f>SUM(MID(Tabla142[[#This Row],[Duración]],1,2)*60,MID(Tabla142[[#This Row],[Duración]],6,2))</f>
        <v>20</v>
      </c>
      <c r="L595" s="4" t="s">
        <v>82</v>
      </c>
      <c r="M595" t="s">
        <v>239</v>
      </c>
      <c r="N595" t="s">
        <v>252</v>
      </c>
      <c r="O595" t="s">
        <v>390</v>
      </c>
      <c r="P595" t="s">
        <v>363</v>
      </c>
      <c r="Q595" s="20">
        <v>46032.649155092593</v>
      </c>
      <c r="R595" t="s">
        <v>7</v>
      </c>
      <c r="T595" t="s">
        <v>423</v>
      </c>
    </row>
    <row r="596" spans="1:20" ht="15" customHeight="1" x14ac:dyDescent="0.25">
      <c r="A596">
        <f t="shared" si="9"/>
        <v>12</v>
      </c>
      <c r="B596" t="s">
        <v>1228</v>
      </c>
      <c r="C596" t="s">
        <v>47</v>
      </c>
      <c r="D596">
        <v>110</v>
      </c>
      <c r="E5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96">
        <f ca="1">IF(Tabla142[[#This Row],[frecuencia_new]]="Diaria"," ",RANDBETWEEN(1,6))</f>
        <v>1</v>
      </c>
      <c r="G596">
        <f ca="1">IF(Tabla142[[#This Row],[frecuencia_new]]="Diaria","",IF(Tabla142[[#This Row],[frecuencia_new]]="Semanal","",IF(Tabla142[[#This Row],[frecuencia_new]]="Quincenal",RANDBETWEEN(1,2),RANDBETWEEN(1,4))))</f>
        <v>4</v>
      </c>
      <c r="H5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6" t="s">
        <v>134</v>
      </c>
      <c r="K596">
        <f>SUM(MID(Tabla142[[#This Row],[Duración]],1,2)*60,MID(Tabla142[[#This Row],[Duración]],6,2))</f>
        <v>10</v>
      </c>
      <c r="L596" s="4" t="s">
        <v>71</v>
      </c>
      <c r="M596" t="s">
        <v>239</v>
      </c>
      <c r="N596" t="s">
        <v>252</v>
      </c>
      <c r="O596" t="s">
        <v>390</v>
      </c>
      <c r="P596" t="s">
        <v>363</v>
      </c>
      <c r="Q596" s="20">
        <v>46032.649155092593</v>
      </c>
      <c r="R596" t="s">
        <v>7</v>
      </c>
      <c r="T596" t="s">
        <v>423</v>
      </c>
    </row>
    <row r="597" spans="1:20" ht="15" customHeight="1" x14ac:dyDescent="0.25">
      <c r="A597">
        <f t="shared" si="9"/>
        <v>12</v>
      </c>
      <c r="B597" t="s">
        <v>1229</v>
      </c>
      <c r="C597" t="s">
        <v>47</v>
      </c>
      <c r="D597">
        <v>110</v>
      </c>
      <c r="E5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597">
        <f ca="1">IF(Tabla142[[#This Row],[frecuencia_new]]="Diaria"," ",RANDBETWEEN(1,6))</f>
        <v>3</v>
      </c>
      <c r="G597">
        <f ca="1">IF(Tabla142[[#This Row],[frecuencia_new]]="Diaria","",IF(Tabla142[[#This Row],[frecuencia_new]]="Semanal","",IF(Tabla142[[#This Row],[frecuencia_new]]="Quincenal",RANDBETWEEN(1,2),RANDBETWEEN(1,4))))</f>
        <v>2</v>
      </c>
      <c r="H5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7" t="s">
        <v>164</v>
      </c>
      <c r="K597">
        <f>SUM(MID(Tabla142[[#This Row],[Duración]],1,2)*60,MID(Tabla142[[#This Row],[Duración]],6,2))</f>
        <v>20</v>
      </c>
      <c r="L597" s="4" t="s">
        <v>82</v>
      </c>
      <c r="M597" t="s">
        <v>239</v>
      </c>
      <c r="N597" t="s">
        <v>252</v>
      </c>
      <c r="O597" t="s">
        <v>390</v>
      </c>
      <c r="P597" t="s">
        <v>363</v>
      </c>
      <c r="Q597" s="20">
        <v>46032.649155092593</v>
      </c>
      <c r="R597" t="s">
        <v>7</v>
      </c>
      <c r="T597" t="s">
        <v>423</v>
      </c>
    </row>
    <row r="598" spans="1:20" ht="15" customHeight="1" x14ac:dyDescent="0.25">
      <c r="A598">
        <f t="shared" si="9"/>
        <v>12</v>
      </c>
      <c r="B598" t="s">
        <v>1230</v>
      </c>
      <c r="C598" t="s">
        <v>47</v>
      </c>
      <c r="D598">
        <v>110</v>
      </c>
      <c r="E5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598">
        <f ca="1">IF(Tabla142[[#This Row],[frecuencia_new]]="Diaria"," ",RANDBETWEEN(1,6))</f>
        <v>2</v>
      </c>
      <c r="G598" t="str">
        <f ca="1">IF(Tabla142[[#This Row],[frecuencia_new]]="Diaria","",IF(Tabla142[[#This Row],[frecuencia_new]]="Semanal","",IF(Tabla142[[#This Row],[frecuencia_new]]="Quincenal",RANDBETWEEN(1,2),RANDBETWEEN(1,4))))</f>
        <v/>
      </c>
      <c r="H5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598" t="s">
        <v>80</v>
      </c>
      <c r="K598">
        <f>SUM(MID(Tabla142[[#This Row],[Duración]],1,2)*60,MID(Tabla142[[#This Row],[Duración]],6,2))</f>
        <v>20</v>
      </c>
      <c r="L598" s="4" t="s">
        <v>82</v>
      </c>
      <c r="M598" t="s">
        <v>239</v>
      </c>
      <c r="N598" t="s">
        <v>252</v>
      </c>
      <c r="O598" t="s">
        <v>390</v>
      </c>
      <c r="P598" t="s">
        <v>363</v>
      </c>
      <c r="Q598" s="20">
        <v>46032.649155092593</v>
      </c>
      <c r="R598" t="s">
        <v>8</v>
      </c>
      <c r="T598" t="s">
        <v>423</v>
      </c>
    </row>
    <row r="599" spans="1:20" x14ac:dyDescent="0.25">
      <c r="A599">
        <f t="shared" si="9"/>
        <v>12</v>
      </c>
      <c r="B599" t="s">
        <v>1231</v>
      </c>
      <c r="C599" t="s">
        <v>47</v>
      </c>
      <c r="D599">
        <v>110</v>
      </c>
      <c r="E5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599">
        <f ca="1">IF(Tabla142[[#This Row],[frecuencia_new]]="Diaria"," ",RANDBETWEEN(1,6))</f>
        <v>1</v>
      </c>
      <c r="G599">
        <f ca="1">IF(Tabla142[[#This Row],[frecuencia_new]]="Diaria","",IF(Tabla142[[#This Row],[frecuencia_new]]="Semanal","",IF(Tabla142[[#This Row],[frecuencia_new]]="Quincenal",RANDBETWEEN(1,2),RANDBETWEEN(1,4))))</f>
        <v>2</v>
      </c>
      <c r="H599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599" t="s">
        <v>166</v>
      </c>
      <c r="K599">
        <f>SUM(MID(Tabla142[[#This Row],[Duración]],1,2)*60,MID(Tabla142[[#This Row],[Duración]],6,2))</f>
        <v>240</v>
      </c>
      <c r="L599" s="4" t="s">
        <v>167</v>
      </c>
      <c r="M599" t="s">
        <v>239</v>
      </c>
      <c r="N599" t="s">
        <v>252</v>
      </c>
      <c r="O599" t="s">
        <v>390</v>
      </c>
      <c r="P599" t="s">
        <v>363</v>
      </c>
      <c r="Q599" s="20">
        <v>46032.649155092593</v>
      </c>
      <c r="R599" t="s">
        <v>20</v>
      </c>
      <c r="T599" t="s">
        <v>423</v>
      </c>
    </row>
    <row r="600" spans="1:20" ht="15" customHeight="1" x14ac:dyDescent="0.25">
      <c r="A600">
        <f t="shared" si="9"/>
        <v>12</v>
      </c>
      <c r="B600" t="s">
        <v>1232</v>
      </c>
      <c r="C600" t="s">
        <v>47</v>
      </c>
      <c r="D600">
        <v>110</v>
      </c>
      <c r="E6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00">
        <f ca="1">IF(Tabla142[[#This Row],[frecuencia_new]]="Diaria"," ",RANDBETWEEN(1,6))</f>
        <v>2</v>
      </c>
      <c r="G600">
        <f ca="1">IF(Tabla142[[#This Row],[frecuencia_new]]="Diaria","",IF(Tabla142[[#This Row],[frecuencia_new]]="Semanal","",IF(Tabla142[[#This Row],[frecuencia_new]]="Quincenal",RANDBETWEEN(1,2),RANDBETWEEN(1,4))))</f>
        <v>3</v>
      </c>
      <c r="H60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00" t="s">
        <v>168</v>
      </c>
      <c r="K600">
        <f>SUM(MID(Tabla142[[#This Row],[Duración]],1,2)*60,MID(Tabla142[[#This Row],[Duración]],6,2))</f>
        <v>10</v>
      </c>
      <c r="L600" s="4" t="s">
        <v>71</v>
      </c>
      <c r="M600" t="s">
        <v>239</v>
      </c>
      <c r="N600" t="s">
        <v>252</v>
      </c>
      <c r="O600" t="s">
        <v>390</v>
      </c>
      <c r="P600" t="s">
        <v>363</v>
      </c>
      <c r="Q600" s="20">
        <v>46032.649155092593</v>
      </c>
      <c r="R600" t="s">
        <v>7</v>
      </c>
      <c r="T600" t="s">
        <v>423</v>
      </c>
    </row>
    <row r="601" spans="1:20" ht="15" customHeight="1" x14ac:dyDescent="0.25">
      <c r="A601">
        <f t="shared" si="9"/>
        <v>12</v>
      </c>
      <c r="B601" t="s">
        <v>1233</v>
      </c>
      <c r="C601" t="s">
        <v>47</v>
      </c>
      <c r="D601">
        <v>110</v>
      </c>
      <c r="E6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01">
        <f ca="1">IF(Tabla142[[#This Row],[frecuencia_new]]="Diaria"," ",RANDBETWEEN(1,6))</f>
        <v>2</v>
      </c>
      <c r="G601" t="str">
        <f ca="1">IF(Tabla142[[#This Row],[frecuencia_new]]="Diaria","",IF(Tabla142[[#This Row],[frecuencia_new]]="Semanal","",IF(Tabla142[[#This Row],[frecuencia_new]]="Quincenal",RANDBETWEEN(1,2),RANDBETWEEN(1,4))))</f>
        <v/>
      </c>
      <c r="H6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01" t="s">
        <v>57</v>
      </c>
      <c r="K601">
        <f>SUM(MID(Tabla142[[#This Row],[Duración]],1,2)*60,MID(Tabla142[[#This Row],[Duración]],6,2))</f>
        <v>20</v>
      </c>
      <c r="L601" s="4" t="s">
        <v>82</v>
      </c>
      <c r="M601" t="s">
        <v>239</v>
      </c>
      <c r="N601" t="s">
        <v>252</v>
      </c>
      <c r="O601" t="s">
        <v>390</v>
      </c>
      <c r="P601" t="s">
        <v>363</v>
      </c>
      <c r="Q601" s="20">
        <v>46032.649155092593</v>
      </c>
      <c r="R601" t="s">
        <v>8</v>
      </c>
      <c r="T601" t="s">
        <v>423</v>
      </c>
    </row>
    <row r="602" spans="1:20" ht="15" customHeight="1" x14ac:dyDescent="0.25">
      <c r="A602">
        <f t="shared" si="9"/>
        <v>47</v>
      </c>
      <c r="B602" t="s">
        <v>1234</v>
      </c>
      <c r="C602" t="s">
        <v>47</v>
      </c>
      <c r="D602">
        <v>110</v>
      </c>
      <c r="E6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02">
        <f ca="1">IF(Tabla142[[#This Row],[frecuencia_new]]="Diaria"," ",RANDBETWEEN(1,6))</f>
        <v>1</v>
      </c>
      <c r="G602">
        <f ca="1">IF(Tabla142[[#This Row],[frecuencia_new]]="Diaria","",IF(Tabla142[[#This Row],[frecuencia_new]]="Semanal","",IF(Tabla142[[#This Row],[frecuencia_new]]="Quincenal",RANDBETWEEN(1,2),RANDBETWEEN(1,4))))</f>
        <v>2</v>
      </c>
      <c r="H602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602" t="s">
        <v>46</v>
      </c>
      <c r="K602">
        <f>SUM(MID(Tabla142[[#This Row],[Duración]],1,2)*60,MID(Tabla142[[#This Row],[Duración]],6,2))</f>
        <v>30</v>
      </c>
      <c r="L602" s="4" t="s">
        <v>48</v>
      </c>
      <c r="M602" t="s">
        <v>239</v>
      </c>
      <c r="N602" t="s">
        <v>252</v>
      </c>
      <c r="O602" t="s">
        <v>384</v>
      </c>
      <c r="P602" t="s">
        <v>360</v>
      </c>
      <c r="Q602" s="20">
        <v>46032.649155092593</v>
      </c>
      <c r="R602" t="s">
        <v>5</v>
      </c>
      <c r="T602" t="s">
        <v>458</v>
      </c>
    </row>
    <row r="603" spans="1:20" ht="15" customHeight="1" x14ac:dyDescent="0.25">
      <c r="A603">
        <f t="shared" si="9"/>
        <v>47</v>
      </c>
      <c r="B603" t="s">
        <v>1235</v>
      </c>
      <c r="C603" t="s">
        <v>47</v>
      </c>
      <c r="D603">
        <v>110</v>
      </c>
      <c r="E6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03">
        <f ca="1">IF(Tabla142[[#This Row],[frecuencia_new]]="Diaria"," ",RANDBETWEEN(1,6))</f>
        <v>2</v>
      </c>
      <c r="G603">
        <f ca="1">IF(Tabla142[[#This Row],[frecuencia_new]]="Diaria","",IF(Tabla142[[#This Row],[frecuencia_new]]="Semanal","",IF(Tabla142[[#This Row],[frecuencia_new]]="Quincenal",RANDBETWEEN(1,2),RANDBETWEEN(1,4))))</f>
        <v>2</v>
      </c>
      <c r="H6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03" t="s">
        <v>98</v>
      </c>
      <c r="K603">
        <f>SUM(MID(Tabla142[[#This Row],[Duración]],1,2)*60,MID(Tabla142[[#This Row],[Duración]],6,2))</f>
        <v>20</v>
      </c>
      <c r="L603" s="4" t="s">
        <v>82</v>
      </c>
      <c r="M603" t="s">
        <v>239</v>
      </c>
      <c r="N603" t="s">
        <v>252</v>
      </c>
      <c r="O603" t="s">
        <v>384</v>
      </c>
      <c r="P603" t="s">
        <v>360</v>
      </c>
      <c r="Q603" s="20">
        <v>46032.649155092593</v>
      </c>
      <c r="R603" t="s">
        <v>7</v>
      </c>
      <c r="T603" t="s">
        <v>458</v>
      </c>
    </row>
    <row r="604" spans="1:20" ht="15" customHeight="1" x14ac:dyDescent="0.25">
      <c r="A604">
        <f t="shared" si="9"/>
        <v>47</v>
      </c>
      <c r="B604" t="s">
        <v>1236</v>
      </c>
      <c r="C604" t="s">
        <v>47</v>
      </c>
      <c r="D604">
        <v>110</v>
      </c>
      <c r="E6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04">
        <f ca="1">IF(Tabla142[[#This Row],[frecuencia_new]]="Diaria"," ",RANDBETWEEN(1,6))</f>
        <v>4</v>
      </c>
      <c r="G604">
        <f ca="1">IF(Tabla142[[#This Row],[frecuencia_new]]="Diaria","",IF(Tabla142[[#This Row],[frecuencia_new]]="Semanal","",IF(Tabla142[[#This Row],[frecuencia_new]]="Quincenal",RANDBETWEEN(1,2),RANDBETWEEN(1,4))))</f>
        <v>4</v>
      </c>
      <c r="H60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04" t="s">
        <v>52</v>
      </c>
      <c r="K604">
        <f>SUM(MID(Tabla142[[#This Row],[Duración]],1,2)*60,MID(Tabla142[[#This Row],[Duración]],6,2))</f>
        <v>30</v>
      </c>
      <c r="L604" s="4" t="s">
        <v>48</v>
      </c>
      <c r="M604" t="s">
        <v>239</v>
      </c>
      <c r="N604" t="s">
        <v>252</v>
      </c>
      <c r="O604" t="s">
        <v>384</v>
      </c>
      <c r="P604" t="s">
        <v>360</v>
      </c>
      <c r="Q604" s="20">
        <v>46032.649155092593</v>
      </c>
      <c r="R604" t="s">
        <v>5</v>
      </c>
      <c r="T604" t="s">
        <v>458</v>
      </c>
    </row>
    <row r="605" spans="1:20" ht="15" customHeight="1" x14ac:dyDescent="0.25">
      <c r="A605">
        <f t="shared" si="9"/>
        <v>47</v>
      </c>
      <c r="B605" t="s">
        <v>1237</v>
      </c>
      <c r="C605" t="s">
        <v>54</v>
      </c>
      <c r="D605">
        <v>110</v>
      </c>
      <c r="E6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05">
        <f ca="1">IF(Tabla142[[#This Row],[frecuencia_new]]="Diaria"," ",RANDBETWEEN(1,6))</f>
        <v>2</v>
      </c>
      <c r="G605">
        <f ca="1">IF(Tabla142[[#This Row],[frecuencia_new]]="Diaria","",IF(Tabla142[[#This Row],[frecuencia_new]]="Semanal","",IF(Tabla142[[#This Row],[frecuencia_new]]="Quincenal",RANDBETWEEN(1,2),RANDBETWEEN(1,4))))</f>
        <v>4</v>
      </c>
      <c r="H60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605" t="s">
        <v>53</v>
      </c>
      <c r="K605">
        <f>SUM(MID(Tabla142[[#This Row],[Duración]],1,2)*60,MID(Tabla142[[#This Row],[Duración]],6,2))</f>
        <v>30</v>
      </c>
      <c r="L605" s="4" t="s">
        <v>48</v>
      </c>
      <c r="M605" t="s">
        <v>239</v>
      </c>
      <c r="N605" t="s">
        <v>252</v>
      </c>
      <c r="O605" t="s">
        <v>384</v>
      </c>
      <c r="P605" t="s">
        <v>360</v>
      </c>
      <c r="Q605" s="20">
        <v>46032.649155092593</v>
      </c>
      <c r="R605" t="s">
        <v>5</v>
      </c>
      <c r="T605" t="s">
        <v>458</v>
      </c>
    </row>
    <row r="606" spans="1:20" ht="15" customHeight="1" x14ac:dyDescent="0.25">
      <c r="A606">
        <f t="shared" si="9"/>
        <v>47</v>
      </c>
      <c r="B606" t="s">
        <v>1238</v>
      </c>
      <c r="C606" t="s">
        <v>47</v>
      </c>
      <c r="D606">
        <v>110</v>
      </c>
      <c r="E6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06">
        <f ca="1">IF(Tabla142[[#This Row],[frecuencia_new]]="Diaria"," ",RANDBETWEEN(1,6))</f>
        <v>4</v>
      </c>
      <c r="G606">
        <f ca="1">IF(Tabla142[[#This Row],[frecuencia_new]]="Diaria","",IF(Tabla142[[#This Row],[frecuencia_new]]="Semanal","",IF(Tabla142[[#This Row],[frecuencia_new]]="Quincenal",RANDBETWEEN(1,2),RANDBETWEEN(1,4))))</f>
        <v>3</v>
      </c>
      <c r="H606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606" t="s">
        <v>64</v>
      </c>
      <c r="K606">
        <f>SUM(MID(Tabla142[[#This Row],[Duración]],1,2)*60,MID(Tabla142[[#This Row],[Duración]],6,2))</f>
        <v>30</v>
      </c>
      <c r="L606" s="4" t="s">
        <v>48</v>
      </c>
      <c r="M606" t="s">
        <v>239</v>
      </c>
      <c r="N606" t="s">
        <v>252</v>
      </c>
      <c r="O606" t="s">
        <v>384</v>
      </c>
      <c r="P606" t="s">
        <v>360</v>
      </c>
      <c r="Q606" s="20">
        <v>46032.649155092593</v>
      </c>
      <c r="R606" t="s">
        <v>5</v>
      </c>
      <c r="T606" t="s">
        <v>458</v>
      </c>
    </row>
    <row r="607" spans="1:20" ht="15" customHeight="1" x14ac:dyDescent="0.25">
      <c r="A607">
        <f t="shared" si="9"/>
        <v>208</v>
      </c>
      <c r="B607" t="s">
        <v>1239</v>
      </c>
      <c r="C607" s="18" t="s">
        <v>47</v>
      </c>
      <c r="D607">
        <v>110</v>
      </c>
      <c r="E6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07" t="str">
        <f ca="1">IF(Tabla142[[#This Row],[frecuencia_new]]="Diaria"," ",RANDBETWEEN(1,6))</f>
        <v xml:space="preserve"> </v>
      </c>
      <c r="G607" t="str">
        <f ca="1">IF(Tabla142[[#This Row],[frecuencia_new]]="Diaria","",IF(Tabla142[[#This Row],[frecuencia_new]]="Semanal","",IF(Tabla142[[#This Row],[frecuencia_new]]="Quincenal",RANDBETWEEN(1,2),RANDBETWEEN(1,4))))</f>
        <v/>
      </c>
      <c r="H6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07" t="s">
        <v>162</v>
      </c>
      <c r="K607">
        <f>SUM(MID(Tabla142[[#This Row],[Duración]],1,2)*60,MID(Tabla142[[#This Row],[Duración]],6,2))</f>
        <v>5</v>
      </c>
      <c r="L607" s="4" t="s">
        <v>50</v>
      </c>
      <c r="M607" s="18" t="s">
        <v>239</v>
      </c>
      <c r="N607" t="s">
        <v>252</v>
      </c>
      <c r="O607" t="s">
        <v>398</v>
      </c>
      <c r="P607" t="s">
        <v>361</v>
      </c>
      <c r="Q607" s="20">
        <v>46032.649155092593</v>
      </c>
      <c r="R607" t="s">
        <v>6</v>
      </c>
      <c r="T607" t="s">
        <v>619</v>
      </c>
    </row>
    <row r="608" spans="1:20" ht="15" customHeight="1" x14ac:dyDescent="0.25">
      <c r="A608">
        <f t="shared" si="9"/>
        <v>208</v>
      </c>
      <c r="B608" t="s">
        <v>1240</v>
      </c>
      <c r="C608" s="18" t="s">
        <v>47</v>
      </c>
      <c r="D608">
        <v>110</v>
      </c>
      <c r="E6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08" t="str">
        <f ca="1">IF(Tabla142[[#This Row],[frecuencia_new]]="Diaria"," ",RANDBETWEEN(1,6))</f>
        <v xml:space="preserve"> </v>
      </c>
      <c r="G608" t="str">
        <f ca="1">IF(Tabla142[[#This Row],[frecuencia_new]]="Diaria","",IF(Tabla142[[#This Row],[frecuencia_new]]="Semanal","",IF(Tabla142[[#This Row],[frecuencia_new]]="Quincenal",RANDBETWEEN(1,2),RANDBETWEEN(1,4))))</f>
        <v/>
      </c>
      <c r="H6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08" t="s">
        <v>163</v>
      </c>
      <c r="K608">
        <f>SUM(MID(Tabla142[[#This Row],[Duración]],1,2)*60,MID(Tabla142[[#This Row],[Duración]],6,2))</f>
        <v>5</v>
      </c>
      <c r="L608" s="4" t="s">
        <v>50</v>
      </c>
      <c r="M608" s="18" t="s">
        <v>239</v>
      </c>
      <c r="N608" t="s">
        <v>252</v>
      </c>
      <c r="O608" t="s">
        <v>398</v>
      </c>
      <c r="P608" t="s">
        <v>361</v>
      </c>
      <c r="Q608" s="20">
        <v>46032.649155092593</v>
      </c>
      <c r="R608" t="s">
        <v>6</v>
      </c>
      <c r="T608" t="s">
        <v>619</v>
      </c>
    </row>
    <row r="609" spans="1:20" ht="15" customHeight="1" x14ac:dyDescent="0.25">
      <c r="A609">
        <f t="shared" si="9"/>
        <v>208</v>
      </c>
      <c r="B609" t="s">
        <v>1241</v>
      </c>
      <c r="C609" s="18" t="s">
        <v>47</v>
      </c>
      <c r="D609">
        <v>110</v>
      </c>
      <c r="E6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09" t="str">
        <f ca="1">IF(Tabla142[[#This Row],[frecuencia_new]]="Diaria"," ",RANDBETWEEN(1,6))</f>
        <v xml:space="preserve"> </v>
      </c>
      <c r="G609" t="str">
        <f ca="1">IF(Tabla142[[#This Row],[frecuencia_new]]="Diaria","",IF(Tabla142[[#This Row],[frecuencia_new]]="Semanal","",IF(Tabla142[[#This Row],[frecuencia_new]]="Quincenal",RANDBETWEEN(1,2),RANDBETWEEN(1,4))))</f>
        <v/>
      </c>
      <c r="H60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09" t="s">
        <v>165</v>
      </c>
      <c r="K609">
        <f>SUM(MID(Tabla142[[#This Row],[Duración]],1,2)*60,MID(Tabla142[[#This Row],[Duración]],6,2))</f>
        <v>5</v>
      </c>
      <c r="L609" s="4" t="s">
        <v>50</v>
      </c>
      <c r="M609" s="18" t="s">
        <v>239</v>
      </c>
      <c r="N609" t="s">
        <v>252</v>
      </c>
      <c r="O609" t="s">
        <v>398</v>
      </c>
      <c r="P609" t="s">
        <v>361</v>
      </c>
      <c r="Q609" s="20">
        <v>46032.649155092593</v>
      </c>
      <c r="R609" t="s">
        <v>6</v>
      </c>
      <c r="T609" t="s">
        <v>619</v>
      </c>
    </row>
    <row r="610" spans="1:20" ht="15" customHeight="1" x14ac:dyDescent="0.25">
      <c r="A610">
        <f t="shared" si="9"/>
        <v>13</v>
      </c>
      <c r="B610" t="s">
        <v>1242</v>
      </c>
      <c r="C610" s="18" t="s">
        <v>47</v>
      </c>
      <c r="D610" s="18">
        <v>137</v>
      </c>
      <c r="E6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610">
        <f ca="1">IF(Tabla142[[#This Row],[frecuencia_new]]="Diaria"," ",RANDBETWEEN(1,6))</f>
        <v>6</v>
      </c>
      <c r="G610">
        <f ca="1">IF(Tabla142[[#This Row],[frecuencia_new]]="Diaria","",IF(Tabla142[[#This Row],[frecuencia_new]]="Semanal","",IF(Tabla142[[#This Row],[frecuencia_new]]="Quincenal",RANDBETWEEN(1,2),RANDBETWEEN(1,4))))</f>
        <v>1</v>
      </c>
      <c r="H61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10" s="18" t="s">
        <v>187</v>
      </c>
      <c r="K610" s="18">
        <f>SUM(MID(Tabla142[[#This Row],[Duración]],1,2)*60,MID(Tabla142[[#This Row],[Duración]],6,2))</f>
        <v>30</v>
      </c>
      <c r="L610" s="19" t="s">
        <v>48</v>
      </c>
      <c r="M610" s="18" t="s">
        <v>239</v>
      </c>
      <c r="N610" t="s">
        <v>252</v>
      </c>
      <c r="O610" t="s">
        <v>390</v>
      </c>
      <c r="P610" t="s">
        <v>363</v>
      </c>
      <c r="Q610" s="20">
        <v>46032.649155092593</v>
      </c>
      <c r="R610" s="18" t="s">
        <v>18</v>
      </c>
      <c r="T610" t="s">
        <v>424</v>
      </c>
    </row>
    <row r="611" spans="1:20" ht="15" customHeight="1" x14ac:dyDescent="0.25">
      <c r="A611">
        <f t="shared" si="9"/>
        <v>13</v>
      </c>
      <c r="B611" t="s">
        <v>1243</v>
      </c>
      <c r="C611" s="18" t="s">
        <v>47</v>
      </c>
      <c r="D611" s="18">
        <v>137</v>
      </c>
      <c r="E6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11">
        <f ca="1">IF(Tabla142[[#This Row],[frecuencia_new]]="Diaria"," ",RANDBETWEEN(1,6))</f>
        <v>6</v>
      </c>
      <c r="G611" t="str">
        <f ca="1">IF(Tabla142[[#This Row],[frecuencia_new]]="Diaria","",IF(Tabla142[[#This Row],[frecuencia_new]]="Semanal","",IF(Tabla142[[#This Row],[frecuencia_new]]="Quincenal",RANDBETWEEN(1,2),RANDBETWEEN(1,4))))</f>
        <v/>
      </c>
      <c r="H6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11" s="18" t="s">
        <v>188</v>
      </c>
      <c r="K611" s="18">
        <f>SUM(MID(Tabla142[[#This Row],[Duración]],1,2)*60,MID(Tabla142[[#This Row],[Duración]],6,2))</f>
        <v>10</v>
      </c>
      <c r="L611" s="19" t="s">
        <v>71</v>
      </c>
      <c r="M611" s="18" t="s">
        <v>239</v>
      </c>
      <c r="N611" t="s">
        <v>252</v>
      </c>
      <c r="O611" t="s">
        <v>390</v>
      </c>
      <c r="P611" t="s">
        <v>363</v>
      </c>
      <c r="Q611" s="20">
        <v>46032.649155092593</v>
      </c>
      <c r="R611" s="18" t="s">
        <v>8</v>
      </c>
      <c r="T611" t="s">
        <v>424</v>
      </c>
    </row>
    <row r="612" spans="1:20" ht="15" customHeight="1" x14ac:dyDescent="0.25">
      <c r="A612">
        <f t="shared" si="9"/>
        <v>13</v>
      </c>
      <c r="B612" t="s">
        <v>1244</v>
      </c>
      <c r="C612" s="18" t="s">
        <v>47</v>
      </c>
      <c r="D612" s="18">
        <v>137</v>
      </c>
      <c r="E6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12">
        <f ca="1">IF(Tabla142[[#This Row],[frecuencia_new]]="Diaria"," ",RANDBETWEEN(1,6))</f>
        <v>6</v>
      </c>
      <c r="G612">
        <f ca="1">IF(Tabla142[[#This Row],[frecuencia_new]]="Diaria","",IF(Tabla142[[#This Row],[frecuencia_new]]="Semanal","",IF(Tabla142[[#This Row],[frecuencia_new]]="Quincenal",RANDBETWEEN(1,2),RANDBETWEEN(1,4))))</f>
        <v>4</v>
      </c>
      <c r="H61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12" s="18" t="s">
        <v>189</v>
      </c>
      <c r="K612" s="18">
        <f>SUM(MID(Tabla142[[#This Row],[Duración]],1,2)*60,MID(Tabla142[[#This Row],[Duración]],6,2))</f>
        <v>15</v>
      </c>
      <c r="L612" s="19" t="s">
        <v>77</v>
      </c>
      <c r="M612" s="18" t="s">
        <v>239</v>
      </c>
      <c r="N612" t="s">
        <v>252</v>
      </c>
      <c r="O612" t="s">
        <v>390</v>
      </c>
      <c r="P612" t="s">
        <v>363</v>
      </c>
      <c r="Q612" s="20">
        <v>46032.649155092593</v>
      </c>
      <c r="R612" s="18" t="s">
        <v>7</v>
      </c>
      <c r="T612" t="s">
        <v>424</v>
      </c>
    </row>
    <row r="613" spans="1:20" ht="15" customHeight="1" x14ac:dyDescent="0.25">
      <c r="A613">
        <f t="shared" si="9"/>
        <v>13</v>
      </c>
      <c r="B613" t="s">
        <v>1245</v>
      </c>
      <c r="C613" s="18" t="s">
        <v>47</v>
      </c>
      <c r="D613" s="18">
        <v>137</v>
      </c>
      <c r="E6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13">
        <f ca="1">IF(Tabla142[[#This Row],[frecuencia_new]]="Diaria"," ",RANDBETWEEN(1,6))</f>
        <v>3</v>
      </c>
      <c r="G613">
        <f ca="1">IF(Tabla142[[#This Row],[frecuencia_new]]="Diaria","",IF(Tabla142[[#This Row],[frecuencia_new]]="Semanal","",IF(Tabla142[[#This Row],[frecuencia_new]]="Quincenal",RANDBETWEEN(1,2),RANDBETWEEN(1,4))))</f>
        <v>1</v>
      </c>
      <c r="H6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13" s="18" t="s">
        <v>190</v>
      </c>
      <c r="K613" s="18">
        <f>SUM(MID(Tabla142[[#This Row],[Duración]],1,2)*60,MID(Tabla142[[#This Row],[Duración]],6,2))</f>
        <v>10</v>
      </c>
      <c r="L613" s="19" t="s">
        <v>71</v>
      </c>
      <c r="M613" s="18" t="s">
        <v>239</v>
      </c>
      <c r="N613" t="s">
        <v>252</v>
      </c>
      <c r="O613" t="s">
        <v>390</v>
      </c>
      <c r="P613" t="s">
        <v>363</v>
      </c>
      <c r="Q613" s="20">
        <v>46032.649155092593</v>
      </c>
      <c r="R613" s="18" t="s">
        <v>7</v>
      </c>
      <c r="T613" t="s">
        <v>424</v>
      </c>
    </row>
    <row r="614" spans="1:20" ht="15" customHeight="1" x14ac:dyDescent="0.25">
      <c r="A614">
        <f t="shared" si="9"/>
        <v>13</v>
      </c>
      <c r="B614" t="s">
        <v>1246</v>
      </c>
      <c r="C614" s="18" t="s">
        <v>47</v>
      </c>
      <c r="D614" s="18">
        <v>137</v>
      </c>
      <c r="E6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14">
        <f ca="1">IF(Tabla142[[#This Row],[frecuencia_new]]="Diaria"," ",RANDBETWEEN(1,6))</f>
        <v>6</v>
      </c>
      <c r="G614">
        <f ca="1">IF(Tabla142[[#This Row],[frecuencia_new]]="Diaria","",IF(Tabla142[[#This Row],[frecuencia_new]]="Semanal","",IF(Tabla142[[#This Row],[frecuencia_new]]="Quincenal",RANDBETWEEN(1,2),RANDBETWEEN(1,4))))</f>
        <v>2</v>
      </c>
      <c r="H61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14" s="18" t="s">
        <v>191</v>
      </c>
      <c r="K614" s="18">
        <f>SUM(MID(Tabla142[[#This Row],[Duración]],1,2)*60,MID(Tabla142[[#This Row],[Duración]],6,2))</f>
        <v>15</v>
      </c>
      <c r="L614" s="19" t="s">
        <v>77</v>
      </c>
      <c r="M614" s="18" t="s">
        <v>239</v>
      </c>
      <c r="N614" t="s">
        <v>252</v>
      </c>
      <c r="O614" t="s">
        <v>390</v>
      </c>
      <c r="P614" t="s">
        <v>363</v>
      </c>
      <c r="Q614" s="20">
        <v>46032.649155092593</v>
      </c>
      <c r="R614" s="18" t="s">
        <v>7</v>
      </c>
      <c r="T614" t="s">
        <v>424</v>
      </c>
    </row>
    <row r="615" spans="1:20" x14ac:dyDescent="0.25">
      <c r="A615">
        <f t="shared" si="9"/>
        <v>13</v>
      </c>
      <c r="B615" t="s">
        <v>1247</v>
      </c>
      <c r="C615" s="18" t="s">
        <v>47</v>
      </c>
      <c r="D615" s="18">
        <v>137</v>
      </c>
      <c r="E6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615">
        <f ca="1">IF(Tabla142[[#This Row],[frecuencia_new]]="Diaria"," ",RANDBETWEEN(1,6))</f>
        <v>1</v>
      </c>
      <c r="G615">
        <f ca="1">IF(Tabla142[[#This Row],[frecuencia_new]]="Diaria","",IF(Tabla142[[#This Row],[frecuencia_new]]="Semanal","",IF(Tabla142[[#This Row],[frecuencia_new]]="Quincenal",RANDBETWEEN(1,2),RANDBETWEEN(1,4))))</f>
        <v>4</v>
      </c>
      <c r="H615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15" s="18" t="s">
        <v>192</v>
      </c>
      <c r="K615" s="18">
        <f>SUM(MID(Tabla142[[#This Row],[Duración]],1,2)*60,MID(Tabla142[[#This Row],[Duración]],6,2))</f>
        <v>20</v>
      </c>
      <c r="L615" s="19" t="s">
        <v>82</v>
      </c>
      <c r="M615" s="18" t="s">
        <v>239</v>
      </c>
      <c r="N615" t="s">
        <v>252</v>
      </c>
      <c r="O615" t="s">
        <v>390</v>
      </c>
      <c r="P615" t="s">
        <v>363</v>
      </c>
      <c r="Q615" s="20">
        <v>46032.649155092593</v>
      </c>
      <c r="R615" s="18" t="s">
        <v>20</v>
      </c>
      <c r="T615" t="s">
        <v>424</v>
      </c>
    </row>
    <row r="616" spans="1:20" ht="15" customHeight="1" x14ac:dyDescent="0.25">
      <c r="A616">
        <f t="shared" si="9"/>
        <v>56</v>
      </c>
      <c r="B616" t="s">
        <v>1248</v>
      </c>
      <c r="C616" s="18" t="s">
        <v>47</v>
      </c>
      <c r="D616" s="18">
        <v>137</v>
      </c>
      <c r="E6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16">
        <f ca="1">IF(Tabla142[[#This Row],[frecuencia_new]]="Diaria"," ",RANDBETWEEN(1,6))</f>
        <v>1</v>
      </c>
      <c r="G616">
        <f ca="1">IF(Tabla142[[#This Row],[frecuencia_new]]="Diaria","",IF(Tabla142[[#This Row],[frecuencia_new]]="Semanal","",IF(Tabla142[[#This Row],[frecuencia_new]]="Quincenal",RANDBETWEEN(1,2),RANDBETWEEN(1,4))))</f>
        <v>1</v>
      </c>
      <c r="H616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616" s="18" t="s">
        <v>46</v>
      </c>
      <c r="K616" s="18">
        <f>SUM(MID(Tabla142[[#This Row],[Duración]],1,2)*60,MID(Tabla142[[#This Row],[Duración]],6,2))</f>
        <v>30</v>
      </c>
      <c r="L616" s="19" t="s">
        <v>48</v>
      </c>
      <c r="M616" s="18" t="s">
        <v>239</v>
      </c>
      <c r="N616" t="s">
        <v>252</v>
      </c>
      <c r="O616" t="s">
        <v>384</v>
      </c>
      <c r="P616" t="s">
        <v>360</v>
      </c>
      <c r="Q616" s="20">
        <v>46032.649155092593</v>
      </c>
      <c r="R616" s="18" t="s">
        <v>5</v>
      </c>
      <c r="T616" t="s">
        <v>467</v>
      </c>
    </row>
    <row r="617" spans="1:20" ht="15" customHeight="1" x14ac:dyDescent="0.25">
      <c r="A617">
        <f t="shared" si="9"/>
        <v>56</v>
      </c>
      <c r="B617" t="s">
        <v>1249</v>
      </c>
      <c r="C617" s="18" t="s">
        <v>47</v>
      </c>
      <c r="D617" s="18">
        <v>137</v>
      </c>
      <c r="E6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17">
        <f ca="1">IF(Tabla142[[#This Row],[frecuencia_new]]="Diaria"," ",RANDBETWEEN(1,6))</f>
        <v>3</v>
      </c>
      <c r="G617">
        <f ca="1">IF(Tabla142[[#This Row],[frecuencia_new]]="Diaria","",IF(Tabla142[[#This Row],[frecuencia_new]]="Semanal","",IF(Tabla142[[#This Row],[frecuencia_new]]="Quincenal",RANDBETWEEN(1,2),RANDBETWEEN(1,4))))</f>
        <v>2</v>
      </c>
      <c r="H617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617" s="18" t="s">
        <v>52</v>
      </c>
      <c r="K617" s="18">
        <f>SUM(MID(Tabla142[[#This Row],[Duración]],1,2)*60,MID(Tabla142[[#This Row],[Duración]],6,2))</f>
        <v>30</v>
      </c>
      <c r="L617" s="19" t="s">
        <v>48</v>
      </c>
      <c r="M617" s="18" t="s">
        <v>239</v>
      </c>
      <c r="N617" t="s">
        <v>252</v>
      </c>
      <c r="O617" t="s">
        <v>384</v>
      </c>
      <c r="P617" t="s">
        <v>360</v>
      </c>
      <c r="Q617" s="20">
        <v>46032.649155092593</v>
      </c>
      <c r="R617" s="18" t="s">
        <v>5</v>
      </c>
      <c r="T617" t="s">
        <v>467</v>
      </c>
    </row>
    <row r="618" spans="1:20" ht="15" customHeight="1" x14ac:dyDescent="0.25">
      <c r="A618">
        <f t="shared" si="9"/>
        <v>56</v>
      </c>
      <c r="B618" t="s">
        <v>1250</v>
      </c>
      <c r="C618" s="18" t="s">
        <v>54</v>
      </c>
      <c r="D618" s="18">
        <v>137</v>
      </c>
      <c r="E6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18">
        <f ca="1">IF(Tabla142[[#This Row],[frecuencia_new]]="Diaria"," ",RANDBETWEEN(1,6))</f>
        <v>1</v>
      </c>
      <c r="G618">
        <f ca="1">IF(Tabla142[[#This Row],[frecuencia_new]]="Diaria","",IF(Tabla142[[#This Row],[frecuencia_new]]="Semanal","",IF(Tabla142[[#This Row],[frecuencia_new]]="Quincenal",RANDBETWEEN(1,2),RANDBETWEEN(1,4))))</f>
        <v>1</v>
      </c>
      <c r="H618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18" s="18" t="s">
        <v>53</v>
      </c>
      <c r="K618" s="18">
        <f>SUM(MID(Tabla142[[#This Row],[Duración]],1,2)*60,MID(Tabla142[[#This Row],[Duración]],6,2))</f>
        <v>30</v>
      </c>
      <c r="L618" s="19" t="s">
        <v>48</v>
      </c>
      <c r="M618" s="18" t="s">
        <v>239</v>
      </c>
      <c r="N618" t="s">
        <v>252</v>
      </c>
      <c r="O618" t="s">
        <v>384</v>
      </c>
      <c r="P618" t="s">
        <v>360</v>
      </c>
      <c r="Q618" s="20">
        <v>46032.649155092593</v>
      </c>
      <c r="R618" s="18" t="s">
        <v>5</v>
      </c>
      <c r="T618" t="s">
        <v>467</v>
      </c>
    </row>
    <row r="619" spans="1:20" ht="15" customHeight="1" x14ac:dyDescent="0.25">
      <c r="A619">
        <f t="shared" si="9"/>
        <v>56</v>
      </c>
      <c r="B619" t="s">
        <v>1251</v>
      </c>
      <c r="C619" s="18" t="s">
        <v>47</v>
      </c>
      <c r="D619" s="18">
        <v>137</v>
      </c>
      <c r="E6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19">
        <f ca="1">IF(Tabla142[[#This Row],[frecuencia_new]]="Diaria"," ",RANDBETWEEN(1,6))</f>
        <v>1</v>
      </c>
      <c r="G619">
        <f ca="1">IF(Tabla142[[#This Row],[frecuencia_new]]="Diaria","",IF(Tabla142[[#This Row],[frecuencia_new]]="Semanal","",IF(Tabla142[[#This Row],[frecuencia_new]]="Quincenal",RANDBETWEEN(1,2),RANDBETWEEN(1,4))))</f>
        <v>1</v>
      </c>
      <c r="H619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619" s="18" t="s">
        <v>64</v>
      </c>
      <c r="K619" s="18">
        <f>SUM(MID(Tabla142[[#This Row],[Duración]],1,2)*60,MID(Tabla142[[#This Row],[Duración]],6,2))</f>
        <v>30</v>
      </c>
      <c r="L619" s="19" t="s">
        <v>48</v>
      </c>
      <c r="M619" s="18" t="s">
        <v>239</v>
      </c>
      <c r="N619" t="s">
        <v>252</v>
      </c>
      <c r="O619" t="s">
        <v>384</v>
      </c>
      <c r="P619" t="s">
        <v>360</v>
      </c>
      <c r="Q619" s="20">
        <v>46032.649155092593</v>
      </c>
      <c r="R619" s="18" t="s">
        <v>5</v>
      </c>
      <c r="T619" t="s">
        <v>467</v>
      </c>
    </row>
    <row r="620" spans="1:20" ht="15" customHeight="1" x14ac:dyDescent="0.25">
      <c r="A620">
        <f t="shared" si="9"/>
        <v>14</v>
      </c>
      <c r="B620" t="s">
        <v>1252</v>
      </c>
      <c r="C620" s="18" t="s">
        <v>47</v>
      </c>
      <c r="D620" s="18">
        <v>155</v>
      </c>
      <c r="E6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20">
        <f ca="1">IF(Tabla142[[#This Row],[frecuencia_new]]="Diaria"," ",RANDBETWEEN(1,6))</f>
        <v>1</v>
      </c>
      <c r="G620" t="str">
        <f ca="1">IF(Tabla142[[#This Row],[frecuencia_new]]="Diaria","",IF(Tabla142[[#This Row],[frecuencia_new]]="Semanal","",IF(Tabla142[[#This Row],[frecuencia_new]]="Quincenal",RANDBETWEEN(1,2),RANDBETWEEN(1,4))))</f>
        <v/>
      </c>
      <c r="H6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20" s="18" t="s">
        <v>108</v>
      </c>
      <c r="K620" s="18">
        <f>SUM(MID(Tabla142[[#This Row],[Duración]],1,2)*60,MID(Tabla142[[#This Row],[Duración]],6,2))</f>
        <v>20</v>
      </c>
      <c r="L620" s="19" t="s">
        <v>82</v>
      </c>
      <c r="M620" s="18" t="s">
        <v>239</v>
      </c>
      <c r="N620" t="s">
        <v>252</v>
      </c>
      <c r="O620" t="s">
        <v>390</v>
      </c>
      <c r="P620" t="s">
        <v>363</v>
      </c>
      <c r="Q620" s="20">
        <v>46032.649155092593</v>
      </c>
      <c r="R620" s="18" t="s">
        <v>8</v>
      </c>
      <c r="T620" t="s">
        <v>425</v>
      </c>
    </row>
    <row r="621" spans="1:20" ht="15" customHeight="1" x14ac:dyDescent="0.25">
      <c r="A621">
        <f t="shared" si="9"/>
        <v>14</v>
      </c>
      <c r="B621" t="s">
        <v>1253</v>
      </c>
      <c r="C621" s="18" t="s">
        <v>47</v>
      </c>
      <c r="D621" s="18">
        <v>155</v>
      </c>
      <c r="E6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21">
        <f ca="1">IF(Tabla142[[#This Row],[frecuencia_new]]="Diaria"," ",RANDBETWEEN(1,6))</f>
        <v>6</v>
      </c>
      <c r="G621">
        <f ca="1">IF(Tabla142[[#This Row],[frecuencia_new]]="Diaria","",IF(Tabla142[[#This Row],[frecuencia_new]]="Semanal","",IF(Tabla142[[#This Row],[frecuencia_new]]="Quincenal",RANDBETWEEN(1,2),RANDBETWEEN(1,4))))</f>
        <v>1</v>
      </c>
      <c r="H6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21" s="18" t="s">
        <v>194</v>
      </c>
      <c r="K621" s="18">
        <f>SUM(MID(Tabla142[[#This Row],[Duración]],1,2)*60,MID(Tabla142[[#This Row],[Duración]],6,2))</f>
        <v>60</v>
      </c>
      <c r="L621" s="19" t="s">
        <v>58</v>
      </c>
      <c r="M621" s="18" t="s">
        <v>239</v>
      </c>
      <c r="N621" t="s">
        <v>252</v>
      </c>
      <c r="O621" t="s">
        <v>390</v>
      </c>
      <c r="P621" t="s">
        <v>363</v>
      </c>
      <c r="Q621" s="20">
        <v>46032.649155092593</v>
      </c>
      <c r="R621" s="18" t="s">
        <v>7</v>
      </c>
      <c r="T621" t="s">
        <v>425</v>
      </c>
    </row>
    <row r="622" spans="1:20" ht="15" customHeight="1" x14ac:dyDescent="0.25">
      <c r="A622">
        <f t="shared" si="9"/>
        <v>59</v>
      </c>
      <c r="B622" t="s">
        <v>1254</v>
      </c>
      <c r="C622" s="18" t="s">
        <v>47</v>
      </c>
      <c r="D622" s="18">
        <v>155</v>
      </c>
      <c r="E6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22">
        <f ca="1">IF(Tabla142[[#This Row],[frecuencia_new]]="Diaria"," ",RANDBETWEEN(1,6))</f>
        <v>5</v>
      </c>
      <c r="G622">
        <f ca="1">IF(Tabla142[[#This Row],[frecuencia_new]]="Diaria","",IF(Tabla142[[#This Row],[frecuencia_new]]="Semanal","",IF(Tabla142[[#This Row],[frecuencia_new]]="Quincenal",RANDBETWEEN(1,2),RANDBETWEEN(1,4))))</f>
        <v>2</v>
      </c>
      <c r="H622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622" s="18" t="s">
        <v>46</v>
      </c>
      <c r="K622" s="18">
        <f>SUM(MID(Tabla142[[#This Row],[Duración]],1,2)*60,MID(Tabla142[[#This Row],[Duración]],6,2))</f>
        <v>30</v>
      </c>
      <c r="L622" s="19" t="s">
        <v>48</v>
      </c>
      <c r="M622" s="18" t="s">
        <v>239</v>
      </c>
      <c r="N622" t="s">
        <v>252</v>
      </c>
      <c r="O622" t="s">
        <v>384</v>
      </c>
      <c r="P622" t="s">
        <v>360</v>
      </c>
      <c r="Q622" s="20">
        <v>46032.649155092593</v>
      </c>
      <c r="R622" s="18" t="s">
        <v>5</v>
      </c>
      <c r="T622" t="s">
        <v>470</v>
      </c>
    </row>
    <row r="623" spans="1:20" ht="15" customHeight="1" x14ac:dyDescent="0.25">
      <c r="A623">
        <f t="shared" si="9"/>
        <v>59</v>
      </c>
      <c r="B623" t="s">
        <v>1255</v>
      </c>
      <c r="C623" s="18" t="s">
        <v>47</v>
      </c>
      <c r="D623" s="18">
        <v>155</v>
      </c>
      <c r="E6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23">
        <f ca="1">IF(Tabla142[[#This Row],[frecuencia_new]]="Diaria"," ",RANDBETWEEN(1,6))</f>
        <v>6</v>
      </c>
      <c r="G623">
        <f ca="1">IF(Tabla142[[#This Row],[frecuencia_new]]="Diaria","",IF(Tabla142[[#This Row],[frecuencia_new]]="Semanal","",IF(Tabla142[[#This Row],[frecuencia_new]]="Quincenal",RANDBETWEEN(1,2),RANDBETWEEN(1,4))))</f>
        <v>3</v>
      </c>
      <c r="H623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23" s="18" t="s">
        <v>52</v>
      </c>
      <c r="K623" s="18">
        <f>SUM(MID(Tabla142[[#This Row],[Duración]],1,2)*60,MID(Tabla142[[#This Row],[Duración]],6,2))</f>
        <v>30</v>
      </c>
      <c r="L623" s="19" t="s">
        <v>48</v>
      </c>
      <c r="M623" s="18" t="s">
        <v>239</v>
      </c>
      <c r="N623" t="s">
        <v>252</v>
      </c>
      <c r="O623" t="s">
        <v>384</v>
      </c>
      <c r="P623" t="s">
        <v>360</v>
      </c>
      <c r="Q623" s="20">
        <v>46032.649155092593</v>
      </c>
      <c r="R623" s="18" t="s">
        <v>5</v>
      </c>
      <c r="T623" t="s">
        <v>470</v>
      </c>
    </row>
    <row r="624" spans="1:20" ht="15" customHeight="1" x14ac:dyDescent="0.25">
      <c r="A624">
        <f t="shared" si="9"/>
        <v>59</v>
      </c>
      <c r="B624" t="s">
        <v>1256</v>
      </c>
      <c r="C624" s="18" t="s">
        <v>54</v>
      </c>
      <c r="D624" s="18">
        <v>155</v>
      </c>
      <c r="E6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24">
        <f ca="1">IF(Tabla142[[#This Row],[frecuencia_new]]="Diaria"," ",RANDBETWEEN(1,6))</f>
        <v>2</v>
      </c>
      <c r="G624">
        <f ca="1">IF(Tabla142[[#This Row],[frecuencia_new]]="Diaria","",IF(Tabla142[[#This Row],[frecuencia_new]]="Semanal","",IF(Tabla142[[#This Row],[frecuencia_new]]="Quincenal",RANDBETWEEN(1,2),RANDBETWEEN(1,4))))</f>
        <v>2</v>
      </c>
      <c r="H62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24" s="18" t="s">
        <v>53</v>
      </c>
      <c r="K624" s="18">
        <f>SUM(MID(Tabla142[[#This Row],[Duración]],1,2)*60,MID(Tabla142[[#This Row],[Duración]],6,2))</f>
        <v>30</v>
      </c>
      <c r="L624" s="19" t="s">
        <v>48</v>
      </c>
      <c r="M624" s="18" t="s">
        <v>239</v>
      </c>
      <c r="N624" t="s">
        <v>252</v>
      </c>
      <c r="O624" t="s">
        <v>384</v>
      </c>
      <c r="P624" t="s">
        <v>360</v>
      </c>
      <c r="Q624" s="20">
        <v>46032.649155092593</v>
      </c>
      <c r="R624" s="18" t="s">
        <v>5</v>
      </c>
      <c r="T624" t="s">
        <v>470</v>
      </c>
    </row>
    <row r="625" spans="1:20" ht="15" customHeight="1" x14ac:dyDescent="0.25">
      <c r="A625">
        <f t="shared" si="9"/>
        <v>59</v>
      </c>
      <c r="B625" t="s">
        <v>1257</v>
      </c>
      <c r="C625" s="18" t="s">
        <v>47</v>
      </c>
      <c r="D625" s="18">
        <v>155</v>
      </c>
      <c r="E6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25">
        <f ca="1">IF(Tabla142[[#This Row],[frecuencia_new]]="Diaria"," ",RANDBETWEEN(1,6))</f>
        <v>3</v>
      </c>
      <c r="G625">
        <f ca="1">IF(Tabla142[[#This Row],[frecuencia_new]]="Diaria","",IF(Tabla142[[#This Row],[frecuencia_new]]="Semanal","",IF(Tabla142[[#This Row],[frecuencia_new]]="Quincenal",RANDBETWEEN(1,2),RANDBETWEEN(1,4))))</f>
        <v>2</v>
      </c>
      <c r="H625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625" s="18" t="s">
        <v>64</v>
      </c>
      <c r="K625" s="18">
        <f>SUM(MID(Tabla142[[#This Row],[Duración]],1,2)*60,MID(Tabla142[[#This Row],[Duración]],6,2))</f>
        <v>30</v>
      </c>
      <c r="L625" s="19" t="s">
        <v>48</v>
      </c>
      <c r="M625" s="18" t="s">
        <v>239</v>
      </c>
      <c r="N625" t="s">
        <v>252</v>
      </c>
      <c r="O625" t="s">
        <v>384</v>
      </c>
      <c r="P625" t="s">
        <v>360</v>
      </c>
      <c r="Q625" s="20">
        <v>46032.649155092593</v>
      </c>
      <c r="R625" s="18" t="s">
        <v>5</v>
      </c>
      <c r="T625" t="s">
        <v>470</v>
      </c>
    </row>
    <row r="626" spans="1:20" ht="15" customHeight="1" x14ac:dyDescent="0.25">
      <c r="A626">
        <f t="shared" si="9"/>
        <v>209</v>
      </c>
      <c r="B626" t="s">
        <v>1258</v>
      </c>
      <c r="C626" s="18" t="s">
        <v>47</v>
      </c>
      <c r="D626" s="18">
        <v>155</v>
      </c>
      <c r="E6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26" t="str">
        <f ca="1">IF(Tabla142[[#This Row],[frecuencia_new]]="Diaria"," ",RANDBETWEEN(1,6))</f>
        <v xml:space="preserve"> </v>
      </c>
      <c r="G626" t="str">
        <f ca="1">IF(Tabla142[[#This Row],[frecuencia_new]]="Diaria","",IF(Tabla142[[#This Row],[frecuencia_new]]="Semanal","",IF(Tabla142[[#This Row],[frecuencia_new]]="Quincenal",RANDBETWEEN(1,2),RANDBETWEEN(1,4))))</f>
        <v/>
      </c>
      <c r="H6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26" s="18" t="s">
        <v>193</v>
      </c>
      <c r="K626" s="18">
        <f>SUM(MID(Tabla142[[#This Row],[Duración]],1,2)*60,MID(Tabla142[[#This Row],[Duración]],6,2))</f>
        <v>5</v>
      </c>
      <c r="L626" s="19" t="s">
        <v>50</v>
      </c>
      <c r="M626" s="18" t="s">
        <v>239</v>
      </c>
      <c r="N626" t="s">
        <v>252</v>
      </c>
      <c r="O626" t="s">
        <v>398</v>
      </c>
      <c r="P626" t="s">
        <v>361</v>
      </c>
      <c r="Q626" s="20">
        <v>46032.649155092593</v>
      </c>
      <c r="R626" s="18" t="s">
        <v>6</v>
      </c>
      <c r="T626" t="s">
        <v>620</v>
      </c>
    </row>
    <row r="627" spans="1:20" ht="15" hidden="1" customHeight="1" x14ac:dyDescent="0.25">
      <c r="A627">
        <f t="shared" si="9"/>
        <v>72</v>
      </c>
      <c r="B627" t="s">
        <v>1259</v>
      </c>
      <c r="C627" s="13" t="s">
        <v>47</v>
      </c>
      <c r="D627">
        <v>68</v>
      </c>
      <c r="E6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27">
        <f ca="1">IF(Tabla142[[#This Row],[frecuencia_new]]="Diaria"," ",RANDBETWEEN(1,6))</f>
        <v>3</v>
      </c>
      <c r="G627">
        <f ca="1">IF(Tabla142[[#This Row],[frecuencia_new]]="Diaria","",IF(Tabla142[[#This Row],[frecuencia_new]]="Semanal","",IF(Tabla142[[#This Row],[frecuencia_new]]="Quincenal",RANDBETWEEN(1,2),RANDBETWEEN(1,4))))</f>
        <v>1</v>
      </c>
      <c r="H6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27" t="s">
        <v>354</v>
      </c>
      <c r="K627">
        <f>SUM(MID(Tabla142[[#This Row],[Duración]],1,2)*60,MID(Tabla142[[#This Row],[Duración]],6,2))</f>
        <v>30</v>
      </c>
      <c r="L627" s="4" t="s">
        <v>48</v>
      </c>
      <c r="M627" s="13" t="s">
        <v>257</v>
      </c>
      <c r="N627" t="s">
        <v>259</v>
      </c>
      <c r="O627" t="s">
        <v>396</v>
      </c>
      <c r="P627" t="s">
        <v>363</v>
      </c>
      <c r="Q627" s="20">
        <v>46032.649155092593</v>
      </c>
      <c r="R627">
        <v>100</v>
      </c>
      <c r="T627" t="s">
        <v>483</v>
      </c>
    </row>
    <row r="628" spans="1:20" ht="15" hidden="1" customHeight="1" x14ac:dyDescent="0.25">
      <c r="A628">
        <f t="shared" si="9"/>
        <v>72</v>
      </c>
      <c r="B628" t="s">
        <v>1260</v>
      </c>
      <c r="C628" s="13" t="s">
        <v>47</v>
      </c>
      <c r="D628">
        <v>68</v>
      </c>
      <c r="E6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28">
        <f ca="1">IF(Tabla142[[#This Row],[frecuencia_new]]="Diaria"," ",RANDBETWEEN(1,6))</f>
        <v>6</v>
      </c>
      <c r="G628">
        <f ca="1">IF(Tabla142[[#This Row],[frecuencia_new]]="Diaria","",IF(Tabla142[[#This Row],[frecuencia_new]]="Semanal","",IF(Tabla142[[#This Row],[frecuencia_new]]="Quincenal",RANDBETWEEN(1,2),RANDBETWEEN(1,4))))</f>
        <v>1</v>
      </c>
      <c r="H62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28" t="s">
        <v>352</v>
      </c>
      <c r="K628">
        <f>SUM(MID(Tabla142[[#This Row],[Duración]],1,2)*60,MID(Tabla142[[#This Row],[Duración]],6,2))</f>
        <v>3</v>
      </c>
      <c r="L628" s="4" t="s">
        <v>345</v>
      </c>
      <c r="M628" s="13" t="s">
        <v>257</v>
      </c>
      <c r="N628" t="s">
        <v>259</v>
      </c>
      <c r="O628" t="s">
        <v>396</v>
      </c>
      <c r="P628" t="s">
        <v>363</v>
      </c>
      <c r="Q628" s="20">
        <v>46032.649155092593</v>
      </c>
      <c r="R628">
        <v>100</v>
      </c>
      <c r="T628" t="s">
        <v>483</v>
      </c>
    </row>
    <row r="629" spans="1:20" ht="15" hidden="1" customHeight="1" x14ac:dyDescent="0.25">
      <c r="A629">
        <f t="shared" si="9"/>
        <v>72</v>
      </c>
      <c r="B629" t="s">
        <v>1261</v>
      </c>
      <c r="C629" s="13" t="s">
        <v>47</v>
      </c>
      <c r="D629">
        <v>68</v>
      </c>
      <c r="E6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29">
        <f ca="1">IF(Tabla142[[#This Row],[frecuencia_new]]="Diaria"," ",RANDBETWEEN(1,6))</f>
        <v>2</v>
      </c>
      <c r="G629">
        <f ca="1">IF(Tabla142[[#This Row],[frecuencia_new]]="Diaria","",IF(Tabla142[[#This Row],[frecuencia_new]]="Semanal","",IF(Tabla142[[#This Row],[frecuencia_new]]="Quincenal",RANDBETWEEN(1,2),RANDBETWEEN(1,4))))</f>
        <v>3</v>
      </c>
      <c r="H6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29" t="s">
        <v>351</v>
      </c>
      <c r="K629">
        <f>SUM(MID(Tabla142[[#This Row],[Duración]],1,2)*60,MID(Tabla142[[#This Row],[Duración]],6,2))</f>
        <v>30</v>
      </c>
      <c r="L629" s="4" t="s">
        <v>48</v>
      </c>
      <c r="M629" s="13" t="s">
        <v>257</v>
      </c>
      <c r="N629" t="s">
        <v>259</v>
      </c>
      <c r="O629" t="s">
        <v>396</v>
      </c>
      <c r="P629" t="s">
        <v>363</v>
      </c>
      <c r="Q629" s="20">
        <v>46032.649155092593</v>
      </c>
      <c r="R629">
        <v>100</v>
      </c>
      <c r="T629" t="s">
        <v>483</v>
      </c>
    </row>
    <row r="630" spans="1:20" ht="15" hidden="1" customHeight="1" x14ac:dyDescent="0.25">
      <c r="A630">
        <f t="shared" si="9"/>
        <v>72</v>
      </c>
      <c r="B630" t="s">
        <v>1262</v>
      </c>
      <c r="C630" s="13" t="s">
        <v>47</v>
      </c>
      <c r="D630">
        <v>69</v>
      </c>
      <c r="E6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0">
        <f ca="1">IF(Tabla142[[#This Row],[frecuencia_new]]="Diaria"," ",RANDBETWEEN(1,6))</f>
        <v>6</v>
      </c>
      <c r="G630">
        <f ca="1">IF(Tabla142[[#This Row],[frecuencia_new]]="Diaria","",IF(Tabla142[[#This Row],[frecuencia_new]]="Semanal","",IF(Tabla142[[#This Row],[frecuencia_new]]="Quincenal",RANDBETWEEN(1,2),RANDBETWEEN(1,4))))</f>
        <v>1</v>
      </c>
      <c r="H63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0" t="s">
        <v>346</v>
      </c>
      <c r="K630">
        <f>SUM(MID(Tabla142[[#This Row],[Duración]],1,2)*60,MID(Tabla142[[#This Row],[Duración]],6,2))</f>
        <v>30</v>
      </c>
      <c r="L630" s="4" t="s">
        <v>48</v>
      </c>
      <c r="M630" s="13" t="s">
        <v>257</v>
      </c>
      <c r="N630" t="s">
        <v>259</v>
      </c>
      <c r="O630" t="s">
        <v>396</v>
      </c>
      <c r="P630" t="s">
        <v>363</v>
      </c>
      <c r="Q630" s="20">
        <v>46032.649155092593</v>
      </c>
      <c r="R630">
        <v>100</v>
      </c>
      <c r="T630" t="s">
        <v>483</v>
      </c>
    </row>
    <row r="631" spans="1:20" ht="15" hidden="1" customHeight="1" x14ac:dyDescent="0.25">
      <c r="A631">
        <f t="shared" si="9"/>
        <v>72</v>
      </c>
      <c r="B631" t="s">
        <v>1263</v>
      </c>
      <c r="C631" s="13" t="s">
        <v>47</v>
      </c>
      <c r="D631">
        <v>69</v>
      </c>
      <c r="E6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1">
        <f ca="1">IF(Tabla142[[#This Row],[frecuencia_new]]="Diaria"," ",RANDBETWEEN(1,6))</f>
        <v>3</v>
      </c>
      <c r="G631">
        <f ca="1">IF(Tabla142[[#This Row],[frecuencia_new]]="Diaria","",IF(Tabla142[[#This Row],[frecuencia_new]]="Semanal","",IF(Tabla142[[#This Row],[frecuencia_new]]="Quincenal",RANDBETWEEN(1,2),RANDBETWEEN(1,4))))</f>
        <v>2</v>
      </c>
      <c r="H63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1" t="s">
        <v>344</v>
      </c>
      <c r="K631">
        <f>SUM(MID(Tabla142[[#This Row],[Duración]],1,2)*60,MID(Tabla142[[#This Row],[Duración]],6,2))</f>
        <v>3</v>
      </c>
      <c r="L631" s="4" t="s">
        <v>345</v>
      </c>
      <c r="M631" s="13" t="s">
        <v>257</v>
      </c>
      <c r="N631" t="s">
        <v>259</v>
      </c>
      <c r="O631" t="s">
        <v>396</v>
      </c>
      <c r="P631" t="s">
        <v>363</v>
      </c>
      <c r="Q631" s="20">
        <v>46032.649155092593</v>
      </c>
      <c r="R631">
        <v>100</v>
      </c>
      <c r="T631" t="s">
        <v>483</v>
      </c>
    </row>
    <row r="632" spans="1:20" ht="15" hidden="1" customHeight="1" x14ac:dyDescent="0.25">
      <c r="A632">
        <f t="shared" si="9"/>
        <v>72</v>
      </c>
      <c r="B632" t="s">
        <v>1264</v>
      </c>
      <c r="C632" s="13" t="s">
        <v>47</v>
      </c>
      <c r="D632">
        <v>69</v>
      </c>
      <c r="E6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2">
        <f ca="1">IF(Tabla142[[#This Row],[frecuencia_new]]="Diaria"," ",RANDBETWEEN(1,6))</f>
        <v>6</v>
      </c>
      <c r="G632">
        <f ca="1">IF(Tabla142[[#This Row],[frecuencia_new]]="Diaria","",IF(Tabla142[[#This Row],[frecuencia_new]]="Semanal","",IF(Tabla142[[#This Row],[frecuencia_new]]="Quincenal",RANDBETWEEN(1,2),RANDBETWEEN(1,4))))</f>
        <v>2</v>
      </c>
      <c r="H6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2" t="s">
        <v>343</v>
      </c>
      <c r="K632">
        <f>SUM(MID(Tabla142[[#This Row],[Duración]],1,2)*60,MID(Tabla142[[#This Row],[Duración]],6,2))</f>
        <v>30</v>
      </c>
      <c r="L632" s="4" t="s">
        <v>48</v>
      </c>
      <c r="M632" s="13" t="s">
        <v>257</v>
      </c>
      <c r="N632" t="s">
        <v>259</v>
      </c>
      <c r="O632" t="s">
        <v>396</v>
      </c>
      <c r="P632" t="s">
        <v>363</v>
      </c>
      <c r="Q632" s="20">
        <v>46032.649155092593</v>
      </c>
      <c r="R632">
        <v>100</v>
      </c>
      <c r="T632" t="s">
        <v>483</v>
      </c>
    </row>
    <row r="633" spans="1:20" ht="15" hidden="1" customHeight="1" x14ac:dyDescent="0.25">
      <c r="A633">
        <f t="shared" si="9"/>
        <v>72</v>
      </c>
      <c r="B633" t="s">
        <v>1265</v>
      </c>
      <c r="C633" s="13" t="s">
        <v>47</v>
      </c>
      <c r="D633">
        <v>69</v>
      </c>
      <c r="E6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3">
        <f ca="1">IF(Tabla142[[#This Row],[frecuencia_new]]="Diaria"," ",RANDBETWEEN(1,6))</f>
        <v>6</v>
      </c>
      <c r="G633">
        <f ca="1">IF(Tabla142[[#This Row],[frecuencia_new]]="Diaria","",IF(Tabla142[[#This Row],[frecuencia_new]]="Semanal","",IF(Tabla142[[#This Row],[frecuencia_new]]="Quincenal",RANDBETWEEN(1,2),RANDBETWEEN(1,4))))</f>
        <v>4</v>
      </c>
      <c r="H6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3" t="s">
        <v>342</v>
      </c>
      <c r="K633">
        <f>SUM(MID(Tabla142[[#This Row],[Duración]],1,2)*60,MID(Tabla142[[#This Row],[Duración]],6,2))</f>
        <v>30</v>
      </c>
      <c r="L633" s="4" t="s">
        <v>48</v>
      </c>
      <c r="M633" s="13" t="s">
        <v>257</v>
      </c>
      <c r="N633" t="s">
        <v>259</v>
      </c>
      <c r="O633" t="s">
        <v>396</v>
      </c>
      <c r="P633" t="s">
        <v>363</v>
      </c>
      <c r="Q633" s="20">
        <v>46032.649155092593</v>
      </c>
      <c r="R633">
        <v>100</v>
      </c>
      <c r="T633" t="s">
        <v>483</v>
      </c>
    </row>
    <row r="634" spans="1:20" ht="15" hidden="1" customHeight="1" x14ac:dyDescent="0.25">
      <c r="A634">
        <f t="shared" si="9"/>
        <v>72</v>
      </c>
      <c r="B634" t="s">
        <v>1266</v>
      </c>
      <c r="C634" s="13" t="s">
        <v>47</v>
      </c>
      <c r="D634">
        <v>69</v>
      </c>
      <c r="E6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4">
        <f ca="1">IF(Tabla142[[#This Row],[frecuencia_new]]="Diaria"," ",RANDBETWEEN(1,6))</f>
        <v>5</v>
      </c>
      <c r="G634">
        <f ca="1">IF(Tabla142[[#This Row],[frecuencia_new]]="Diaria","",IF(Tabla142[[#This Row],[frecuencia_new]]="Semanal","",IF(Tabla142[[#This Row],[frecuencia_new]]="Quincenal",RANDBETWEEN(1,2),RANDBETWEEN(1,4))))</f>
        <v>2</v>
      </c>
      <c r="H6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4" t="s">
        <v>339</v>
      </c>
      <c r="K634">
        <f>SUM(MID(Tabla142[[#This Row],[Duración]],1,2)*60,MID(Tabla142[[#This Row],[Duración]],6,2))</f>
        <v>30</v>
      </c>
      <c r="L634" s="4" t="s">
        <v>48</v>
      </c>
      <c r="M634" s="13" t="s">
        <v>257</v>
      </c>
      <c r="N634" t="s">
        <v>259</v>
      </c>
      <c r="O634" t="s">
        <v>396</v>
      </c>
      <c r="P634" t="s">
        <v>363</v>
      </c>
      <c r="Q634" s="20">
        <v>46032.649155092593</v>
      </c>
      <c r="R634">
        <v>100</v>
      </c>
      <c r="T634" t="s">
        <v>483</v>
      </c>
    </row>
    <row r="635" spans="1:20" ht="15" hidden="1" customHeight="1" x14ac:dyDescent="0.25">
      <c r="A635">
        <f t="shared" si="9"/>
        <v>72</v>
      </c>
      <c r="B635" t="s">
        <v>1267</v>
      </c>
      <c r="C635" s="13" t="s">
        <v>47</v>
      </c>
      <c r="D635">
        <v>69</v>
      </c>
      <c r="E6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5">
        <f ca="1">IF(Tabla142[[#This Row],[frecuencia_new]]="Diaria"," ",RANDBETWEEN(1,6))</f>
        <v>5</v>
      </c>
      <c r="G635">
        <f ca="1">IF(Tabla142[[#This Row],[frecuencia_new]]="Diaria","",IF(Tabla142[[#This Row],[frecuencia_new]]="Semanal","",IF(Tabla142[[#This Row],[frecuencia_new]]="Quincenal",RANDBETWEEN(1,2),RANDBETWEEN(1,4))))</f>
        <v>1</v>
      </c>
      <c r="H6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5" t="s">
        <v>338</v>
      </c>
      <c r="K635">
        <f>SUM(MID(Tabla142[[#This Row],[Duración]],1,2)*60,MID(Tabla142[[#This Row],[Duración]],6,2))</f>
        <v>10</v>
      </c>
      <c r="L635" s="4" t="s">
        <v>71</v>
      </c>
      <c r="M635" s="13" t="s">
        <v>257</v>
      </c>
      <c r="N635" t="s">
        <v>259</v>
      </c>
      <c r="O635" t="s">
        <v>396</v>
      </c>
      <c r="P635" t="s">
        <v>363</v>
      </c>
      <c r="Q635" s="20">
        <v>46032.649155092593</v>
      </c>
      <c r="R635">
        <v>100</v>
      </c>
      <c r="T635" t="s">
        <v>483</v>
      </c>
    </row>
    <row r="636" spans="1:20" ht="15" hidden="1" customHeight="1" x14ac:dyDescent="0.25">
      <c r="A636">
        <f t="shared" si="9"/>
        <v>72</v>
      </c>
      <c r="B636" t="s">
        <v>1268</v>
      </c>
      <c r="C636" s="13" t="s">
        <v>47</v>
      </c>
      <c r="D636">
        <v>69</v>
      </c>
      <c r="E6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6">
        <f ca="1">IF(Tabla142[[#This Row],[frecuencia_new]]="Diaria"," ",RANDBETWEEN(1,6))</f>
        <v>6</v>
      </c>
      <c r="G636">
        <f ca="1">IF(Tabla142[[#This Row],[frecuencia_new]]="Diaria","",IF(Tabla142[[#This Row],[frecuencia_new]]="Semanal","",IF(Tabla142[[#This Row],[frecuencia_new]]="Quincenal",RANDBETWEEN(1,2),RANDBETWEEN(1,4))))</f>
        <v>4</v>
      </c>
      <c r="H6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6" t="s">
        <v>356</v>
      </c>
      <c r="K636">
        <f>SUM(MID(Tabla142[[#This Row],[Duración]],1,2)*60,MID(Tabla142[[#This Row],[Duración]],6,2))</f>
        <v>10</v>
      </c>
      <c r="L636" s="4" t="s">
        <v>71</v>
      </c>
      <c r="M636" s="13" t="s">
        <v>257</v>
      </c>
      <c r="N636" t="s">
        <v>259</v>
      </c>
      <c r="O636" t="s">
        <v>396</v>
      </c>
      <c r="P636" t="s">
        <v>363</v>
      </c>
      <c r="Q636" s="20">
        <v>46032.649155092593</v>
      </c>
      <c r="R636">
        <v>100</v>
      </c>
      <c r="T636" t="s">
        <v>483</v>
      </c>
    </row>
    <row r="637" spans="1:20" ht="15" hidden="1" customHeight="1" x14ac:dyDescent="0.25">
      <c r="A637">
        <f t="shared" si="9"/>
        <v>72</v>
      </c>
      <c r="B637" t="s">
        <v>1269</v>
      </c>
      <c r="C637" s="13" t="s">
        <v>47</v>
      </c>
      <c r="D637">
        <v>69</v>
      </c>
      <c r="E6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7">
        <f ca="1">IF(Tabla142[[#This Row],[frecuencia_new]]="Diaria"," ",RANDBETWEEN(1,6))</f>
        <v>6</v>
      </c>
      <c r="G637">
        <f ca="1">IF(Tabla142[[#This Row],[frecuencia_new]]="Diaria","",IF(Tabla142[[#This Row],[frecuencia_new]]="Semanal","",IF(Tabla142[[#This Row],[frecuencia_new]]="Quincenal",RANDBETWEEN(1,2),RANDBETWEEN(1,4))))</f>
        <v>1</v>
      </c>
      <c r="H63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7" t="s">
        <v>355</v>
      </c>
      <c r="K637">
        <f>SUM(MID(Tabla142[[#This Row],[Duración]],1,2)*60,MID(Tabla142[[#This Row],[Duración]],6,2))</f>
        <v>30</v>
      </c>
      <c r="L637" s="4" t="s">
        <v>48</v>
      </c>
      <c r="M637" s="13" t="s">
        <v>257</v>
      </c>
      <c r="N637" t="s">
        <v>259</v>
      </c>
      <c r="O637" t="s">
        <v>396</v>
      </c>
      <c r="P637" t="s">
        <v>363</v>
      </c>
      <c r="Q637" s="20">
        <v>46032.649155092593</v>
      </c>
      <c r="R637">
        <v>100</v>
      </c>
      <c r="T637" t="s">
        <v>483</v>
      </c>
    </row>
    <row r="638" spans="1:20" ht="15" hidden="1" customHeight="1" x14ac:dyDescent="0.25">
      <c r="A638">
        <f t="shared" si="9"/>
        <v>72</v>
      </c>
      <c r="B638" t="s">
        <v>1270</v>
      </c>
      <c r="C638" s="13" t="s">
        <v>47</v>
      </c>
      <c r="D638">
        <v>69</v>
      </c>
      <c r="E6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8">
        <f ca="1">IF(Tabla142[[#This Row],[frecuencia_new]]="Diaria"," ",RANDBETWEEN(1,6))</f>
        <v>3</v>
      </c>
      <c r="G638">
        <f ca="1">IF(Tabla142[[#This Row],[frecuencia_new]]="Diaria","",IF(Tabla142[[#This Row],[frecuencia_new]]="Semanal","",IF(Tabla142[[#This Row],[frecuencia_new]]="Quincenal",RANDBETWEEN(1,2),RANDBETWEEN(1,4))))</f>
        <v>1</v>
      </c>
      <c r="H63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8" t="s">
        <v>354</v>
      </c>
      <c r="K638">
        <f>SUM(MID(Tabla142[[#This Row],[Duración]],1,2)*60,MID(Tabla142[[#This Row],[Duración]],6,2))</f>
        <v>30</v>
      </c>
      <c r="L638" s="4" t="s">
        <v>48</v>
      </c>
      <c r="M638" s="13" t="s">
        <v>257</v>
      </c>
      <c r="N638" t="s">
        <v>259</v>
      </c>
      <c r="O638" t="s">
        <v>396</v>
      </c>
      <c r="P638" t="s">
        <v>363</v>
      </c>
      <c r="Q638" s="20">
        <v>46032.649155092593</v>
      </c>
      <c r="R638">
        <v>100</v>
      </c>
      <c r="T638" t="s">
        <v>483</v>
      </c>
    </row>
    <row r="639" spans="1:20" ht="15" hidden="1" customHeight="1" x14ac:dyDescent="0.25">
      <c r="A639">
        <f t="shared" si="9"/>
        <v>72</v>
      </c>
      <c r="B639" t="s">
        <v>1271</v>
      </c>
      <c r="C639" s="13" t="s">
        <v>47</v>
      </c>
      <c r="D639">
        <v>69</v>
      </c>
      <c r="E6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39">
        <f ca="1">IF(Tabla142[[#This Row],[frecuencia_new]]="Diaria"," ",RANDBETWEEN(1,6))</f>
        <v>6</v>
      </c>
      <c r="G639">
        <f ca="1">IF(Tabla142[[#This Row],[frecuencia_new]]="Diaria","",IF(Tabla142[[#This Row],[frecuencia_new]]="Semanal","",IF(Tabla142[[#This Row],[frecuencia_new]]="Quincenal",RANDBETWEEN(1,2),RANDBETWEEN(1,4))))</f>
        <v>1</v>
      </c>
      <c r="H6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39" t="s">
        <v>352</v>
      </c>
      <c r="K639">
        <f>SUM(MID(Tabla142[[#This Row],[Duración]],1,2)*60,MID(Tabla142[[#This Row],[Duración]],6,2))</f>
        <v>3</v>
      </c>
      <c r="L639" s="4" t="s">
        <v>345</v>
      </c>
      <c r="M639" s="13" t="s">
        <v>257</v>
      </c>
      <c r="N639" t="s">
        <v>259</v>
      </c>
      <c r="O639" t="s">
        <v>396</v>
      </c>
      <c r="P639" t="s">
        <v>363</v>
      </c>
      <c r="Q639" s="20">
        <v>46032.649155092593</v>
      </c>
      <c r="R639">
        <v>100</v>
      </c>
      <c r="T639" t="s">
        <v>483</v>
      </c>
    </row>
    <row r="640" spans="1:20" ht="15" hidden="1" customHeight="1" x14ac:dyDescent="0.25">
      <c r="A640">
        <f t="shared" si="9"/>
        <v>72</v>
      </c>
      <c r="B640" t="s">
        <v>1272</v>
      </c>
      <c r="C640" s="13" t="s">
        <v>47</v>
      </c>
      <c r="D640">
        <v>69</v>
      </c>
      <c r="E6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0">
        <f ca="1">IF(Tabla142[[#This Row],[frecuencia_new]]="Diaria"," ",RANDBETWEEN(1,6))</f>
        <v>3</v>
      </c>
      <c r="G640">
        <f ca="1">IF(Tabla142[[#This Row],[frecuencia_new]]="Diaria","",IF(Tabla142[[#This Row],[frecuencia_new]]="Semanal","",IF(Tabla142[[#This Row],[frecuencia_new]]="Quincenal",RANDBETWEEN(1,2),RANDBETWEEN(1,4))))</f>
        <v>4</v>
      </c>
      <c r="H6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0" t="s">
        <v>351</v>
      </c>
      <c r="K640">
        <f>SUM(MID(Tabla142[[#This Row],[Duración]],1,2)*60,MID(Tabla142[[#This Row],[Duración]],6,2))</f>
        <v>30</v>
      </c>
      <c r="L640" s="4" t="s">
        <v>48</v>
      </c>
      <c r="M640" s="13" t="s">
        <v>257</v>
      </c>
      <c r="N640" t="s">
        <v>259</v>
      </c>
      <c r="O640" t="s">
        <v>396</v>
      </c>
      <c r="P640" t="s">
        <v>363</v>
      </c>
      <c r="Q640" s="20">
        <v>46032.649155092593</v>
      </c>
      <c r="R640">
        <v>100</v>
      </c>
      <c r="T640" t="s">
        <v>483</v>
      </c>
    </row>
    <row r="641" spans="1:20" ht="15" hidden="1" customHeight="1" x14ac:dyDescent="0.25">
      <c r="A641">
        <f t="shared" si="9"/>
        <v>72</v>
      </c>
      <c r="B641" t="s">
        <v>1273</v>
      </c>
      <c r="C641" s="13" t="s">
        <v>47</v>
      </c>
      <c r="D641">
        <v>68</v>
      </c>
      <c r="E6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1">
        <f ca="1">IF(Tabla142[[#This Row],[frecuencia_new]]="Diaria"," ",RANDBETWEEN(1,6))</f>
        <v>5</v>
      </c>
      <c r="G641">
        <f ca="1">IF(Tabla142[[#This Row],[frecuencia_new]]="Diaria","",IF(Tabla142[[#This Row],[frecuencia_new]]="Semanal","",IF(Tabla142[[#This Row],[frecuencia_new]]="Quincenal",RANDBETWEEN(1,2),RANDBETWEEN(1,4))))</f>
        <v>2</v>
      </c>
      <c r="H6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1" t="s">
        <v>336</v>
      </c>
      <c r="K641">
        <f>SUM(MID(Tabla142[[#This Row],[Duración]],1,2)*60,MID(Tabla142[[#This Row],[Duración]],6,2))</f>
        <v>0</v>
      </c>
      <c r="L641" s="4" t="s">
        <v>337</v>
      </c>
      <c r="M641" s="13" t="s">
        <v>257</v>
      </c>
      <c r="N641" t="s">
        <v>259</v>
      </c>
      <c r="O641" t="s">
        <v>396</v>
      </c>
      <c r="P641" t="s">
        <v>363</v>
      </c>
      <c r="Q641" s="20">
        <v>46032.649155092593</v>
      </c>
      <c r="R641">
        <v>2400</v>
      </c>
      <c r="T641" t="s">
        <v>483</v>
      </c>
    </row>
    <row r="642" spans="1:20" ht="15" hidden="1" customHeight="1" x14ac:dyDescent="0.25">
      <c r="A642">
        <f t="shared" ref="A642:A705" si="10">VLOOKUP(T642,$V$2:$W$222,2,FALSE)</f>
        <v>72</v>
      </c>
      <c r="B642" t="s">
        <v>1274</v>
      </c>
      <c r="C642" s="13" t="s">
        <v>47</v>
      </c>
      <c r="D642">
        <v>68</v>
      </c>
      <c r="E6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2">
        <f ca="1">IF(Tabla142[[#This Row],[frecuencia_new]]="Diaria"," ",RANDBETWEEN(1,6))</f>
        <v>5</v>
      </c>
      <c r="G642">
        <f ca="1">IF(Tabla142[[#This Row],[frecuencia_new]]="Diaria","",IF(Tabla142[[#This Row],[frecuencia_new]]="Semanal","",IF(Tabla142[[#This Row],[frecuencia_new]]="Quincenal",RANDBETWEEN(1,2),RANDBETWEEN(1,4))))</f>
        <v>1</v>
      </c>
      <c r="H6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2" t="s">
        <v>349</v>
      </c>
      <c r="K642">
        <f>SUM(MID(Tabla142[[#This Row],[Duración]],1,2)*60,MID(Tabla142[[#This Row],[Duración]],6,2))</f>
        <v>240</v>
      </c>
      <c r="L642" s="4" t="s">
        <v>167</v>
      </c>
      <c r="M642" s="13" t="s">
        <v>257</v>
      </c>
      <c r="N642" t="s">
        <v>259</v>
      </c>
      <c r="O642" t="s">
        <v>396</v>
      </c>
      <c r="P642" t="s">
        <v>363</v>
      </c>
      <c r="Q642" s="20">
        <v>46032.649155092593</v>
      </c>
      <c r="R642">
        <v>2400</v>
      </c>
      <c r="T642" t="s">
        <v>483</v>
      </c>
    </row>
    <row r="643" spans="1:20" ht="15" hidden="1" customHeight="1" x14ac:dyDescent="0.25">
      <c r="A643">
        <f t="shared" si="10"/>
        <v>72</v>
      </c>
      <c r="B643" t="s">
        <v>1275</v>
      </c>
      <c r="C643" s="13" t="s">
        <v>47</v>
      </c>
      <c r="D643">
        <v>69</v>
      </c>
      <c r="E6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3">
        <f ca="1">IF(Tabla142[[#This Row],[frecuencia_new]]="Diaria"," ",RANDBETWEEN(1,6))</f>
        <v>1</v>
      </c>
      <c r="G643">
        <f ca="1">IF(Tabla142[[#This Row],[frecuencia_new]]="Diaria","",IF(Tabla142[[#This Row],[frecuencia_new]]="Semanal","",IF(Tabla142[[#This Row],[frecuencia_new]]="Quincenal",RANDBETWEEN(1,2),RANDBETWEEN(1,4))))</f>
        <v>3</v>
      </c>
      <c r="H6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3" t="s">
        <v>336</v>
      </c>
      <c r="K643">
        <f>SUM(MID(Tabla142[[#This Row],[Duración]],1,2)*60,MID(Tabla142[[#This Row],[Duración]],6,2))</f>
        <v>0</v>
      </c>
      <c r="L643" s="4" t="s">
        <v>337</v>
      </c>
      <c r="M643" s="13" t="s">
        <v>257</v>
      </c>
      <c r="N643" t="s">
        <v>259</v>
      </c>
      <c r="O643" t="s">
        <v>396</v>
      </c>
      <c r="P643" t="s">
        <v>363</v>
      </c>
      <c r="Q643" s="20">
        <v>46032.649155092593</v>
      </c>
      <c r="R643">
        <v>2400</v>
      </c>
      <c r="T643" t="s">
        <v>483</v>
      </c>
    </row>
    <row r="644" spans="1:20" ht="15" hidden="1" customHeight="1" x14ac:dyDescent="0.25">
      <c r="A644">
        <f t="shared" si="10"/>
        <v>73</v>
      </c>
      <c r="B644" t="s">
        <v>1276</v>
      </c>
      <c r="C644" s="13" t="s">
        <v>47</v>
      </c>
      <c r="D644">
        <v>69</v>
      </c>
      <c r="E6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4">
        <f ca="1">IF(Tabla142[[#This Row],[frecuencia_new]]="Diaria"," ",RANDBETWEEN(1,6))</f>
        <v>6</v>
      </c>
      <c r="G644">
        <f ca="1">IF(Tabla142[[#This Row],[frecuencia_new]]="Diaria","",IF(Tabla142[[#This Row],[frecuencia_new]]="Semanal","",IF(Tabla142[[#This Row],[frecuencia_new]]="Quincenal",RANDBETWEEN(1,2),RANDBETWEEN(1,4))))</f>
        <v>2</v>
      </c>
      <c r="H6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4" t="s">
        <v>349</v>
      </c>
      <c r="K644">
        <f>SUM(MID(Tabla142[[#This Row],[Duración]],1,2)*60,MID(Tabla142[[#This Row],[Duración]],6,2))</f>
        <v>240</v>
      </c>
      <c r="L644" s="4" t="s">
        <v>167</v>
      </c>
      <c r="M644" s="13" t="s">
        <v>257</v>
      </c>
      <c r="N644" t="s">
        <v>259</v>
      </c>
      <c r="O644" t="s">
        <v>396</v>
      </c>
      <c r="P644" t="s">
        <v>363</v>
      </c>
      <c r="Q644" s="20">
        <v>46032.649155092593</v>
      </c>
      <c r="R644">
        <v>2400</v>
      </c>
      <c r="T644" t="s">
        <v>484</v>
      </c>
    </row>
    <row r="645" spans="1:20" ht="15" hidden="1" customHeight="1" x14ac:dyDescent="0.25">
      <c r="A645">
        <f t="shared" si="10"/>
        <v>73</v>
      </c>
      <c r="B645" t="s">
        <v>1277</v>
      </c>
      <c r="C645" s="13" t="s">
        <v>47</v>
      </c>
      <c r="D645">
        <v>20</v>
      </c>
      <c r="E6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5">
        <f ca="1">IF(Tabla142[[#This Row],[frecuencia_new]]="Diaria"," ",RANDBETWEEN(1,6))</f>
        <v>5</v>
      </c>
      <c r="G645">
        <f ca="1">IF(Tabla142[[#This Row],[frecuencia_new]]="Diaria","",IF(Tabla142[[#This Row],[frecuencia_new]]="Semanal","",IF(Tabla142[[#This Row],[frecuencia_new]]="Quincenal",RANDBETWEEN(1,2),RANDBETWEEN(1,4))))</f>
        <v>4</v>
      </c>
      <c r="H6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5" t="s">
        <v>285</v>
      </c>
      <c r="K645">
        <f>SUM(MID(Tabla142[[#This Row],[Duración]],1,2)*60,MID(Tabla142[[#This Row],[Duración]],6,2))</f>
        <v>5</v>
      </c>
      <c r="L645" s="4" t="s">
        <v>50</v>
      </c>
      <c r="M645" t="s">
        <v>257</v>
      </c>
      <c r="N645" t="s">
        <v>325</v>
      </c>
      <c r="O645" t="s">
        <v>396</v>
      </c>
      <c r="P645" t="s">
        <v>363</v>
      </c>
      <c r="Q645" s="20">
        <v>46032.649155092593</v>
      </c>
      <c r="R645">
        <v>500</v>
      </c>
      <c r="T645" t="s">
        <v>484</v>
      </c>
    </row>
    <row r="646" spans="1:20" ht="15" hidden="1" customHeight="1" x14ac:dyDescent="0.25">
      <c r="A646">
        <f t="shared" si="10"/>
        <v>73</v>
      </c>
      <c r="B646" t="s">
        <v>1278</v>
      </c>
      <c r="C646" s="13" t="s">
        <v>47</v>
      </c>
      <c r="D646">
        <v>21</v>
      </c>
      <c r="E6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6">
        <f ca="1">IF(Tabla142[[#This Row],[frecuencia_new]]="Diaria"," ",RANDBETWEEN(1,6))</f>
        <v>4</v>
      </c>
      <c r="G646">
        <f ca="1">IF(Tabla142[[#This Row],[frecuencia_new]]="Diaria","",IF(Tabla142[[#This Row],[frecuencia_new]]="Semanal","",IF(Tabla142[[#This Row],[frecuencia_new]]="Quincenal",RANDBETWEEN(1,2),RANDBETWEEN(1,4))))</f>
        <v>2</v>
      </c>
      <c r="H6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6" t="s">
        <v>285</v>
      </c>
      <c r="K646">
        <f>SUM(MID(Tabla142[[#This Row],[Duración]],1,2)*60,MID(Tabla142[[#This Row],[Duración]],6,2))</f>
        <v>5</v>
      </c>
      <c r="L646" s="4" t="s">
        <v>50</v>
      </c>
      <c r="M646" t="s">
        <v>257</v>
      </c>
      <c r="N646" t="s">
        <v>325</v>
      </c>
      <c r="O646" t="s">
        <v>396</v>
      </c>
      <c r="P646" t="s">
        <v>363</v>
      </c>
      <c r="Q646" s="20">
        <v>46032.649155092593</v>
      </c>
      <c r="R646">
        <v>500</v>
      </c>
      <c r="T646" t="s">
        <v>484</v>
      </c>
    </row>
    <row r="647" spans="1:20" ht="15" hidden="1" customHeight="1" x14ac:dyDescent="0.25">
      <c r="A647">
        <f t="shared" si="10"/>
        <v>73</v>
      </c>
      <c r="B647" t="s">
        <v>1279</v>
      </c>
      <c r="C647" s="13" t="s">
        <v>47</v>
      </c>
      <c r="D647">
        <v>20</v>
      </c>
      <c r="E6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7">
        <f ca="1">IF(Tabla142[[#This Row],[frecuencia_new]]="Diaria"," ",RANDBETWEEN(1,6))</f>
        <v>3</v>
      </c>
      <c r="G647">
        <f ca="1">IF(Tabla142[[#This Row],[frecuencia_new]]="Diaria","",IF(Tabla142[[#This Row],[frecuencia_new]]="Semanal","",IF(Tabla142[[#This Row],[frecuencia_new]]="Quincenal",RANDBETWEEN(1,2),RANDBETWEEN(1,4))))</f>
        <v>1</v>
      </c>
      <c r="H6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7" t="s">
        <v>279</v>
      </c>
      <c r="K647">
        <f>SUM(MID(Tabla142[[#This Row],[Duración]],1,2)*60,MID(Tabla142[[#This Row],[Duración]],6,2))</f>
        <v>15</v>
      </c>
      <c r="L647" s="4" t="s">
        <v>77</v>
      </c>
      <c r="M647" t="s">
        <v>257</v>
      </c>
      <c r="N647" t="s">
        <v>325</v>
      </c>
      <c r="O647" t="s">
        <v>384</v>
      </c>
      <c r="P647" t="s">
        <v>373</v>
      </c>
      <c r="Q647" s="20">
        <v>46032.649155092593</v>
      </c>
      <c r="R647">
        <v>500</v>
      </c>
      <c r="T647" t="s">
        <v>484</v>
      </c>
    </row>
    <row r="648" spans="1:20" ht="15" hidden="1" customHeight="1" x14ac:dyDescent="0.25">
      <c r="A648">
        <f t="shared" si="10"/>
        <v>73</v>
      </c>
      <c r="B648" t="s">
        <v>1280</v>
      </c>
      <c r="C648" s="13" t="s">
        <v>47</v>
      </c>
      <c r="D648">
        <v>20</v>
      </c>
      <c r="E6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8">
        <f ca="1">IF(Tabla142[[#This Row],[frecuencia_new]]="Diaria"," ",RANDBETWEEN(1,6))</f>
        <v>5</v>
      </c>
      <c r="G648">
        <f ca="1">IF(Tabla142[[#This Row],[frecuencia_new]]="Diaria","",IF(Tabla142[[#This Row],[frecuencia_new]]="Semanal","",IF(Tabla142[[#This Row],[frecuencia_new]]="Quincenal",RANDBETWEEN(1,2),RANDBETWEEN(1,4))))</f>
        <v>2</v>
      </c>
      <c r="H6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8" t="s">
        <v>56</v>
      </c>
      <c r="K648">
        <f>SUM(MID(Tabla142[[#This Row],[Duración]],1,2)*60,MID(Tabla142[[#This Row],[Duración]],6,2))</f>
        <v>15</v>
      </c>
      <c r="L648" s="4" t="s">
        <v>77</v>
      </c>
      <c r="M648" t="s">
        <v>257</v>
      </c>
      <c r="N648" t="s">
        <v>325</v>
      </c>
      <c r="O648" t="s">
        <v>384</v>
      </c>
      <c r="P648" t="s">
        <v>373</v>
      </c>
      <c r="Q648" s="20">
        <v>46032.649155092593</v>
      </c>
      <c r="R648">
        <v>500</v>
      </c>
      <c r="T648" t="s">
        <v>484</v>
      </c>
    </row>
    <row r="649" spans="1:20" ht="15" hidden="1" customHeight="1" x14ac:dyDescent="0.25">
      <c r="A649">
        <f t="shared" si="10"/>
        <v>73</v>
      </c>
      <c r="B649" t="s">
        <v>1281</v>
      </c>
      <c r="C649" s="13" t="s">
        <v>47</v>
      </c>
      <c r="D649">
        <v>20</v>
      </c>
      <c r="E6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49">
        <f ca="1">IF(Tabla142[[#This Row],[frecuencia_new]]="Diaria"," ",RANDBETWEEN(1,6))</f>
        <v>1</v>
      </c>
      <c r="G649">
        <f ca="1">IF(Tabla142[[#This Row],[frecuencia_new]]="Diaria","",IF(Tabla142[[#This Row],[frecuencia_new]]="Semanal","",IF(Tabla142[[#This Row],[frecuencia_new]]="Quincenal",RANDBETWEEN(1,2),RANDBETWEEN(1,4))))</f>
        <v>4</v>
      </c>
      <c r="H6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49" t="s">
        <v>284</v>
      </c>
      <c r="K649">
        <f>SUM(MID(Tabla142[[#This Row],[Duración]],1,2)*60,MID(Tabla142[[#This Row],[Duración]],6,2))</f>
        <v>15</v>
      </c>
      <c r="L649" s="4" t="s">
        <v>77</v>
      </c>
      <c r="M649" t="s">
        <v>257</v>
      </c>
      <c r="N649" t="s">
        <v>325</v>
      </c>
      <c r="O649" t="s">
        <v>396</v>
      </c>
      <c r="P649" t="s">
        <v>363</v>
      </c>
      <c r="Q649" s="20">
        <v>46032.649155092593</v>
      </c>
      <c r="R649">
        <v>500</v>
      </c>
      <c r="T649" t="s">
        <v>484</v>
      </c>
    </row>
    <row r="650" spans="1:20" ht="15" hidden="1" customHeight="1" x14ac:dyDescent="0.25">
      <c r="A650">
        <f t="shared" si="10"/>
        <v>73</v>
      </c>
      <c r="B650" t="s">
        <v>1282</v>
      </c>
      <c r="C650" s="13" t="s">
        <v>47</v>
      </c>
      <c r="D650">
        <v>20</v>
      </c>
      <c r="E6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0">
        <f ca="1">IF(Tabla142[[#This Row],[frecuencia_new]]="Diaria"," ",RANDBETWEEN(1,6))</f>
        <v>6</v>
      </c>
      <c r="G650">
        <f ca="1">IF(Tabla142[[#This Row],[frecuencia_new]]="Diaria","",IF(Tabla142[[#This Row],[frecuencia_new]]="Semanal","",IF(Tabla142[[#This Row],[frecuencia_new]]="Quincenal",RANDBETWEEN(1,2),RANDBETWEEN(1,4))))</f>
        <v>4</v>
      </c>
      <c r="H65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0" t="s">
        <v>288</v>
      </c>
      <c r="K650">
        <f>SUM(MID(Tabla142[[#This Row],[Duración]],1,2)*60,MID(Tabla142[[#This Row],[Duración]],6,2))</f>
        <v>15</v>
      </c>
      <c r="L650" s="4" t="s">
        <v>77</v>
      </c>
      <c r="M650" t="s">
        <v>257</v>
      </c>
      <c r="N650" t="s">
        <v>325</v>
      </c>
      <c r="O650" t="s">
        <v>396</v>
      </c>
      <c r="P650" t="s">
        <v>363</v>
      </c>
      <c r="Q650" s="20">
        <v>46032.649155092593</v>
      </c>
      <c r="R650">
        <v>500</v>
      </c>
      <c r="T650" t="s">
        <v>484</v>
      </c>
    </row>
    <row r="651" spans="1:20" ht="15" hidden="1" customHeight="1" x14ac:dyDescent="0.25">
      <c r="A651">
        <f t="shared" si="10"/>
        <v>73</v>
      </c>
      <c r="B651" t="s">
        <v>1283</v>
      </c>
      <c r="C651" s="13" t="s">
        <v>47</v>
      </c>
      <c r="D651">
        <v>21</v>
      </c>
      <c r="E6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1">
        <f ca="1">IF(Tabla142[[#This Row],[frecuencia_new]]="Diaria"," ",RANDBETWEEN(1,6))</f>
        <v>1</v>
      </c>
      <c r="G651">
        <f ca="1">IF(Tabla142[[#This Row],[frecuencia_new]]="Diaria","",IF(Tabla142[[#This Row],[frecuencia_new]]="Semanal","",IF(Tabla142[[#This Row],[frecuencia_new]]="Quincenal",RANDBETWEEN(1,2),RANDBETWEEN(1,4))))</f>
        <v>2</v>
      </c>
      <c r="H65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1" t="s">
        <v>279</v>
      </c>
      <c r="K651">
        <f>SUM(MID(Tabla142[[#This Row],[Duración]],1,2)*60,MID(Tabla142[[#This Row],[Duración]],6,2))</f>
        <v>15</v>
      </c>
      <c r="L651" s="4" t="s">
        <v>77</v>
      </c>
      <c r="M651" t="s">
        <v>257</v>
      </c>
      <c r="N651" t="s">
        <v>325</v>
      </c>
      <c r="O651" t="s">
        <v>384</v>
      </c>
      <c r="P651" t="s">
        <v>373</v>
      </c>
      <c r="Q651" s="20">
        <v>46032.649155092593</v>
      </c>
      <c r="R651">
        <v>500</v>
      </c>
      <c r="T651" t="s">
        <v>484</v>
      </c>
    </row>
    <row r="652" spans="1:20" ht="15" hidden="1" customHeight="1" x14ac:dyDescent="0.25">
      <c r="A652">
        <f t="shared" si="10"/>
        <v>73</v>
      </c>
      <c r="B652" t="s">
        <v>1284</v>
      </c>
      <c r="C652" s="13" t="s">
        <v>47</v>
      </c>
      <c r="D652">
        <v>21</v>
      </c>
      <c r="E6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2">
        <f ca="1">IF(Tabla142[[#This Row],[frecuencia_new]]="Diaria"," ",RANDBETWEEN(1,6))</f>
        <v>1</v>
      </c>
      <c r="G652">
        <f ca="1">IF(Tabla142[[#This Row],[frecuencia_new]]="Diaria","",IF(Tabla142[[#This Row],[frecuencia_new]]="Semanal","",IF(Tabla142[[#This Row],[frecuencia_new]]="Quincenal",RANDBETWEEN(1,2),RANDBETWEEN(1,4))))</f>
        <v>4</v>
      </c>
      <c r="H6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2" t="s">
        <v>56</v>
      </c>
      <c r="K652">
        <f>SUM(MID(Tabla142[[#This Row],[Duración]],1,2)*60,MID(Tabla142[[#This Row],[Duración]],6,2))</f>
        <v>15</v>
      </c>
      <c r="L652" s="4" t="s">
        <v>77</v>
      </c>
      <c r="M652" t="s">
        <v>257</v>
      </c>
      <c r="N652" t="s">
        <v>325</v>
      </c>
      <c r="O652" t="s">
        <v>384</v>
      </c>
      <c r="P652" t="s">
        <v>373</v>
      </c>
      <c r="Q652" s="20">
        <v>46032.649155092593</v>
      </c>
      <c r="R652">
        <v>500</v>
      </c>
      <c r="T652" t="s">
        <v>484</v>
      </c>
    </row>
    <row r="653" spans="1:20" ht="15" hidden="1" customHeight="1" x14ac:dyDescent="0.25">
      <c r="A653">
        <f t="shared" si="10"/>
        <v>73</v>
      </c>
      <c r="B653" t="s">
        <v>1285</v>
      </c>
      <c r="C653" s="13" t="s">
        <v>47</v>
      </c>
      <c r="D653">
        <v>21</v>
      </c>
      <c r="E6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3">
        <f ca="1">IF(Tabla142[[#This Row],[frecuencia_new]]="Diaria"," ",RANDBETWEEN(1,6))</f>
        <v>3</v>
      </c>
      <c r="G653">
        <f ca="1">IF(Tabla142[[#This Row],[frecuencia_new]]="Diaria","",IF(Tabla142[[#This Row],[frecuencia_new]]="Semanal","",IF(Tabla142[[#This Row],[frecuencia_new]]="Quincenal",RANDBETWEEN(1,2),RANDBETWEEN(1,4))))</f>
        <v>2</v>
      </c>
      <c r="H6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3" t="s">
        <v>284</v>
      </c>
      <c r="K653">
        <f>SUM(MID(Tabla142[[#This Row],[Duración]],1,2)*60,MID(Tabla142[[#This Row],[Duración]],6,2))</f>
        <v>15</v>
      </c>
      <c r="L653" s="4" t="s">
        <v>77</v>
      </c>
      <c r="M653" t="s">
        <v>257</v>
      </c>
      <c r="N653" t="s">
        <v>325</v>
      </c>
      <c r="O653" t="s">
        <v>396</v>
      </c>
      <c r="P653" t="s">
        <v>363</v>
      </c>
      <c r="Q653" s="20">
        <v>46032.649155092593</v>
      </c>
      <c r="R653">
        <v>500</v>
      </c>
      <c r="T653" t="s">
        <v>484</v>
      </c>
    </row>
    <row r="654" spans="1:20" ht="15" hidden="1" customHeight="1" x14ac:dyDescent="0.25">
      <c r="A654">
        <f t="shared" si="10"/>
        <v>73</v>
      </c>
      <c r="B654" t="s">
        <v>1286</v>
      </c>
      <c r="C654" s="13" t="s">
        <v>47</v>
      </c>
      <c r="D654">
        <v>21</v>
      </c>
      <c r="E6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4">
        <f ca="1">IF(Tabla142[[#This Row],[frecuencia_new]]="Diaria"," ",RANDBETWEEN(1,6))</f>
        <v>6</v>
      </c>
      <c r="G654">
        <f ca="1">IF(Tabla142[[#This Row],[frecuencia_new]]="Diaria","",IF(Tabla142[[#This Row],[frecuencia_new]]="Semanal","",IF(Tabla142[[#This Row],[frecuencia_new]]="Quincenal",RANDBETWEEN(1,2),RANDBETWEEN(1,4))))</f>
        <v>2</v>
      </c>
      <c r="H6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4" t="s">
        <v>288</v>
      </c>
      <c r="K654">
        <f>SUM(MID(Tabla142[[#This Row],[Duración]],1,2)*60,MID(Tabla142[[#This Row],[Duración]],6,2))</f>
        <v>15</v>
      </c>
      <c r="L654" s="4" t="s">
        <v>77</v>
      </c>
      <c r="M654" t="s">
        <v>257</v>
      </c>
      <c r="N654" t="s">
        <v>325</v>
      </c>
      <c r="O654" t="s">
        <v>396</v>
      </c>
      <c r="P654" t="s">
        <v>363</v>
      </c>
      <c r="Q654" s="20">
        <v>46032.649155092593</v>
      </c>
      <c r="R654">
        <v>500</v>
      </c>
      <c r="T654" t="s">
        <v>484</v>
      </c>
    </row>
    <row r="655" spans="1:20" ht="15" hidden="1" customHeight="1" x14ac:dyDescent="0.25">
      <c r="A655">
        <f t="shared" si="10"/>
        <v>73</v>
      </c>
      <c r="B655" t="s">
        <v>1287</v>
      </c>
      <c r="C655" s="13" t="s">
        <v>47</v>
      </c>
      <c r="D655">
        <v>20</v>
      </c>
      <c r="E6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5">
        <f ca="1">IF(Tabla142[[#This Row],[frecuencia_new]]="Diaria"," ",RANDBETWEEN(1,6))</f>
        <v>5</v>
      </c>
      <c r="G655">
        <f ca="1">IF(Tabla142[[#This Row],[frecuencia_new]]="Diaria","",IF(Tabla142[[#This Row],[frecuencia_new]]="Semanal","",IF(Tabla142[[#This Row],[frecuencia_new]]="Quincenal",RANDBETWEEN(1,2),RANDBETWEEN(1,4))))</f>
        <v>2</v>
      </c>
      <c r="H6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5" t="s">
        <v>280</v>
      </c>
      <c r="K655">
        <f>SUM(MID(Tabla142[[#This Row],[Duración]],1,2)*60,MID(Tabla142[[#This Row],[Duración]],6,2))</f>
        <v>60</v>
      </c>
      <c r="L655" s="4" t="s">
        <v>58</v>
      </c>
      <c r="M655" t="s">
        <v>257</v>
      </c>
      <c r="N655" t="s">
        <v>325</v>
      </c>
      <c r="O655" t="s">
        <v>396</v>
      </c>
      <c r="P655" t="s">
        <v>363</v>
      </c>
      <c r="Q655" s="20">
        <v>46032.649155092593</v>
      </c>
      <c r="R655">
        <v>500</v>
      </c>
      <c r="T655" t="s">
        <v>484</v>
      </c>
    </row>
    <row r="656" spans="1:20" ht="15" hidden="1" customHeight="1" x14ac:dyDescent="0.25">
      <c r="A656">
        <f t="shared" si="10"/>
        <v>73</v>
      </c>
      <c r="B656" t="s">
        <v>1288</v>
      </c>
      <c r="C656" s="13" t="s">
        <v>47</v>
      </c>
      <c r="D656">
        <v>20</v>
      </c>
      <c r="E6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6">
        <f ca="1">IF(Tabla142[[#This Row],[frecuencia_new]]="Diaria"," ",RANDBETWEEN(1,6))</f>
        <v>4</v>
      </c>
      <c r="G656">
        <f ca="1">IF(Tabla142[[#This Row],[frecuencia_new]]="Diaria","",IF(Tabla142[[#This Row],[frecuencia_new]]="Semanal","",IF(Tabla142[[#This Row],[frecuencia_new]]="Quincenal",RANDBETWEEN(1,2),RANDBETWEEN(1,4))))</f>
        <v>2</v>
      </c>
      <c r="H6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6" t="s">
        <v>281</v>
      </c>
      <c r="K656">
        <f>SUM(MID(Tabla142[[#This Row],[Duración]],1,2)*60,MID(Tabla142[[#This Row],[Duración]],6,2))</f>
        <v>60</v>
      </c>
      <c r="L656" s="4" t="s">
        <v>58</v>
      </c>
      <c r="M656" t="s">
        <v>257</v>
      </c>
      <c r="N656" t="s">
        <v>325</v>
      </c>
      <c r="O656" t="s">
        <v>396</v>
      </c>
      <c r="P656" t="s">
        <v>363</v>
      </c>
      <c r="Q656" s="20">
        <v>46032.649155092593</v>
      </c>
      <c r="R656">
        <v>500</v>
      </c>
      <c r="T656" t="s">
        <v>484</v>
      </c>
    </row>
    <row r="657" spans="1:20" ht="15" hidden="1" customHeight="1" x14ac:dyDescent="0.25">
      <c r="A657">
        <f t="shared" si="10"/>
        <v>73</v>
      </c>
      <c r="B657" t="s">
        <v>1289</v>
      </c>
      <c r="C657" s="13" t="s">
        <v>47</v>
      </c>
      <c r="D657">
        <v>20</v>
      </c>
      <c r="E6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7">
        <f ca="1">IF(Tabla142[[#This Row],[frecuencia_new]]="Diaria"," ",RANDBETWEEN(1,6))</f>
        <v>4</v>
      </c>
      <c r="G657">
        <f ca="1">IF(Tabla142[[#This Row],[frecuencia_new]]="Diaria","",IF(Tabla142[[#This Row],[frecuencia_new]]="Semanal","",IF(Tabla142[[#This Row],[frecuencia_new]]="Quincenal",RANDBETWEEN(1,2),RANDBETWEEN(1,4))))</f>
        <v>1</v>
      </c>
      <c r="H6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7" t="s">
        <v>283</v>
      </c>
      <c r="K657">
        <f>SUM(MID(Tabla142[[#This Row],[Duración]],1,2)*60,MID(Tabla142[[#This Row],[Duración]],6,2))</f>
        <v>60</v>
      </c>
      <c r="L657" s="4" t="s">
        <v>58</v>
      </c>
      <c r="M657" t="s">
        <v>257</v>
      </c>
      <c r="N657" t="s">
        <v>325</v>
      </c>
      <c r="O657" t="s">
        <v>396</v>
      </c>
      <c r="P657" t="s">
        <v>363</v>
      </c>
      <c r="Q657" s="20">
        <v>46032.649155092593</v>
      </c>
      <c r="R657">
        <v>500</v>
      </c>
      <c r="T657" t="s">
        <v>484</v>
      </c>
    </row>
    <row r="658" spans="1:20" ht="15" hidden="1" customHeight="1" x14ac:dyDescent="0.25">
      <c r="A658">
        <f t="shared" si="10"/>
        <v>73</v>
      </c>
      <c r="B658" t="s">
        <v>1290</v>
      </c>
      <c r="C658" s="13" t="s">
        <v>47</v>
      </c>
      <c r="D658">
        <v>21</v>
      </c>
      <c r="E6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8">
        <f ca="1">IF(Tabla142[[#This Row],[frecuencia_new]]="Diaria"," ",RANDBETWEEN(1,6))</f>
        <v>4</v>
      </c>
      <c r="G658">
        <f ca="1">IF(Tabla142[[#This Row],[frecuencia_new]]="Diaria","",IF(Tabla142[[#This Row],[frecuencia_new]]="Semanal","",IF(Tabla142[[#This Row],[frecuencia_new]]="Quincenal",RANDBETWEEN(1,2),RANDBETWEEN(1,4))))</f>
        <v>3</v>
      </c>
      <c r="H65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8" t="s">
        <v>280</v>
      </c>
      <c r="K658">
        <f>SUM(MID(Tabla142[[#This Row],[Duración]],1,2)*60,MID(Tabla142[[#This Row],[Duración]],6,2))</f>
        <v>60</v>
      </c>
      <c r="L658" s="4" t="s">
        <v>58</v>
      </c>
      <c r="M658" t="s">
        <v>257</v>
      </c>
      <c r="N658" t="s">
        <v>325</v>
      </c>
      <c r="O658" t="s">
        <v>396</v>
      </c>
      <c r="P658" t="s">
        <v>363</v>
      </c>
      <c r="Q658" s="20">
        <v>46032.649155092593</v>
      </c>
      <c r="R658">
        <v>500</v>
      </c>
      <c r="T658" t="s">
        <v>484</v>
      </c>
    </row>
    <row r="659" spans="1:20" ht="15" hidden="1" customHeight="1" x14ac:dyDescent="0.25">
      <c r="A659">
        <f t="shared" si="10"/>
        <v>73</v>
      </c>
      <c r="B659" t="s">
        <v>1291</v>
      </c>
      <c r="C659" s="13" t="s">
        <v>47</v>
      </c>
      <c r="D659">
        <v>21</v>
      </c>
      <c r="E6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59">
        <f ca="1">IF(Tabla142[[#This Row],[frecuencia_new]]="Diaria"," ",RANDBETWEEN(1,6))</f>
        <v>4</v>
      </c>
      <c r="G659">
        <f ca="1">IF(Tabla142[[#This Row],[frecuencia_new]]="Diaria","",IF(Tabla142[[#This Row],[frecuencia_new]]="Semanal","",IF(Tabla142[[#This Row],[frecuencia_new]]="Quincenal",RANDBETWEEN(1,2),RANDBETWEEN(1,4))))</f>
        <v>2</v>
      </c>
      <c r="H65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59" t="s">
        <v>281</v>
      </c>
      <c r="K659">
        <f>SUM(MID(Tabla142[[#This Row],[Duración]],1,2)*60,MID(Tabla142[[#This Row],[Duración]],6,2))</f>
        <v>60</v>
      </c>
      <c r="L659" s="4" t="s">
        <v>58</v>
      </c>
      <c r="M659" t="s">
        <v>257</v>
      </c>
      <c r="N659" t="s">
        <v>325</v>
      </c>
      <c r="O659" t="s">
        <v>396</v>
      </c>
      <c r="P659" t="s">
        <v>363</v>
      </c>
      <c r="Q659" s="20">
        <v>46032.649155092593</v>
      </c>
      <c r="R659">
        <v>500</v>
      </c>
      <c r="T659" t="s">
        <v>484</v>
      </c>
    </row>
    <row r="660" spans="1:20" ht="15" hidden="1" customHeight="1" x14ac:dyDescent="0.25">
      <c r="A660">
        <f t="shared" si="10"/>
        <v>73</v>
      </c>
      <c r="B660" t="s">
        <v>1292</v>
      </c>
      <c r="C660" s="13" t="s">
        <v>47</v>
      </c>
      <c r="D660">
        <v>21</v>
      </c>
      <c r="E6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Horas</v>
      </c>
      <c r="F660">
        <f ca="1">IF(Tabla142[[#This Row],[frecuencia_new]]="Diaria"," ",RANDBETWEEN(1,6))</f>
        <v>3</v>
      </c>
      <c r="G660">
        <f ca="1">IF(Tabla142[[#This Row],[frecuencia_new]]="Diaria","",IF(Tabla142[[#This Row],[frecuencia_new]]="Semanal","",IF(Tabla142[[#This Row],[frecuencia_new]]="Quincenal",RANDBETWEEN(1,2),RANDBETWEEN(1,4))))</f>
        <v>3</v>
      </c>
      <c r="H6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0" t="s">
        <v>283</v>
      </c>
      <c r="K660">
        <f>SUM(MID(Tabla142[[#This Row],[Duración]],1,2)*60,MID(Tabla142[[#This Row],[Duración]],6,2))</f>
        <v>60</v>
      </c>
      <c r="L660" s="4" t="s">
        <v>58</v>
      </c>
      <c r="M660" t="s">
        <v>257</v>
      </c>
      <c r="N660" t="s">
        <v>325</v>
      </c>
      <c r="O660" t="s">
        <v>396</v>
      </c>
      <c r="P660" t="s">
        <v>363</v>
      </c>
      <c r="Q660" s="20">
        <v>46032.649155092593</v>
      </c>
      <c r="R660">
        <v>500</v>
      </c>
      <c r="T660" t="s">
        <v>484</v>
      </c>
    </row>
    <row r="661" spans="1:20" ht="15" customHeight="1" x14ac:dyDescent="0.25">
      <c r="A661">
        <f t="shared" si="10"/>
        <v>21</v>
      </c>
      <c r="B661" t="s">
        <v>1293</v>
      </c>
      <c r="C661" t="s">
        <v>47</v>
      </c>
      <c r="D661">
        <v>2</v>
      </c>
      <c r="E6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61">
        <f ca="1">IF(Tabla142[[#This Row],[frecuencia_new]]="Diaria"," ",RANDBETWEEN(1,6))</f>
        <v>5</v>
      </c>
      <c r="G661">
        <f ca="1">IF(Tabla142[[#This Row],[frecuencia_new]]="Diaria","",IF(Tabla142[[#This Row],[frecuencia_new]]="Semanal","",IF(Tabla142[[#This Row],[frecuencia_new]]="Quincenal",RANDBETWEEN(1,2),RANDBETWEEN(1,4))))</f>
        <v>3</v>
      </c>
      <c r="H661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661" t="s">
        <v>46</v>
      </c>
      <c r="K661">
        <f>SUM(MID(Tabla142[[#This Row],[Duración]],1,2)*60,MID(Tabla142[[#This Row],[Duración]],6,2))</f>
        <v>30</v>
      </c>
      <c r="L661" s="4" t="s">
        <v>48</v>
      </c>
      <c r="M661" t="s">
        <v>239</v>
      </c>
      <c r="N661" t="s">
        <v>241</v>
      </c>
      <c r="O661" t="s">
        <v>384</v>
      </c>
      <c r="P661" t="s">
        <v>360</v>
      </c>
      <c r="Q661" s="20">
        <v>46032.649155092593</v>
      </c>
      <c r="R661" t="s">
        <v>5</v>
      </c>
      <c r="T661" t="s">
        <v>432</v>
      </c>
    </row>
    <row r="662" spans="1:20" ht="15" customHeight="1" x14ac:dyDescent="0.25">
      <c r="A662">
        <f t="shared" si="10"/>
        <v>75</v>
      </c>
      <c r="B662" t="s">
        <v>1294</v>
      </c>
      <c r="C662" t="s">
        <v>47</v>
      </c>
      <c r="D662">
        <v>2</v>
      </c>
      <c r="E6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62">
        <f ca="1">IF(Tabla142[[#This Row],[frecuencia_new]]="Diaria"," ",RANDBETWEEN(1,6))</f>
        <v>1</v>
      </c>
      <c r="G662">
        <f ca="1">IF(Tabla142[[#This Row],[frecuencia_new]]="Diaria","",IF(Tabla142[[#This Row],[frecuencia_new]]="Semanal","",IF(Tabla142[[#This Row],[frecuencia_new]]="Quincenal",RANDBETWEEN(1,2),RANDBETWEEN(1,4))))</f>
        <v>4</v>
      </c>
      <c r="H66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2" t="s">
        <v>51</v>
      </c>
      <c r="K662">
        <f>SUM(MID(Tabla142[[#This Row],[Duración]],1,2)*60,MID(Tabla142[[#This Row],[Duración]],6,2))</f>
        <v>5</v>
      </c>
      <c r="L662" s="4" t="s">
        <v>50</v>
      </c>
      <c r="M662" t="s">
        <v>239</v>
      </c>
      <c r="N662" t="s">
        <v>241</v>
      </c>
      <c r="O662" t="s">
        <v>382</v>
      </c>
      <c r="P662" t="s">
        <v>364</v>
      </c>
      <c r="Q662" s="20">
        <v>46032.649155092593</v>
      </c>
      <c r="R662" t="s">
        <v>7</v>
      </c>
      <c r="T662" t="s">
        <v>486</v>
      </c>
    </row>
    <row r="663" spans="1:20" ht="15" customHeight="1" x14ac:dyDescent="0.25">
      <c r="A663">
        <f t="shared" si="10"/>
        <v>75</v>
      </c>
      <c r="B663" t="s">
        <v>1295</v>
      </c>
      <c r="C663" t="s">
        <v>47</v>
      </c>
      <c r="D663">
        <v>2</v>
      </c>
      <c r="E6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63">
        <f ca="1">IF(Tabla142[[#This Row],[frecuencia_new]]="Diaria"," ",RANDBETWEEN(1,6))</f>
        <v>2</v>
      </c>
      <c r="G663" t="str">
        <f ca="1">IF(Tabla142[[#This Row],[frecuencia_new]]="Diaria","",IF(Tabla142[[#This Row],[frecuencia_new]]="Semanal","",IF(Tabla142[[#This Row],[frecuencia_new]]="Quincenal",RANDBETWEEN(1,2),RANDBETWEEN(1,4))))</f>
        <v/>
      </c>
      <c r="H66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3" t="s">
        <v>55</v>
      </c>
      <c r="K663">
        <f>SUM(MID(Tabla142[[#This Row],[Duración]],1,2)*60,MID(Tabla142[[#This Row],[Duración]],6,2))</f>
        <v>5</v>
      </c>
      <c r="L663" s="4" t="s">
        <v>50</v>
      </c>
      <c r="M663" t="s">
        <v>239</v>
      </c>
      <c r="N663" t="s">
        <v>241</v>
      </c>
      <c r="O663" t="s">
        <v>382</v>
      </c>
      <c r="P663" t="s">
        <v>363</v>
      </c>
      <c r="Q663" s="20">
        <v>46032.649155092593</v>
      </c>
      <c r="R663" t="s">
        <v>8</v>
      </c>
      <c r="T663" t="s">
        <v>486</v>
      </c>
    </row>
    <row r="664" spans="1:20" ht="15" customHeight="1" x14ac:dyDescent="0.25">
      <c r="A664">
        <f t="shared" si="10"/>
        <v>75</v>
      </c>
      <c r="B664" t="s">
        <v>1296</v>
      </c>
      <c r="C664" t="s">
        <v>54</v>
      </c>
      <c r="D664">
        <v>2</v>
      </c>
      <c r="E6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64">
        <f ca="1">IF(Tabla142[[#This Row],[frecuencia_new]]="Diaria"," ",RANDBETWEEN(1,6))</f>
        <v>5</v>
      </c>
      <c r="G664" t="str">
        <f ca="1">IF(Tabla142[[#This Row],[frecuencia_new]]="Diaria","",IF(Tabla142[[#This Row],[frecuencia_new]]="Semanal","",IF(Tabla142[[#This Row],[frecuencia_new]]="Quincenal",RANDBETWEEN(1,2),RANDBETWEEN(1,4))))</f>
        <v/>
      </c>
      <c r="H6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4" t="s">
        <v>57</v>
      </c>
      <c r="K664">
        <f>SUM(MID(Tabla142[[#This Row],[Duración]],1,2)*60,MID(Tabla142[[#This Row],[Duración]],6,2))</f>
        <v>5</v>
      </c>
      <c r="L664" s="4" t="s">
        <v>50</v>
      </c>
      <c r="M664" t="s">
        <v>239</v>
      </c>
      <c r="N664" t="s">
        <v>241</v>
      </c>
      <c r="O664" t="s">
        <v>382</v>
      </c>
      <c r="P664" t="s">
        <v>363</v>
      </c>
      <c r="Q664" s="20">
        <v>46032.649155092593</v>
      </c>
      <c r="R664" t="s">
        <v>8</v>
      </c>
      <c r="T664" t="s">
        <v>486</v>
      </c>
    </row>
    <row r="665" spans="1:20" ht="15" customHeight="1" x14ac:dyDescent="0.25">
      <c r="A665">
        <f t="shared" si="10"/>
        <v>122</v>
      </c>
      <c r="B665" t="s">
        <v>1297</v>
      </c>
      <c r="C665" t="s">
        <v>47</v>
      </c>
      <c r="D665">
        <v>2</v>
      </c>
      <c r="E6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65">
        <f ca="1">IF(Tabla142[[#This Row],[frecuencia_new]]="Diaria"," ",RANDBETWEEN(1,6))</f>
        <v>6</v>
      </c>
      <c r="G665">
        <f ca="1">IF(Tabla142[[#This Row],[frecuencia_new]]="Diaria","",IF(Tabla142[[#This Row],[frecuencia_new]]="Semanal","",IF(Tabla142[[#This Row],[frecuencia_new]]="Quincenal",RANDBETWEEN(1,2),RANDBETWEEN(1,4))))</f>
        <v>2</v>
      </c>
      <c r="H665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665" t="s">
        <v>52</v>
      </c>
      <c r="K665">
        <f>SUM(MID(Tabla142[[#This Row],[Duración]],1,2)*60,MID(Tabla142[[#This Row],[Duración]],6,2))</f>
        <v>30</v>
      </c>
      <c r="L665" s="4" t="s">
        <v>48</v>
      </c>
      <c r="M665" t="s">
        <v>239</v>
      </c>
      <c r="N665" t="s">
        <v>241</v>
      </c>
      <c r="O665" t="s">
        <v>380</v>
      </c>
      <c r="P665" t="s">
        <v>365</v>
      </c>
      <c r="Q665" s="20">
        <v>46032.649155092593</v>
      </c>
      <c r="R665" t="s">
        <v>5</v>
      </c>
      <c r="T665" t="s">
        <v>533</v>
      </c>
    </row>
    <row r="666" spans="1:20" ht="15" customHeight="1" x14ac:dyDescent="0.25">
      <c r="A666">
        <f t="shared" si="10"/>
        <v>122</v>
      </c>
      <c r="B666" t="s">
        <v>1298</v>
      </c>
      <c r="C666" t="s">
        <v>54</v>
      </c>
      <c r="D666">
        <v>2</v>
      </c>
      <c r="E6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66">
        <f ca="1">IF(Tabla142[[#This Row],[frecuencia_new]]="Diaria"," ",RANDBETWEEN(1,6))</f>
        <v>4</v>
      </c>
      <c r="G666">
        <f ca="1">IF(Tabla142[[#This Row],[frecuencia_new]]="Diaria","",IF(Tabla142[[#This Row],[frecuencia_new]]="Semanal","",IF(Tabla142[[#This Row],[frecuencia_new]]="Quincenal",RANDBETWEEN(1,2),RANDBETWEEN(1,4))))</f>
        <v>3</v>
      </c>
      <c r="H666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666" t="s">
        <v>53</v>
      </c>
      <c r="K666">
        <f>SUM(MID(Tabla142[[#This Row],[Duración]],1,2)*60,MID(Tabla142[[#This Row],[Duración]],6,2))</f>
        <v>30</v>
      </c>
      <c r="L666" s="4" t="s">
        <v>48</v>
      </c>
      <c r="M666" t="s">
        <v>239</v>
      </c>
      <c r="N666" t="s">
        <v>241</v>
      </c>
      <c r="O666" t="s">
        <v>380</v>
      </c>
      <c r="P666" t="s">
        <v>365</v>
      </c>
      <c r="Q666" s="20">
        <v>46032.649155092593</v>
      </c>
      <c r="R666" t="s">
        <v>5</v>
      </c>
      <c r="T666" t="s">
        <v>533</v>
      </c>
    </row>
    <row r="667" spans="1:20" ht="15" customHeight="1" x14ac:dyDescent="0.25">
      <c r="A667">
        <f t="shared" si="10"/>
        <v>122</v>
      </c>
      <c r="B667" t="s">
        <v>1299</v>
      </c>
      <c r="C667" t="s">
        <v>47</v>
      </c>
      <c r="D667">
        <v>2</v>
      </c>
      <c r="E6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67">
        <f ca="1">IF(Tabla142[[#This Row],[frecuencia_new]]="Diaria"," ",RANDBETWEEN(1,6))</f>
        <v>6</v>
      </c>
      <c r="G667">
        <f ca="1">IF(Tabla142[[#This Row],[frecuencia_new]]="Diaria","",IF(Tabla142[[#This Row],[frecuencia_new]]="Semanal","",IF(Tabla142[[#This Row],[frecuencia_new]]="Quincenal",RANDBETWEEN(1,2),RANDBETWEEN(1,4))))</f>
        <v>4</v>
      </c>
      <c r="H667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667" t="s">
        <v>56</v>
      </c>
      <c r="K667">
        <f>SUM(MID(Tabla142[[#This Row],[Duración]],1,2)*60,MID(Tabla142[[#This Row],[Duración]],6,2))</f>
        <v>30</v>
      </c>
      <c r="L667" s="4" t="s">
        <v>48</v>
      </c>
      <c r="M667" t="s">
        <v>239</v>
      </c>
      <c r="N667" t="s">
        <v>241</v>
      </c>
      <c r="O667" t="s">
        <v>380</v>
      </c>
      <c r="P667" t="s">
        <v>360</v>
      </c>
      <c r="Q667" s="20">
        <v>46032.649155092593</v>
      </c>
      <c r="R667" t="s">
        <v>5</v>
      </c>
      <c r="T667" t="s">
        <v>533</v>
      </c>
    </row>
    <row r="668" spans="1:20" ht="15" customHeight="1" x14ac:dyDescent="0.25">
      <c r="A668">
        <f t="shared" si="10"/>
        <v>194</v>
      </c>
      <c r="B668" t="s">
        <v>1300</v>
      </c>
      <c r="C668" s="18" t="s">
        <v>47</v>
      </c>
      <c r="D668" s="18">
        <v>2</v>
      </c>
      <c r="E6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68" t="str">
        <f ca="1">IF(Tabla142[[#This Row],[frecuencia_new]]="Diaria"," ",RANDBETWEEN(1,6))</f>
        <v xml:space="preserve"> </v>
      </c>
      <c r="G668" t="str">
        <f ca="1">IF(Tabla142[[#This Row],[frecuencia_new]]="Diaria","",IF(Tabla142[[#This Row],[frecuencia_new]]="Semanal","",IF(Tabla142[[#This Row],[frecuencia_new]]="Quincenal",RANDBETWEEN(1,2),RANDBETWEEN(1,4))))</f>
        <v/>
      </c>
      <c r="H6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8" s="18" t="s">
        <v>49</v>
      </c>
      <c r="K668" s="18">
        <f>SUM(MID(Tabla142[[#This Row],[Duración]],1,2)*60,MID(Tabla142[[#This Row],[Duración]],6,2))</f>
        <v>5</v>
      </c>
      <c r="L668" s="19" t="s">
        <v>50</v>
      </c>
      <c r="M668" s="18" t="s">
        <v>239</v>
      </c>
      <c r="N668" t="s">
        <v>241</v>
      </c>
      <c r="O668" t="s">
        <v>385</v>
      </c>
      <c r="P668" t="s">
        <v>361</v>
      </c>
      <c r="Q668" s="20">
        <v>46032.649155092593</v>
      </c>
      <c r="R668" s="18" t="s">
        <v>6</v>
      </c>
      <c r="T668" t="s">
        <v>605</v>
      </c>
    </row>
    <row r="669" spans="1:20" ht="15" customHeight="1" x14ac:dyDescent="0.25">
      <c r="A669">
        <f t="shared" si="10"/>
        <v>77</v>
      </c>
      <c r="B669" t="s">
        <v>1301</v>
      </c>
      <c r="C669" t="s">
        <v>47</v>
      </c>
      <c r="D669">
        <v>7</v>
      </c>
      <c r="E6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669">
        <f ca="1">IF(Tabla142[[#This Row],[frecuencia_new]]="Diaria"," ",RANDBETWEEN(1,6))</f>
        <v>1</v>
      </c>
      <c r="G669">
        <f ca="1">IF(Tabla142[[#This Row],[frecuencia_new]]="Diaria","",IF(Tabla142[[#This Row],[frecuencia_new]]="Semanal","",IF(Tabla142[[#This Row],[frecuencia_new]]="Quincenal",RANDBETWEEN(1,2),RANDBETWEEN(1,4))))</f>
        <v>2</v>
      </c>
      <c r="H6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69" t="s">
        <v>61</v>
      </c>
      <c r="K669">
        <f>SUM(MID(Tabla142[[#This Row],[Duración]],1,2)*60,MID(Tabla142[[#This Row],[Duración]],6,2))</f>
        <v>60</v>
      </c>
      <c r="L669" s="4" t="s">
        <v>58</v>
      </c>
      <c r="M669" t="s">
        <v>239</v>
      </c>
      <c r="N669" t="s">
        <v>241</v>
      </c>
      <c r="O669" t="s">
        <v>382</v>
      </c>
      <c r="P669" t="s">
        <v>364</v>
      </c>
      <c r="Q669" s="20">
        <v>46032.649155092593</v>
      </c>
      <c r="R669" t="s">
        <v>1846</v>
      </c>
      <c r="T669" t="s">
        <v>488</v>
      </c>
    </row>
    <row r="670" spans="1:20" ht="15" customHeight="1" x14ac:dyDescent="0.25">
      <c r="A670">
        <f t="shared" si="10"/>
        <v>77</v>
      </c>
      <c r="B670" t="s">
        <v>1302</v>
      </c>
      <c r="C670" t="s">
        <v>47</v>
      </c>
      <c r="D670">
        <v>7</v>
      </c>
      <c r="E6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70">
        <f ca="1">IF(Tabla142[[#This Row],[frecuencia_new]]="Diaria"," ",RANDBETWEEN(1,6))</f>
        <v>4</v>
      </c>
      <c r="G670">
        <f ca="1">IF(Tabla142[[#This Row],[frecuencia_new]]="Diaria","",IF(Tabla142[[#This Row],[frecuencia_new]]="Semanal","",IF(Tabla142[[#This Row],[frecuencia_new]]="Quincenal",RANDBETWEEN(1,2),RANDBETWEEN(1,4))))</f>
        <v>2</v>
      </c>
      <c r="H6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0" t="s">
        <v>62</v>
      </c>
      <c r="K670">
        <f>SUM(MID(Tabla142[[#This Row],[Duración]],1,2)*60,MID(Tabla142[[#This Row],[Duración]],6,2))</f>
        <v>30</v>
      </c>
      <c r="L670" s="4" t="s">
        <v>48</v>
      </c>
      <c r="M670" t="s">
        <v>239</v>
      </c>
      <c r="N670" t="s">
        <v>241</v>
      </c>
      <c r="O670" t="s">
        <v>382</v>
      </c>
      <c r="P670" t="s">
        <v>363</v>
      </c>
      <c r="Q670" s="20">
        <v>46032.649155092593</v>
      </c>
      <c r="R670" t="s">
        <v>7</v>
      </c>
      <c r="T670" t="s">
        <v>488</v>
      </c>
    </row>
    <row r="671" spans="1:20" ht="15" customHeight="1" x14ac:dyDescent="0.25">
      <c r="A671">
        <f t="shared" si="10"/>
        <v>77</v>
      </c>
      <c r="B671" t="s">
        <v>1303</v>
      </c>
      <c r="C671" t="s">
        <v>47</v>
      </c>
      <c r="D671">
        <v>7</v>
      </c>
      <c r="E6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671">
        <f ca="1">IF(Tabla142[[#This Row],[frecuencia_new]]="Diaria"," ",RANDBETWEEN(1,6))</f>
        <v>2</v>
      </c>
      <c r="G671">
        <f ca="1">IF(Tabla142[[#This Row],[frecuencia_new]]="Diaria","",IF(Tabla142[[#This Row],[frecuencia_new]]="Semanal","",IF(Tabla142[[#This Row],[frecuencia_new]]="Quincenal",RANDBETWEEN(1,2),RANDBETWEEN(1,4))))</f>
        <v>1</v>
      </c>
      <c r="H6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1" t="s">
        <v>63</v>
      </c>
      <c r="K671">
        <f>SUM(MID(Tabla142[[#This Row],[Duración]],1,2)*60,MID(Tabla142[[#This Row],[Duración]],6,2))</f>
        <v>60</v>
      </c>
      <c r="L671" s="4" t="s">
        <v>58</v>
      </c>
      <c r="M671" t="s">
        <v>239</v>
      </c>
      <c r="N671" t="s">
        <v>241</v>
      </c>
      <c r="O671" t="s">
        <v>382</v>
      </c>
      <c r="P671" t="s">
        <v>364</v>
      </c>
      <c r="Q671" s="20">
        <v>46032.649155092593</v>
      </c>
      <c r="R671" t="s">
        <v>1846</v>
      </c>
      <c r="T671" t="s">
        <v>488</v>
      </c>
    </row>
    <row r="672" spans="1:20" ht="15" customHeight="1" x14ac:dyDescent="0.25">
      <c r="A672">
        <f t="shared" si="10"/>
        <v>77</v>
      </c>
      <c r="B672" t="s">
        <v>1304</v>
      </c>
      <c r="C672" t="s">
        <v>54</v>
      </c>
      <c r="D672">
        <v>7</v>
      </c>
      <c r="E6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72">
        <f ca="1">IF(Tabla142[[#This Row],[frecuencia_new]]="Diaria"," ",RANDBETWEEN(1,6))</f>
        <v>3</v>
      </c>
      <c r="G672" t="str">
        <f ca="1">IF(Tabla142[[#This Row],[frecuencia_new]]="Diaria","",IF(Tabla142[[#This Row],[frecuencia_new]]="Semanal","",IF(Tabla142[[#This Row],[frecuencia_new]]="Quincenal",RANDBETWEEN(1,2),RANDBETWEEN(1,4))))</f>
        <v/>
      </c>
      <c r="H6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2" t="s">
        <v>57</v>
      </c>
      <c r="K672">
        <f>SUM(MID(Tabla142[[#This Row],[Duración]],1,2)*60,MID(Tabla142[[#This Row],[Duración]],6,2))</f>
        <v>30</v>
      </c>
      <c r="L672" s="4" t="s">
        <v>48</v>
      </c>
      <c r="M672" t="s">
        <v>239</v>
      </c>
      <c r="N672" t="s">
        <v>241</v>
      </c>
      <c r="O672" t="s">
        <v>382</v>
      </c>
      <c r="P672" t="s">
        <v>363</v>
      </c>
      <c r="Q672" s="20">
        <v>46032.649155092593</v>
      </c>
      <c r="R672" t="s">
        <v>8</v>
      </c>
      <c r="T672" t="s">
        <v>488</v>
      </c>
    </row>
    <row r="673" spans="1:20" ht="15" customHeight="1" x14ac:dyDescent="0.25">
      <c r="A673">
        <f t="shared" si="10"/>
        <v>125</v>
      </c>
      <c r="B673" t="s">
        <v>1305</v>
      </c>
      <c r="C673" t="s">
        <v>47</v>
      </c>
      <c r="D673">
        <v>7</v>
      </c>
      <c r="E6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73">
        <f ca="1">IF(Tabla142[[#This Row],[frecuencia_new]]="Diaria"," ",RANDBETWEEN(1,6))</f>
        <v>3</v>
      </c>
      <c r="G673">
        <f ca="1">IF(Tabla142[[#This Row],[frecuencia_new]]="Diaria","",IF(Tabla142[[#This Row],[frecuencia_new]]="Semanal","",IF(Tabla142[[#This Row],[frecuencia_new]]="Quincenal",RANDBETWEEN(1,2),RANDBETWEEN(1,4))))</f>
        <v>2</v>
      </c>
      <c r="H67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673" t="s">
        <v>46</v>
      </c>
      <c r="K673">
        <f>SUM(MID(Tabla142[[#This Row],[Duración]],1,2)*60,MID(Tabla142[[#This Row],[Duración]],6,2))</f>
        <v>60</v>
      </c>
      <c r="L673" s="4" t="s">
        <v>58</v>
      </c>
      <c r="M673" t="s">
        <v>239</v>
      </c>
      <c r="N673" t="s">
        <v>241</v>
      </c>
      <c r="O673" t="s">
        <v>380</v>
      </c>
      <c r="P673" t="s">
        <v>360</v>
      </c>
      <c r="Q673" s="20">
        <v>46032.649155092593</v>
      </c>
      <c r="R673" t="s">
        <v>5</v>
      </c>
      <c r="T673" t="s">
        <v>536</v>
      </c>
    </row>
    <row r="674" spans="1:20" ht="15" customHeight="1" x14ac:dyDescent="0.25">
      <c r="A674">
        <f t="shared" si="10"/>
        <v>125</v>
      </c>
      <c r="B674" t="s">
        <v>1306</v>
      </c>
      <c r="C674" t="s">
        <v>47</v>
      </c>
      <c r="D674">
        <v>7</v>
      </c>
      <c r="E6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74">
        <f ca="1">IF(Tabla142[[#This Row],[frecuencia_new]]="Diaria"," ",RANDBETWEEN(1,6))</f>
        <v>4</v>
      </c>
      <c r="G674">
        <f ca="1">IF(Tabla142[[#This Row],[frecuencia_new]]="Diaria","",IF(Tabla142[[#This Row],[frecuencia_new]]="Semanal","",IF(Tabla142[[#This Row],[frecuencia_new]]="Quincenal",RANDBETWEEN(1,2),RANDBETWEEN(1,4))))</f>
        <v>3</v>
      </c>
      <c r="H674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674" t="s">
        <v>52</v>
      </c>
      <c r="K674">
        <f>SUM(MID(Tabla142[[#This Row],[Duración]],1,2)*60,MID(Tabla142[[#This Row],[Duración]],6,2))</f>
        <v>60</v>
      </c>
      <c r="L674" s="4" t="s">
        <v>58</v>
      </c>
      <c r="M674" t="s">
        <v>239</v>
      </c>
      <c r="N674" t="s">
        <v>241</v>
      </c>
      <c r="O674" t="s">
        <v>380</v>
      </c>
      <c r="P674" t="s">
        <v>365</v>
      </c>
      <c r="Q674" s="20">
        <v>46032.649155092593</v>
      </c>
      <c r="R674" t="s">
        <v>5</v>
      </c>
      <c r="T674" t="s">
        <v>536</v>
      </c>
    </row>
    <row r="675" spans="1:20" ht="15" customHeight="1" x14ac:dyDescent="0.25">
      <c r="A675">
        <f t="shared" si="10"/>
        <v>125</v>
      </c>
      <c r="B675" t="s">
        <v>1307</v>
      </c>
      <c r="C675" t="s">
        <v>54</v>
      </c>
      <c r="D675">
        <v>7</v>
      </c>
      <c r="E6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75">
        <f ca="1">IF(Tabla142[[#This Row],[frecuencia_new]]="Diaria"," ",RANDBETWEEN(1,6))</f>
        <v>4</v>
      </c>
      <c r="G675">
        <f ca="1">IF(Tabla142[[#This Row],[frecuencia_new]]="Diaria","",IF(Tabla142[[#This Row],[frecuencia_new]]="Semanal","",IF(Tabla142[[#This Row],[frecuencia_new]]="Quincenal",RANDBETWEEN(1,2),RANDBETWEEN(1,4))))</f>
        <v>1</v>
      </c>
      <c r="H675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75" t="s">
        <v>53</v>
      </c>
      <c r="K675">
        <f>SUM(MID(Tabla142[[#This Row],[Duración]],1,2)*60,MID(Tabla142[[#This Row],[Duración]],6,2))</f>
        <v>60</v>
      </c>
      <c r="L675" s="4" t="s">
        <v>58</v>
      </c>
      <c r="M675" t="s">
        <v>239</v>
      </c>
      <c r="N675" t="s">
        <v>241</v>
      </c>
      <c r="O675" t="s">
        <v>380</v>
      </c>
      <c r="P675" t="s">
        <v>360</v>
      </c>
      <c r="Q675" s="20">
        <v>46032.649155092593</v>
      </c>
      <c r="R675" t="s">
        <v>5</v>
      </c>
      <c r="T675" t="s">
        <v>536</v>
      </c>
    </row>
    <row r="676" spans="1:20" ht="15" customHeight="1" x14ac:dyDescent="0.25">
      <c r="A676">
        <f t="shared" si="10"/>
        <v>125</v>
      </c>
      <c r="B676" t="s">
        <v>1308</v>
      </c>
      <c r="C676" t="s">
        <v>47</v>
      </c>
      <c r="D676">
        <v>7</v>
      </c>
      <c r="E6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76">
        <f ca="1">IF(Tabla142[[#This Row],[frecuencia_new]]="Diaria"," ",RANDBETWEEN(1,6))</f>
        <v>5</v>
      </c>
      <c r="G676">
        <f ca="1">IF(Tabla142[[#This Row],[frecuencia_new]]="Diaria","",IF(Tabla142[[#This Row],[frecuencia_new]]="Semanal","",IF(Tabla142[[#This Row],[frecuencia_new]]="Quincenal",RANDBETWEEN(1,2),RANDBETWEEN(1,4))))</f>
        <v>4</v>
      </c>
      <c r="H67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676" t="s">
        <v>64</v>
      </c>
      <c r="K676">
        <f>SUM(MID(Tabla142[[#This Row],[Duración]],1,2)*60,MID(Tabla142[[#This Row],[Duración]],6,2))</f>
        <v>180</v>
      </c>
      <c r="L676" s="4" t="s">
        <v>65</v>
      </c>
      <c r="M676" t="s">
        <v>239</v>
      </c>
      <c r="N676" t="s">
        <v>241</v>
      </c>
      <c r="O676" t="s">
        <v>380</v>
      </c>
      <c r="P676" t="s">
        <v>360</v>
      </c>
      <c r="Q676" s="20">
        <v>46032.649155092593</v>
      </c>
      <c r="R676" t="s">
        <v>5</v>
      </c>
      <c r="T676" t="s">
        <v>536</v>
      </c>
    </row>
    <row r="677" spans="1:20" ht="15" customHeight="1" x14ac:dyDescent="0.25">
      <c r="A677">
        <f t="shared" si="10"/>
        <v>195</v>
      </c>
      <c r="B677" t="s">
        <v>1309</v>
      </c>
      <c r="C677" s="18" t="s">
        <v>47</v>
      </c>
      <c r="D677" s="18">
        <v>7</v>
      </c>
      <c r="E6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77" t="str">
        <f ca="1">IF(Tabla142[[#This Row],[frecuencia_new]]="Diaria"," ",RANDBETWEEN(1,6))</f>
        <v xml:space="preserve"> </v>
      </c>
      <c r="G677" t="str">
        <f ca="1">IF(Tabla142[[#This Row],[frecuencia_new]]="Diaria","",IF(Tabla142[[#This Row],[frecuencia_new]]="Semanal","",IF(Tabla142[[#This Row],[frecuencia_new]]="Quincenal",RANDBETWEEN(1,2),RANDBETWEEN(1,4))))</f>
        <v/>
      </c>
      <c r="H6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7" s="18" t="s">
        <v>59</v>
      </c>
      <c r="K677" s="18">
        <f>SUM(MID(Tabla142[[#This Row],[Duración]],1,2)*60,MID(Tabla142[[#This Row],[Duración]],6,2))</f>
        <v>2</v>
      </c>
      <c r="L677" s="19" t="s">
        <v>60</v>
      </c>
      <c r="M677" s="18" t="s">
        <v>239</v>
      </c>
      <c r="N677" t="s">
        <v>241</v>
      </c>
      <c r="O677" t="s">
        <v>385</v>
      </c>
      <c r="P677" t="s">
        <v>367</v>
      </c>
      <c r="Q677" s="20">
        <v>46032.649155092593</v>
      </c>
      <c r="R677" s="18" t="s">
        <v>6</v>
      </c>
      <c r="T677" t="s">
        <v>606</v>
      </c>
    </row>
    <row r="678" spans="1:20" ht="15" customHeight="1" x14ac:dyDescent="0.25">
      <c r="A678">
        <f t="shared" si="10"/>
        <v>83</v>
      </c>
      <c r="B678" t="s">
        <v>1310</v>
      </c>
      <c r="C678" t="s">
        <v>47</v>
      </c>
      <c r="D678">
        <v>50</v>
      </c>
      <c r="E6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78">
        <f ca="1">IF(Tabla142[[#This Row],[frecuencia_new]]="Diaria"," ",RANDBETWEEN(1,6))</f>
        <v>3</v>
      </c>
      <c r="G678">
        <f ca="1">IF(Tabla142[[#This Row],[frecuencia_new]]="Diaria","",IF(Tabla142[[#This Row],[frecuencia_new]]="Semanal","",IF(Tabla142[[#This Row],[frecuencia_new]]="Quincenal",RANDBETWEEN(1,2),RANDBETWEEN(1,4))))</f>
        <v>1</v>
      </c>
      <c r="H6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8" t="s">
        <v>92</v>
      </c>
      <c r="K678">
        <f>SUM(MID(Tabla142[[#This Row],[Duración]],1,2)*60,MID(Tabla142[[#This Row],[Duración]],6,2))</f>
        <v>30</v>
      </c>
      <c r="L678" s="4" t="s">
        <v>48</v>
      </c>
      <c r="M678" t="s">
        <v>239</v>
      </c>
      <c r="N678" t="s">
        <v>241</v>
      </c>
      <c r="O678" t="s">
        <v>382</v>
      </c>
      <c r="P678" t="s">
        <v>363</v>
      </c>
      <c r="Q678" s="20">
        <v>46032.649155092593</v>
      </c>
      <c r="R678" t="s">
        <v>7</v>
      </c>
      <c r="T678" t="s">
        <v>494</v>
      </c>
    </row>
    <row r="679" spans="1:20" ht="15" customHeight="1" x14ac:dyDescent="0.25">
      <c r="A679">
        <f t="shared" si="10"/>
        <v>83</v>
      </c>
      <c r="B679" t="s">
        <v>1311</v>
      </c>
      <c r="C679" t="s">
        <v>47</v>
      </c>
      <c r="D679">
        <v>50</v>
      </c>
      <c r="E6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79">
        <f ca="1">IF(Tabla142[[#This Row],[frecuencia_new]]="Diaria"," ",RANDBETWEEN(1,6))</f>
        <v>2</v>
      </c>
      <c r="G679">
        <f ca="1">IF(Tabla142[[#This Row],[frecuencia_new]]="Diaria","",IF(Tabla142[[#This Row],[frecuencia_new]]="Semanal","",IF(Tabla142[[#This Row],[frecuencia_new]]="Quincenal",RANDBETWEEN(1,2),RANDBETWEEN(1,4))))</f>
        <v>1</v>
      </c>
      <c r="H6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79" t="s">
        <v>93</v>
      </c>
      <c r="K679">
        <f>SUM(MID(Tabla142[[#This Row],[Duración]],1,2)*60,MID(Tabla142[[#This Row],[Duración]],6,2))</f>
        <v>30</v>
      </c>
      <c r="L679" s="4" t="s">
        <v>48</v>
      </c>
      <c r="M679" t="s">
        <v>239</v>
      </c>
      <c r="N679" t="s">
        <v>241</v>
      </c>
      <c r="O679" t="s">
        <v>382</v>
      </c>
      <c r="P679" t="s">
        <v>363</v>
      </c>
      <c r="Q679" s="20">
        <v>46032.649155092593</v>
      </c>
      <c r="R679" t="s">
        <v>7</v>
      </c>
      <c r="T679" t="s">
        <v>494</v>
      </c>
    </row>
    <row r="680" spans="1:20" ht="15" customHeight="1" x14ac:dyDescent="0.25">
      <c r="A680">
        <f t="shared" si="10"/>
        <v>83</v>
      </c>
      <c r="B680" t="s">
        <v>1312</v>
      </c>
      <c r="C680" t="s">
        <v>47</v>
      </c>
      <c r="D680">
        <v>50</v>
      </c>
      <c r="E6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80">
        <f ca="1">IF(Tabla142[[#This Row],[frecuencia_new]]="Diaria"," ",RANDBETWEEN(1,6))</f>
        <v>5</v>
      </c>
      <c r="G680">
        <f ca="1">IF(Tabla142[[#This Row],[frecuencia_new]]="Diaria","",IF(Tabla142[[#This Row],[frecuencia_new]]="Semanal","",IF(Tabla142[[#This Row],[frecuencia_new]]="Quincenal",RANDBETWEEN(1,2),RANDBETWEEN(1,4))))</f>
        <v>1</v>
      </c>
      <c r="H6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80" t="s">
        <v>94</v>
      </c>
      <c r="K680">
        <f>SUM(MID(Tabla142[[#This Row],[Duración]],1,2)*60,MID(Tabla142[[#This Row],[Duración]],6,2))</f>
        <v>30</v>
      </c>
      <c r="L680" s="4" t="s">
        <v>48</v>
      </c>
      <c r="M680" t="s">
        <v>239</v>
      </c>
      <c r="N680" t="s">
        <v>241</v>
      </c>
      <c r="O680" t="s">
        <v>382</v>
      </c>
      <c r="P680" t="s">
        <v>363</v>
      </c>
      <c r="Q680" s="20">
        <v>46032.649155092593</v>
      </c>
      <c r="R680" t="s">
        <v>7</v>
      </c>
      <c r="T680" t="s">
        <v>494</v>
      </c>
    </row>
    <row r="681" spans="1:20" ht="15" customHeight="1" x14ac:dyDescent="0.25">
      <c r="A681">
        <f t="shared" si="10"/>
        <v>83</v>
      </c>
      <c r="B681" t="s">
        <v>1313</v>
      </c>
      <c r="C681" t="s">
        <v>47</v>
      </c>
      <c r="D681">
        <v>50</v>
      </c>
      <c r="E6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81">
        <f ca="1">IF(Tabla142[[#This Row],[frecuencia_new]]="Diaria"," ",RANDBETWEEN(1,6))</f>
        <v>1</v>
      </c>
      <c r="G681">
        <f ca="1">IF(Tabla142[[#This Row],[frecuencia_new]]="Diaria","",IF(Tabla142[[#This Row],[frecuencia_new]]="Semanal","",IF(Tabla142[[#This Row],[frecuencia_new]]="Quincenal",RANDBETWEEN(1,2),RANDBETWEEN(1,4))))</f>
        <v>3</v>
      </c>
      <c r="H68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81" t="s">
        <v>95</v>
      </c>
      <c r="K681">
        <f>SUM(MID(Tabla142[[#This Row],[Duración]],1,2)*60,MID(Tabla142[[#This Row],[Duración]],6,2))</f>
        <v>90</v>
      </c>
      <c r="L681" s="4" t="s">
        <v>96</v>
      </c>
      <c r="M681" t="s">
        <v>239</v>
      </c>
      <c r="N681" t="s">
        <v>241</v>
      </c>
      <c r="O681" t="s">
        <v>382</v>
      </c>
      <c r="P681" t="s">
        <v>363</v>
      </c>
      <c r="Q681" s="20">
        <v>46032.649155092593</v>
      </c>
      <c r="R681" t="s">
        <v>7</v>
      </c>
      <c r="T681" t="s">
        <v>494</v>
      </c>
    </row>
    <row r="682" spans="1:20" ht="15" customHeight="1" x14ac:dyDescent="0.25">
      <c r="A682">
        <f t="shared" si="10"/>
        <v>83</v>
      </c>
      <c r="B682" t="s">
        <v>1314</v>
      </c>
      <c r="C682" t="s">
        <v>47</v>
      </c>
      <c r="D682">
        <v>50</v>
      </c>
      <c r="E6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682">
        <f ca="1">IF(Tabla142[[#This Row],[frecuencia_new]]="Diaria"," ",RANDBETWEEN(1,6))</f>
        <v>1</v>
      </c>
      <c r="G682">
        <f ca="1">IF(Tabla142[[#This Row],[frecuencia_new]]="Diaria","",IF(Tabla142[[#This Row],[frecuencia_new]]="Semanal","",IF(Tabla142[[#This Row],[frecuencia_new]]="Quincenal",RANDBETWEEN(1,2),RANDBETWEEN(1,4))))</f>
        <v>3</v>
      </c>
      <c r="H682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682" t="s">
        <v>97</v>
      </c>
      <c r="K682">
        <f>SUM(MID(Tabla142[[#This Row],[Duración]],1,2)*60,MID(Tabla142[[#This Row],[Duración]],6,2))</f>
        <v>30</v>
      </c>
      <c r="L682" s="4" t="s">
        <v>48</v>
      </c>
      <c r="M682" t="s">
        <v>239</v>
      </c>
      <c r="N682" t="s">
        <v>241</v>
      </c>
      <c r="O682" t="s">
        <v>382</v>
      </c>
      <c r="P682" t="s">
        <v>363</v>
      </c>
      <c r="Q682" s="20">
        <v>46032.649155092593</v>
      </c>
      <c r="R682" t="s">
        <v>18</v>
      </c>
      <c r="T682" t="s">
        <v>494</v>
      </c>
    </row>
    <row r="683" spans="1:20" ht="15" customHeight="1" x14ac:dyDescent="0.25">
      <c r="A683">
        <f t="shared" si="10"/>
        <v>83</v>
      </c>
      <c r="B683" t="s">
        <v>1315</v>
      </c>
      <c r="C683" t="s">
        <v>54</v>
      </c>
      <c r="D683">
        <v>50</v>
      </c>
      <c r="E6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83">
        <f ca="1">IF(Tabla142[[#This Row],[frecuencia_new]]="Diaria"," ",RANDBETWEEN(1,6))</f>
        <v>2</v>
      </c>
      <c r="G683" t="str">
        <f ca="1">IF(Tabla142[[#This Row],[frecuencia_new]]="Diaria","",IF(Tabla142[[#This Row],[frecuencia_new]]="Semanal","",IF(Tabla142[[#This Row],[frecuencia_new]]="Quincenal",RANDBETWEEN(1,2),RANDBETWEEN(1,4))))</f>
        <v/>
      </c>
      <c r="H6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83" t="s">
        <v>57</v>
      </c>
      <c r="K683">
        <f>SUM(MID(Tabla142[[#This Row],[Duración]],1,2)*60,MID(Tabla142[[#This Row],[Duración]],6,2))</f>
        <v>15</v>
      </c>
      <c r="L683" s="4" t="s">
        <v>77</v>
      </c>
      <c r="M683" t="s">
        <v>239</v>
      </c>
      <c r="N683" t="s">
        <v>241</v>
      </c>
      <c r="O683" t="s">
        <v>382</v>
      </c>
      <c r="P683" t="s">
        <v>363</v>
      </c>
      <c r="Q683" s="20">
        <v>46032.649155092593</v>
      </c>
      <c r="R683" t="s">
        <v>8</v>
      </c>
      <c r="T683" t="s">
        <v>494</v>
      </c>
    </row>
    <row r="684" spans="1:20" ht="15" customHeight="1" x14ac:dyDescent="0.25">
      <c r="A684">
        <f t="shared" si="10"/>
        <v>138</v>
      </c>
      <c r="B684" t="s">
        <v>1316</v>
      </c>
      <c r="C684" t="s">
        <v>47</v>
      </c>
      <c r="D684">
        <v>50</v>
      </c>
      <c r="E6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84">
        <f ca="1">IF(Tabla142[[#This Row],[frecuencia_new]]="Diaria"," ",RANDBETWEEN(1,6))</f>
        <v>1</v>
      </c>
      <c r="G684">
        <f ca="1">IF(Tabla142[[#This Row],[frecuencia_new]]="Diaria","",IF(Tabla142[[#This Row],[frecuencia_new]]="Semanal","",IF(Tabla142[[#This Row],[frecuencia_new]]="Quincenal",RANDBETWEEN(1,2),RANDBETWEEN(1,4))))</f>
        <v>3</v>
      </c>
      <c r="H684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684" t="s">
        <v>46</v>
      </c>
      <c r="K684">
        <f>SUM(MID(Tabla142[[#This Row],[Duración]],1,2)*60,MID(Tabla142[[#This Row],[Duración]],6,2))</f>
        <v>30</v>
      </c>
      <c r="L684" s="4" t="s">
        <v>48</v>
      </c>
      <c r="M684" t="s">
        <v>239</v>
      </c>
      <c r="N684" t="s">
        <v>241</v>
      </c>
      <c r="O684" t="s">
        <v>380</v>
      </c>
      <c r="P684" t="s">
        <v>360</v>
      </c>
      <c r="Q684" s="20">
        <v>46032.649155092593</v>
      </c>
      <c r="R684" t="s">
        <v>5</v>
      </c>
      <c r="T684" t="s">
        <v>549</v>
      </c>
    </row>
    <row r="685" spans="1:20" ht="15" customHeight="1" x14ac:dyDescent="0.25">
      <c r="A685">
        <f t="shared" si="10"/>
        <v>138</v>
      </c>
      <c r="B685" t="s">
        <v>1317</v>
      </c>
      <c r="C685" t="s">
        <v>47</v>
      </c>
      <c r="D685">
        <v>50</v>
      </c>
      <c r="E6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85">
        <f ca="1">IF(Tabla142[[#This Row],[frecuencia_new]]="Diaria"," ",RANDBETWEEN(1,6))</f>
        <v>4</v>
      </c>
      <c r="G685">
        <f ca="1">IF(Tabla142[[#This Row],[frecuencia_new]]="Diaria","",IF(Tabla142[[#This Row],[frecuencia_new]]="Semanal","",IF(Tabla142[[#This Row],[frecuencia_new]]="Quincenal",RANDBETWEEN(1,2),RANDBETWEEN(1,4))))</f>
        <v>4</v>
      </c>
      <c r="H68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685" t="s">
        <v>52</v>
      </c>
      <c r="K685">
        <f>SUM(MID(Tabla142[[#This Row],[Duración]],1,2)*60,MID(Tabla142[[#This Row],[Duración]],6,2))</f>
        <v>30</v>
      </c>
      <c r="L685" s="4" t="s">
        <v>48</v>
      </c>
      <c r="M685" t="s">
        <v>239</v>
      </c>
      <c r="N685" t="s">
        <v>241</v>
      </c>
      <c r="O685" t="s">
        <v>380</v>
      </c>
      <c r="P685" t="s">
        <v>360</v>
      </c>
      <c r="Q685" s="20">
        <v>46032.649155092593</v>
      </c>
      <c r="R685" t="s">
        <v>5</v>
      </c>
      <c r="T685" t="s">
        <v>549</v>
      </c>
    </row>
    <row r="686" spans="1:20" ht="15" customHeight="1" x14ac:dyDescent="0.25">
      <c r="A686">
        <f t="shared" si="10"/>
        <v>138</v>
      </c>
      <c r="B686" t="s">
        <v>1318</v>
      </c>
      <c r="C686" t="s">
        <v>54</v>
      </c>
      <c r="D686">
        <v>50</v>
      </c>
      <c r="E6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86">
        <f ca="1">IF(Tabla142[[#This Row],[frecuencia_new]]="Diaria"," ",RANDBETWEEN(1,6))</f>
        <v>4</v>
      </c>
      <c r="G686">
        <f ca="1">IF(Tabla142[[#This Row],[frecuencia_new]]="Diaria","",IF(Tabla142[[#This Row],[frecuencia_new]]="Semanal","",IF(Tabla142[[#This Row],[frecuencia_new]]="Quincenal",RANDBETWEEN(1,2),RANDBETWEEN(1,4))))</f>
        <v>2</v>
      </c>
      <c r="H686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86" t="s">
        <v>53</v>
      </c>
      <c r="K686">
        <f>SUM(MID(Tabla142[[#This Row],[Duración]],1,2)*60,MID(Tabla142[[#This Row],[Duración]],6,2))</f>
        <v>30</v>
      </c>
      <c r="L686" s="4" t="s">
        <v>48</v>
      </c>
      <c r="M686" t="s">
        <v>239</v>
      </c>
      <c r="N686" t="s">
        <v>241</v>
      </c>
      <c r="O686" t="s">
        <v>380</v>
      </c>
      <c r="P686" t="s">
        <v>360</v>
      </c>
      <c r="Q686" s="20">
        <v>46032.649155092593</v>
      </c>
      <c r="R686" t="s">
        <v>5</v>
      </c>
      <c r="T686" t="s">
        <v>549</v>
      </c>
    </row>
    <row r="687" spans="1:20" ht="15" customHeight="1" x14ac:dyDescent="0.25">
      <c r="A687">
        <f t="shared" si="10"/>
        <v>138</v>
      </c>
      <c r="B687" t="s">
        <v>1319</v>
      </c>
      <c r="C687" t="s">
        <v>47</v>
      </c>
      <c r="D687">
        <v>50</v>
      </c>
      <c r="E6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87">
        <f ca="1">IF(Tabla142[[#This Row],[frecuencia_new]]="Diaria"," ",RANDBETWEEN(1,6))</f>
        <v>3</v>
      </c>
      <c r="G687">
        <f ca="1">IF(Tabla142[[#This Row],[frecuencia_new]]="Diaria","",IF(Tabla142[[#This Row],[frecuencia_new]]="Semanal","",IF(Tabla142[[#This Row],[frecuencia_new]]="Quincenal",RANDBETWEEN(1,2),RANDBETWEEN(1,4))))</f>
        <v>1</v>
      </c>
      <c r="H687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687" t="s">
        <v>64</v>
      </c>
      <c r="K687">
        <f>SUM(MID(Tabla142[[#This Row],[Duración]],1,2)*60,MID(Tabla142[[#This Row],[Duración]],6,2))</f>
        <v>30</v>
      </c>
      <c r="L687" s="4" t="s">
        <v>48</v>
      </c>
      <c r="M687" t="s">
        <v>239</v>
      </c>
      <c r="N687" t="s">
        <v>241</v>
      </c>
      <c r="O687" t="s">
        <v>380</v>
      </c>
      <c r="P687" t="s">
        <v>360</v>
      </c>
      <c r="Q687" s="20">
        <v>46032.649155092593</v>
      </c>
      <c r="R687" t="s">
        <v>5</v>
      </c>
      <c r="T687" t="s">
        <v>549</v>
      </c>
    </row>
    <row r="688" spans="1:20" ht="15" customHeight="1" x14ac:dyDescent="0.25">
      <c r="A688">
        <f t="shared" si="10"/>
        <v>86</v>
      </c>
      <c r="B688" t="s">
        <v>1320</v>
      </c>
      <c r="C688" t="s">
        <v>47</v>
      </c>
      <c r="D688">
        <v>63</v>
      </c>
      <c r="E6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88">
        <f ca="1">IF(Tabla142[[#This Row],[frecuencia_new]]="Diaria"," ",RANDBETWEEN(1,6))</f>
        <v>4</v>
      </c>
      <c r="G688">
        <f ca="1">IF(Tabla142[[#This Row],[frecuencia_new]]="Diaria","",IF(Tabla142[[#This Row],[frecuencia_new]]="Semanal","",IF(Tabla142[[#This Row],[frecuencia_new]]="Quincenal",RANDBETWEEN(1,2),RANDBETWEEN(1,4))))</f>
        <v>4</v>
      </c>
      <c r="H6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88" t="s">
        <v>99</v>
      </c>
      <c r="K688">
        <f>SUM(MID(Tabla142[[#This Row],[Duración]],1,2)*60,MID(Tabla142[[#This Row],[Duración]],6,2))</f>
        <v>30</v>
      </c>
      <c r="L688" s="4" t="s">
        <v>48</v>
      </c>
      <c r="M688" t="s">
        <v>239</v>
      </c>
      <c r="N688" t="s">
        <v>241</v>
      </c>
      <c r="O688" t="s">
        <v>382</v>
      </c>
      <c r="P688" t="s">
        <v>363</v>
      </c>
      <c r="Q688" s="20">
        <v>46032.649155092593</v>
      </c>
      <c r="R688" t="s">
        <v>7</v>
      </c>
      <c r="T688" t="s">
        <v>497</v>
      </c>
    </row>
    <row r="689" spans="1:20" ht="15" customHeight="1" x14ac:dyDescent="0.25">
      <c r="A689">
        <f t="shared" si="10"/>
        <v>86</v>
      </c>
      <c r="B689" t="s">
        <v>1321</v>
      </c>
      <c r="C689" t="s">
        <v>47</v>
      </c>
      <c r="D689">
        <v>63</v>
      </c>
      <c r="E6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89">
        <f ca="1">IF(Tabla142[[#This Row],[frecuencia_new]]="Diaria"," ",RANDBETWEEN(1,6))</f>
        <v>5</v>
      </c>
      <c r="G689" t="str">
        <f ca="1">IF(Tabla142[[#This Row],[frecuencia_new]]="Diaria","",IF(Tabla142[[#This Row],[frecuencia_new]]="Semanal","",IF(Tabla142[[#This Row],[frecuencia_new]]="Quincenal",RANDBETWEEN(1,2),RANDBETWEEN(1,4))))</f>
        <v/>
      </c>
      <c r="H6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89" t="s">
        <v>100</v>
      </c>
      <c r="K689">
        <f>SUM(MID(Tabla142[[#This Row],[Duración]],1,2)*60,MID(Tabla142[[#This Row],[Duración]],6,2))</f>
        <v>20</v>
      </c>
      <c r="L689" s="4" t="s">
        <v>82</v>
      </c>
      <c r="M689" t="s">
        <v>239</v>
      </c>
      <c r="N689" t="s">
        <v>241</v>
      </c>
      <c r="O689" t="s">
        <v>382</v>
      </c>
      <c r="P689" t="s">
        <v>363</v>
      </c>
      <c r="Q689" s="20">
        <v>46032.649155092593</v>
      </c>
      <c r="R689" t="s">
        <v>8</v>
      </c>
      <c r="T689" t="s">
        <v>497</v>
      </c>
    </row>
    <row r="690" spans="1:20" ht="15" customHeight="1" x14ac:dyDescent="0.25">
      <c r="A690">
        <f t="shared" si="10"/>
        <v>86</v>
      </c>
      <c r="B690" t="s">
        <v>1322</v>
      </c>
      <c r="C690" t="s">
        <v>47</v>
      </c>
      <c r="D690">
        <v>63</v>
      </c>
      <c r="E6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90">
        <f ca="1">IF(Tabla142[[#This Row],[frecuencia_new]]="Diaria"," ",RANDBETWEEN(1,6))</f>
        <v>4</v>
      </c>
      <c r="G690">
        <f ca="1">IF(Tabla142[[#This Row],[frecuencia_new]]="Diaria","",IF(Tabla142[[#This Row],[frecuencia_new]]="Semanal","",IF(Tabla142[[#This Row],[frecuencia_new]]="Quincenal",RANDBETWEEN(1,2),RANDBETWEEN(1,4))))</f>
        <v>2</v>
      </c>
      <c r="H690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690" t="s">
        <v>102</v>
      </c>
      <c r="K690">
        <f>SUM(MID(Tabla142[[#This Row],[Duración]],1,2)*60,MID(Tabla142[[#This Row],[Duración]],6,2))</f>
        <v>180</v>
      </c>
      <c r="L690" s="4" t="s">
        <v>65</v>
      </c>
      <c r="M690" t="s">
        <v>239</v>
      </c>
      <c r="N690" t="s">
        <v>241</v>
      </c>
      <c r="O690" t="s">
        <v>382</v>
      </c>
      <c r="P690" t="s">
        <v>363</v>
      </c>
      <c r="Q690" s="20">
        <v>46032.649155092593</v>
      </c>
      <c r="R690" t="s">
        <v>5</v>
      </c>
      <c r="T690" t="s">
        <v>497</v>
      </c>
    </row>
    <row r="691" spans="1:20" ht="15" customHeight="1" x14ac:dyDescent="0.25">
      <c r="A691">
        <f t="shared" si="10"/>
        <v>86</v>
      </c>
      <c r="B691" t="s">
        <v>1323</v>
      </c>
      <c r="C691" t="s">
        <v>47</v>
      </c>
      <c r="D691">
        <v>63</v>
      </c>
      <c r="E6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91">
        <f ca="1">IF(Tabla142[[#This Row],[frecuencia_new]]="Diaria"," ",RANDBETWEEN(1,6))</f>
        <v>3</v>
      </c>
      <c r="G691" t="str">
        <f ca="1">IF(Tabla142[[#This Row],[frecuencia_new]]="Diaria","",IF(Tabla142[[#This Row],[frecuencia_new]]="Semanal","",IF(Tabla142[[#This Row],[frecuencia_new]]="Quincenal",RANDBETWEEN(1,2),RANDBETWEEN(1,4))))</f>
        <v/>
      </c>
      <c r="H6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91" t="s">
        <v>80</v>
      </c>
      <c r="K691">
        <f>SUM(MID(Tabla142[[#This Row],[Duración]],1,2)*60,MID(Tabla142[[#This Row],[Duración]],6,2))</f>
        <v>20</v>
      </c>
      <c r="L691" s="4" t="s">
        <v>82</v>
      </c>
      <c r="M691" t="s">
        <v>239</v>
      </c>
      <c r="N691" t="s">
        <v>241</v>
      </c>
      <c r="O691" t="s">
        <v>382</v>
      </c>
      <c r="P691" t="s">
        <v>363</v>
      </c>
      <c r="Q691" s="20">
        <v>46032.649155092593</v>
      </c>
      <c r="R691" t="s">
        <v>8</v>
      </c>
      <c r="T691" t="s">
        <v>497</v>
      </c>
    </row>
    <row r="692" spans="1:20" x14ac:dyDescent="0.25">
      <c r="A692">
        <f t="shared" si="10"/>
        <v>86</v>
      </c>
      <c r="B692" t="s">
        <v>1324</v>
      </c>
      <c r="C692" t="s">
        <v>47</v>
      </c>
      <c r="D692">
        <v>63</v>
      </c>
      <c r="E6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692">
        <f ca="1">IF(Tabla142[[#This Row],[frecuencia_new]]="Diaria"," ",RANDBETWEEN(1,6))</f>
        <v>6</v>
      </c>
      <c r="G692">
        <f ca="1">IF(Tabla142[[#This Row],[frecuencia_new]]="Diaria","",IF(Tabla142[[#This Row],[frecuencia_new]]="Semanal","",IF(Tabla142[[#This Row],[frecuencia_new]]="Quincenal",RANDBETWEEN(1,2),RANDBETWEEN(1,4))))</f>
        <v>2</v>
      </c>
      <c r="H69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692" t="s">
        <v>103</v>
      </c>
      <c r="K692">
        <f>SUM(MID(Tabla142[[#This Row],[Duración]],1,2)*60,MID(Tabla142[[#This Row],[Duración]],6,2))</f>
        <v>30</v>
      </c>
      <c r="L692" s="4" t="s">
        <v>48</v>
      </c>
      <c r="M692" t="s">
        <v>239</v>
      </c>
      <c r="N692" t="s">
        <v>241</v>
      </c>
      <c r="O692" t="s">
        <v>382</v>
      </c>
      <c r="P692" t="s">
        <v>363</v>
      </c>
      <c r="Q692" s="20">
        <v>46032.649155092593</v>
      </c>
      <c r="R692" t="s">
        <v>20</v>
      </c>
      <c r="T692" t="s">
        <v>497</v>
      </c>
    </row>
    <row r="693" spans="1:20" ht="15" customHeight="1" x14ac:dyDescent="0.25">
      <c r="A693">
        <f t="shared" si="10"/>
        <v>86</v>
      </c>
      <c r="B693" t="s">
        <v>1325</v>
      </c>
      <c r="C693" t="s">
        <v>47</v>
      </c>
      <c r="D693">
        <v>63</v>
      </c>
      <c r="E6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693">
        <f ca="1">IF(Tabla142[[#This Row],[frecuencia_new]]="Diaria"," ",RANDBETWEEN(1,6))</f>
        <v>6</v>
      </c>
      <c r="G693" t="str">
        <f ca="1">IF(Tabla142[[#This Row],[frecuencia_new]]="Diaria","",IF(Tabla142[[#This Row],[frecuencia_new]]="Semanal","",IF(Tabla142[[#This Row],[frecuencia_new]]="Quincenal",RANDBETWEEN(1,2),RANDBETWEEN(1,4))))</f>
        <v/>
      </c>
      <c r="H6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93" t="s">
        <v>57</v>
      </c>
      <c r="K693">
        <f>SUM(MID(Tabla142[[#This Row],[Duración]],1,2)*60,MID(Tabla142[[#This Row],[Duración]],6,2))</f>
        <v>20</v>
      </c>
      <c r="L693" s="4" t="s">
        <v>82</v>
      </c>
      <c r="M693" t="s">
        <v>239</v>
      </c>
      <c r="N693" t="s">
        <v>241</v>
      </c>
      <c r="O693" t="s">
        <v>382</v>
      </c>
      <c r="P693" t="s">
        <v>363</v>
      </c>
      <c r="Q693" s="20">
        <v>46032.649155092593</v>
      </c>
      <c r="R693" t="s">
        <v>8</v>
      </c>
      <c r="T693" t="s">
        <v>497</v>
      </c>
    </row>
    <row r="694" spans="1:20" ht="15" customHeight="1" x14ac:dyDescent="0.25">
      <c r="A694">
        <f t="shared" si="10"/>
        <v>86</v>
      </c>
      <c r="B694" t="s">
        <v>1326</v>
      </c>
      <c r="C694" t="s">
        <v>47</v>
      </c>
      <c r="D694">
        <v>63</v>
      </c>
      <c r="E6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94">
        <f ca="1">IF(Tabla142[[#This Row],[frecuencia_new]]="Diaria"," ",RANDBETWEEN(1,6))</f>
        <v>5</v>
      </c>
      <c r="G694">
        <f ca="1">IF(Tabla142[[#This Row],[frecuencia_new]]="Diaria","",IF(Tabla142[[#This Row],[frecuencia_new]]="Semanal","",IF(Tabla142[[#This Row],[frecuencia_new]]="Quincenal",RANDBETWEEN(1,2),RANDBETWEEN(1,4))))</f>
        <v>3</v>
      </c>
      <c r="H6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94" t="s">
        <v>104</v>
      </c>
      <c r="K694">
        <f>SUM(MID(Tabla142[[#This Row],[Duración]],1,2)*60,MID(Tabla142[[#This Row],[Duración]],6,2))</f>
        <v>30</v>
      </c>
      <c r="L694" s="4" t="s">
        <v>48</v>
      </c>
      <c r="M694" t="s">
        <v>239</v>
      </c>
      <c r="N694" t="s">
        <v>241</v>
      </c>
      <c r="O694" t="s">
        <v>382</v>
      </c>
      <c r="P694" t="s">
        <v>363</v>
      </c>
      <c r="Q694" s="20">
        <v>46032.649155092593</v>
      </c>
      <c r="R694" t="s">
        <v>7</v>
      </c>
      <c r="T694" t="s">
        <v>497</v>
      </c>
    </row>
    <row r="695" spans="1:20" ht="15" customHeight="1" x14ac:dyDescent="0.25">
      <c r="A695">
        <f t="shared" si="10"/>
        <v>97</v>
      </c>
      <c r="B695" t="s">
        <v>1327</v>
      </c>
      <c r="C695" t="s">
        <v>47</v>
      </c>
      <c r="D695">
        <v>63</v>
      </c>
      <c r="E6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695" t="str">
        <f ca="1">IF(Tabla142[[#This Row],[frecuencia_new]]="Diaria"," ",RANDBETWEEN(1,6))</f>
        <v xml:space="preserve"> </v>
      </c>
      <c r="G695" t="str">
        <f ca="1">IF(Tabla142[[#This Row],[frecuencia_new]]="Diaria","",IF(Tabla142[[#This Row],[frecuencia_new]]="Semanal","",IF(Tabla142[[#This Row],[frecuencia_new]]="Quincenal",RANDBETWEEN(1,2),RANDBETWEEN(1,4))))</f>
        <v/>
      </c>
      <c r="H6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95" t="s">
        <v>101</v>
      </c>
      <c r="K695">
        <f>SUM(MID(Tabla142[[#This Row],[Duración]],1,2)*60,MID(Tabla142[[#This Row],[Duración]],6,2))</f>
        <v>5</v>
      </c>
      <c r="L695" s="4" t="s">
        <v>50</v>
      </c>
      <c r="M695" t="s">
        <v>239</v>
      </c>
      <c r="N695" t="s">
        <v>241</v>
      </c>
      <c r="O695" t="s">
        <v>386</v>
      </c>
      <c r="P695" t="s">
        <v>361</v>
      </c>
      <c r="Q695" s="20">
        <v>46032.649155092593</v>
      </c>
      <c r="R695" t="s">
        <v>6</v>
      </c>
      <c r="T695" t="s">
        <v>508</v>
      </c>
    </row>
    <row r="696" spans="1:20" ht="15" customHeight="1" x14ac:dyDescent="0.25">
      <c r="A696">
        <f t="shared" si="10"/>
        <v>144</v>
      </c>
      <c r="B696" t="s">
        <v>1328</v>
      </c>
      <c r="C696" t="s">
        <v>47</v>
      </c>
      <c r="D696">
        <v>63</v>
      </c>
      <c r="E6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96">
        <f ca="1">IF(Tabla142[[#This Row],[frecuencia_new]]="Diaria"," ",RANDBETWEEN(1,6))</f>
        <v>1</v>
      </c>
      <c r="G696">
        <f ca="1">IF(Tabla142[[#This Row],[frecuencia_new]]="Diaria","",IF(Tabla142[[#This Row],[frecuencia_new]]="Semanal","",IF(Tabla142[[#This Row],[frecuencia_new]]="Quincenal",RANDBETWEEN(1,2),RANDBETWEEN(1,4))))</f>
        <v>3</v>
      </c>
      <c r="H69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696" t="s">
        <v>46</v>
      </c>
      <c r="K696">
        <f>SUM(MID(Tabla142[[#This Row],[Duración]],1,2)*60,MID(Tabla142[[#This Row],[Duración]],6,2))</f>
        <v>30</v>
      </c>
      <c r="L696" s="4" t="s">
        <v>48</v>
      </c>
      <c r="M696" t="s">
        <v>239</v>
      </c>
      <c r="N696" t="s">
        <v>241</v>
      </c>
      <c r="O696" t="s">
        <v>380</v>
      </c>
      <c r="P696" t="s">
        <v>360</v>
      </c>
      <c r="Q696" s="20">
        <v>46032.649155092593</v>
      </c>
      <c r="R696" t="s">
        <v>5</v>
      </c>
      <c r="T696" t="s">
        <v>555</v>
      </c>
    </row>
    <row r="697" spans="1:20" ht="15" customHeight="1" x14ac:dyDescent="0.25">
      <c r="A697">
        <f t="shared" si="10"/>
        <v>144</v>
      </c>
      <c r="B697" t="s">
        <v>1329</v>
      </c>
      <c r="C697" t="s">
        <v>47</v>
      </c>
      <c r="D697">
        <v>63</v>
      </c>
      <c r="E6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697">
        <f ca="1">IF(Tabla142[[#This Row],[frecuencia_new]]="Diaria"," ",RANDBETWEEN(1,6))</f>
        <v>1</v>
      </c>
      <c r="G697">
        <f ca="1">IF(Tabla142[[#This Row],[frecuencia_new]]="Diaria","",IF(Tabla142[[#This Row],[frecuencia_new]]="Semanal","",IF(Tabla142[[#This Row],[frecuencia_new]]="Quincenal",RANDBETWEEN(1,2),RANDBETWEEN(1,4))))</f>
        <v>3</v>
      </c>
      <c r="H6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697" t="s">
        <v>98</v>
      </c>
      <c r="K697">
        <f>SUM(MID(Tabla142[[#This Row],[Duración]],1,2)*60,MID(Tabla142[[#This Row],[Duración]],6,2))</f>
        <v>30</v>
      </c>
      <c r="L697" s="4" t="s">
        <v>48</v>
      </c>
      <c r="M697" t="s">
        <v>239</v>
      </c>
      <c r="N697" t="s">
        <v>241</v>
      </c>
      <c r="O697" t="s">
        <v>380</v>
      </c>
      <c r="P697" t="s">
        <v>360</v>
      </c>
      <c r="Q697" s="20">
        <v>46032.649155092593</v>
      </c>
      <c r="R697" t="s">
        <v>7</v>
      </c>
      <c r="T697" t="s">
        <v>555</v>
      </c>
    </row>
    <row r="698" spans="1:20" ht="15" customHeight="1" x14ac:dyDescent="0.25">
      <c r="A698">
        <f t="shared" si="10"/>
        <v>144</v>
      </c>
      <c r="B698" t="s">
        <v>1330</v>
      </c>
      <c r="C698" t="s">
        <v>47</v>
      </c>
      <c r="D698">
        <v>63</v>
      </c>
      <c r="E6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98">
        <f ca="1">IF(Tabla142[[#This Row],[frecuencia_new]]="Diaria"," ",RANDBETWEEN(1,6))</f>
        <v>4</v>
      </c>
      <c r="G698">
        <f ca="1">IF(Tabla142[[#This Row],[frecuencia_new]]="Diaria","",IF(Tabla142[[#This Row],[frecuencia_new]]="Semanal","",IF(Tabla142[[#This Row],[frecuencia_new]]="Quincenal",RANDBETWEEN(1,2),RANDBETWEEN(1,4))))</f>
        <v>4</v>
      </c>
      <c r="H698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698" t="s">
        <v>52</v>
      </c>
      <c r="K698">
        <f>SUM(MID(Tabla142[[#This Row],[Duración]],1,2)*60,MID(Tabla142[[#This Row],[Duración]],6,2))</f>
        <v>30</v>
      </c>
      <c r="L698" s="4" t="s">
        <v>48</v>
      </c>
      <c r="M698" t="s">
        <v>239</v>
      </c>
      <c r="N698" t="s">
        <v>241</v>
      </c>
      <c r="O698" t="s">
        <v>380</v>
      </c>
      <c r="P698" t="s">
        <v>360</v>
      </c>
      <c r="Q698" s="20">
        <v>46032.649155092593</v>
      </c>
      <c r="R698" t="s">
        <v>5</v>
      </c>
      <c r="T698" t="s">
        <v>555</v>
      </c>
    </row>
    <row r="699" spans="1:20" ht="15" customHeight="1" x14ac:dyDescent="0.25">
      <c r="A699">
        <f t="shared" si="10"/>
        <v>144</v>
      </c>
      <c r="B699" t="s">
        <v>1331</v>
      </c>
      <c r="C699" t="s">
        <v>54</v>
      </c>
      <c r="D699">
        <v>63</v>
      </c>
      <c r="E6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699">
        <f ca="1">IF(Tabla142[[#This Row],[frecuencia_new]]="Diaria"," ",RANDBETWEEN(1,6))</f>
        <v>6</v>
      </c>
      <c r="G699">
        <f ca="1">IF(Tabla142[[#This Row],[frecuencia_new]]="Diaria","",IF(Tabla142[[#This Row],[frecuencia_new]]="Semanal","",IF(Tabla142[[#This Row],[frecuencia_new]]="Quincenal",RANDBETWEEN(1,2),RANDBETWEEN(1,4))))</f>
        <v>2</v>
      </c>
      <c r="H699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699" t="s">
        <v>53</v>
      </c>
      <c r="K699">
        <f>SUM(MID(Tabla142[[#This Row],[Duración]],1,2)*60,MID(Tabla142[[#This Row],[Duración]],6,2))</f>
        <v>30</v>
      </c>
      <c r="L699" s="4" t="s">
        <v>48</v>
      </c>
      <c r="M699" t="s">
        <v>239</v>
      </c>
      <c r="N699" t="s">
        <v>241</v>
      </c>
      <c r="O699" t="s">
        <v>380</v>
      </c>
      <c r="P699" t="s">
        <v>360</v>
      </c>
      <c r="Q699" s="20">
        <v>46032.649155092593</v>
      </c>
      <c r="R699" t="s">
        <v>5</v>
      </c>
      <c r="T699" t="s">
        <v>555</v>
      </c>
    </row>
    <row r="700" spans="1:20" ht="15" customHeight="1" x14ac:dyDescent="0.25">
      <c r="A700">
        <f t="shared" si="10"/>
        <v>144</v>
      </c>
      <c r="B700" t="s">
        <v>1332</v>
      </c>
      <c r="C700" t="s">
        <v>47</v>
      </c>
      <c r="D700">
        <v>63</v>
      </c>
      <c r="E7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00">
        <f ca="1">IF(Tabla142[[#This Row],[frecuencia_new]]="Diaria"," ",RANDBETWEEN(1,6))</f>
        <v>5</v>
      </c>
      <c r="G700">
        <f ca="1">IF(Tabla142[[#This Row],[frecuencia_new]]="Diaria","",IF(Tabla142[[#This Row],[frecuencia_new]]="Semanal","",IF(Tabla142[[#This Row],[frecuencia_new]]="Quincenal",RANDBETWEEN(1,2),RANDBETWEEN(1,4))))</f>
        <v>3</v>
      </c>
      <c r="H700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700" t="s">
        <v>56</v>
      </c>
      <c r="K700">
        <f>SUM(MID(Tabla142[[#This Row],[Duración]],1,2)*60,MID(Tabla142[[#This Row],[Duración]],6,2))</f>
        <v>30</v>
      </c>
      <c r="L700" s="4" t="s">
        <v>48</v>
      </c>
      <c r="M700" t="s">
        <v>239</v>
      </c>
      <c r="N700" t="s">
        <v>241</v>
      </c>
      <c r="O700" t="s">
        <v>380</v>
      </c>
      <c r="P700" t="s">
        <v>360</v>
      </c>
      <c r="Q700" s="20">
        <v>46032.649155092593</v>
      </c>
      <c r="R700" t="s">
        <v>5</v>
      </c>
      <c r="T700" t="s">
        <v>555</v>
      </c>
    </row>
    <row r="701" spans="1:20" ht="15" customHeight="1" x14ac:dyDescent="0.25">
      <c r="A701">
        <f t="shared" si="10"/>
        <v>87</v>
      </c>
      <c r="B701" t="s">
        <v>1333</v>
      </c>
      <c r="C701" t="s">
        <v>47</v>
      </c>
      <c r="D701">
        <v>64</v>
      </c>
      <c r="E7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01">
        <f ca="1">IF(Tabla142[[#This Row],[frecuencia_new]]="Diaria"," ",RANDBETWEEN(1,6))</f>
        <v>1</v>
      </c>
      <c r="G701">
        <f ca="1">IF(Tabla142[[#This Row],[frecuencia_new]]="Diaria","",IF(Tabla142[[#This Row],[frecuencia_new]]="Semanal","",IF(Tabla142[[#This Row],[frecuencia_new]]="Quincenal",RANDBETWEEN(1,2),RANDBETWEEN(1,4))))</f>
        <v>1</v>
      </c>
      <c r="H7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1" t="s">
        <v>99</v>
      </c>
      <c r="K701">
        <f>SUM(MID(Tabla142[[#This Row],[Duración]],1,2)*60,MID(Tabla142[[#This Row],[Duración]],6,2))</f>
        <v>30</v>
      </c>
      <c r="L701" s="4" t="s">
        <v>48</v>
      </c>
      <c r="M701" t="s">
        <v>239</v>
      </c>
      <c r="N701" t="s">
        <v>241</v>
      </c>
      <c r="O701" t="s">
        <v>382</v>
      </c>
      <c r="P701" t="s">
        <v>363</v>
      </c>
      <c r="Q701" s="20">
        <v>46032.649155092593</v>
      </c>
      <c r="R701" t="s">
        <v>7</v>
      </c>
      <c r="T701" t="s">
        <v>498</v>
      </c>
    </row>
    <row r="702" spans="1:20" ht="15" customHeight="1" x14ac:dyDescent="0.25">
      <c r="A702">
        <f t="shared" si="10"/>
        <v>87</v>
      </c>
      <c r="B702" t="s">
        <v>1334</v>
      </c>
      <c r="C702" t="s">
        <v>47</v>
      </c>
      <c r="D702">
        <v>64</v>
      </c>
      <c r="E7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02">
        <f ca="1">IF(Tabla142[[#This Row],[frecuencia_new]]="Diaria"," ",RANDBETWEEN(1,6))</f>
        <v>1</v>
      </c>
      <c r="G702" t="str">
        <f ca="1">IF(Tabla142[[#This Row],[frecuencia_new]]="Diaria","",IF(Tabla142[[#This Row],[frecuencia_new]]="Semanal","",IF(Tabla142[[#This Row],[frecuencia_new]]="Quincenal",RANDBETWEEN(1,2),RANDBETWEEN(1,4))))</f>
        <v/>
      </c>
      <c r="H70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2" t="s">
        <v>100</v>
      </c>
      <c r="K702">
        <f>SUM(MID(Tabla142[[#This Row],[Duración]],1,2)*60,MID(Tabla142[[#This Row],[Duración]],6,2))</f>
        <v>20</v>
      </c>
      <c r="L702" s="4" t="s">
        <v>82</v>
      </c>
      <c r="M702" t="s">
        <v>239</v>
      </c>
      <c r="N702" t="s">
        <v>241</v>
      </c>
      <c r="O702" t="s">
        <v>382</v>
      </c>
      <c r="P702" t="s">
        <v>363</v>
      </c>
      <c r="Q702" s="20">
        <v>46032.649155092593</v>
      </c>
      <c r="R702" t="s">
        <v>8</v>
      </c>
      <c r="T702" t="s">
        <v>498</v>
      </c>
    </row>
    <row r="703" spans="1:20" ht="15" customHeight="1" x14ac:dyDescent="0.25">
      <c r="A703">
        <f t="shared" si="10"/>
        <v>87</v>
      </c>
      <c r="B703" t="s">
        <v>1335</v>
      </c>
      <c r="C703" t="s">
        <v>47</v>
      </c>
      <c r="D703">
        <v>64</v>
      </c>
      <c r="E7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03">
        <f ca="1">IF(Tabla142[[#This Row],[frecuencia_new]]="Diaria"," ",RANDBETWEEN(1,6))</f>
        <v>1</v>
      </c>
      <c r="G703">
        <f ca="1">IF(Tabla142[[#This Row],[frecuencia_new]]="Diaria","",IF(Tabla142[[#This Row],[frecuencia_new]]="Semanal","",IF(Tabla142[[#This Row],[frecuencia_new]]="Quincenal",RANDBETWEEN(1,2),RANDBETWEEN(1,4))))</f>
        <v>2</v>
      </c>
      <c r="H703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03" t="s">
        <v>102</v>
      </c>
      <c r="K703">
        <f>SUM(MID(Tabla142[[#This Row],[Duración]],1,2)*60,MID(Tabla142[[#This Row],[Duración]],6,2))</f>
        <v>180</v>
      </c>
      <c r="L703" s="4" t="s">
        <v>65</v>
      </c>
      <c r="M703" t="s">
        <v>239</v>
      </c>
      <c r="N703" t="s">
        <v>241</v>
      </c>
      <c r="O703" t="s">
        <v>382</v>
      </c>
      <c r="P703" t="s">
        <v>363</v>
      </c>
      <c r="Q703" s="20">
        <v>46032.649155092593</v>
      </c>
      <c r="R703" t="s">
        <v>5</v>
      </c>
      <c r="T703" t="s">
        <v>498</v>
      </c>
    </row>
    <row r="704" spans="1:20" ht="15" customHeight="1" x14ac:dyDescent="0.25">
      <c r="A704">
        <f t="shared" si="10"/>
        <v>87</v>
      </c>
      <c r="B704" t="s">
        <v>1336</v>
      </c>
      <c r="C704" t="s">
        <v>47</v>
      </c>
      <c r="D704">
        <v>64</v>
      </c>
      <c r="E7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04">
        <f ca="1">IF(Tabla142[[#This Row],[frecuencia_new]]="Diaria"," ",RANDBETWEEN(1,6))</f>
        <v>6</v>
      </c>
      <c r="G704" t="str">
        <f ca="1">IF(Tabla142[[#This Row],[frecuencia_new]]="Diaria","",IF(Tabla142[[#This Row],[frecuencia_new]]="Semanal","",IF(Tabla142[[#This Row],[frecuencia_new]]="Quincenal",RANDBETWEEN(1,2),RANDBETWEEN(1,4))))</f>
        <v/>
      </c>
      <c r="H7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4" t="s">
        <v>80</v>
      </c>
      <c r="K704">
        <f>SUM(MID(Tabla142[[#This Row],[Duración]],1,2)*60,MID(Tabla142[[#This Row],[Duración]],6,2))</f>
        <v>20</v>
      </c>
      <c r="L704" s="4" t="s">
        <v>82</v>
      </c>
      <c r="M704" t="s">
        <v>239</v>
      </c>
      <c r="N704" t="s">
        <v>241</v>
      </c>
      <c r="O704" t="s">
        <v>382</v>
      </c>
      <c r="P704" t="s">
        <v>363</v>
      </c>
      <c r="Q704" s="20">
        <v>46032.649155092593</v>
      </c>
      <c r="R704" t="s">
        <v>8</v>
      </c>
      <c r="T704" t="s">
        <v>498</v>
      </c>
    </row>
    <row r="705" spans="1:20" x14ac:dyDescent="0.25">
      <c r="A705">
        <f t="shared" si="10"/>
        <v>87</v>
      </c>
      <c r="B705" t="s">
        <v>1337</v>
      </c>
      <c r="C705" t="s">
        <v>47</v>
      </c>
      <c r="D705">
        <v>64</v>
      </c>
      <c r="E7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705">
        <f ca="1">IF(Tabla142[[#This Row],[frecuencia_new]]="Diaria"," ",RANDBETWEEN(1,6))</f>
        <v>6</v>
      </c>
      <c r="G705">
        <f ca="1">IF(Tabla142[[#This Row],[frecuencia_new]]="Diaria","",IF(Tabla142[[#This Row],[frecuencia_new]]="Semanal","",IF(Tabla142[[#This Row],[frecuencia_new]]="Quincenal",RANDBETWEEN(1,2),RANDBETWEEN(1,4))))</f>
        <v>1</v>
      </c>
      <c r="H705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705" t="s">
        <v>103</v>
      </c>
      <c r="K705">
        <f>SUM(MID(Tabla142[[#This Row],[Duración]],1,2)*60,MID(Tabla142[[#This Row],[Duración]],6,2))</f>
        <v>30</v>
      </c>
      <c r="L705" s="4" t="s">
        <v>48</v>
      </c>
      <c r="M705" t="s">
        <v>239</v>
      </c>
      <c r="N705" t="s">
        <v>241</v>
      </c>
      <c r="O705" t="s">
        <v>382</v>
      </c>
      <c r="P705" t="s">
        <v>363</v>
      </c>
      <c r="Q705" s="20">
        <v>46032.649155092593</v>
      </c>
      <c r="R705" t="s">
        <v>20</v>
      </c>
      <c r="T705" t="s">
        <v>498</v>
      </c>
    </row>
    <row r="706" spans="1:20" ht="15" customHeight="1" x14ac:dyDescent="0.25">
      <c r="A706">
        <f t="shared" ref="A706:A769" si="11">VLOOKUP(T706,$V$2:$W$222,2,FALSE)</f>
        <v>87</v>
      </c>
      <c r="B706" t="s">
        <v>1338</v>
      </c>
      <c r="C706" t="s">
        <v>47</v>
      </c>
      <c r="D706">
        <v>64</v>
      </c>
      <c r="E7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06">
        <f ca="1">IF(Tabla142[[#This Row],[frecuencia_new]]="Diaria"," ",RANDBETWEEN(1,6))</f>
        <v>4</v>
      </c>
      <c r="G706" t="str">
        <f ca="1">IF(Tabla142[[#This Row],[frecuencia_new]]="Diaria","",IF(Tabla142[[#This Row],[frecuencia_new]]="Semanal","",IF(Tabla142[[#This Row],[frecuencia_new]]="Quincenal",RANDBETWEEN(1,2),RANDBETWEEN(1,4))))</f>
        <v/>
      </c>
      <c r="H7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6" t="s">
        <v>57</v>
      </c>
      <c r="K706">
        <f>SUM(MID(Tabla142[[#This Row],[Duración]],1,2)*60,MID(Tabla142[[#This Row],[Duración]],6,2))</f>
        <v>20</v>
      </c>
      <c r="L706" s="4" t="s">
        <v>82</v>
      </c>
      <c r="M706" t="s">
        <v>239</v>
      </c>
      <c r="N706" t="s">
        <v>241</v>
      </c>
      <c r="O706" t="s">
        <v>382</v>
      </c>
      <c r="P706" t="s">
        <v>363</v>
      </c>
      <c r="Q706" s="20">
        <v>46032.649155092593</v>
      </c>
      <c r="R706" t="s">
        <v>8</v>
      </c>
      <c r="T706" t="s">
        <v>498</v>
      </c>
    </row>
    <row r="707" spans="1:20" ht="15" customHeight="1" x14ac:dyDescent="0.25">
      <c r="A707">
        <f t="shared" si="11"/>
        <v>87</v>
      </c>
      <c r="B707" t="s">
        <v>1339</v>
      </c>
      <c r="C707" t="s">
        <v>47</v>
      </c>
      <c r="D707">
        <v>64</v>
      </c>
      <c r="E7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07">
        <f ca="1">IF(Tabla142[[#This Row],[frecuencia_new]]="Diaria"," ",RANDBETWEEN(1,6))</f>
        <v>6</v>
      </c>
      <c r="G707">
        <f ca="1">IF(Tabla142[[#This Row],[frecuencia_new]]="Diaria","",IF(Tabla142[[#This Row],[frecuencia_new]]="Semanal","",IF(Tabla142[[#This Row],[frecuencia_new]]="Quincenal",RANDBETWEEN(1,2),RANDBETWEEN(1,4))))</f>
        <v>4</v>
      </c>
      <c r="H7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7" t="s">
        <v>104</v>
      </c>
      <c r="K707">
        <f>SUM(MID(Tabla142[[#This Row],[Duración]],1,2)*60,MID(Tabla142[[#This Row],[Duración]],6,2))</f>
        <v>30</v>
      </c>
      <c r="L707" s="4" t="s">
        <v>48</v>
      </c>
      <c r="M707" t="s">
        <v>239</v>
      </c>
      <c r="N707" t="s">
        <v>241</v>
      </c>
      <c r="O707" t="s">
        <v>382</v>
      </c>
      <c r="P707" t="s">
        <v>363</v>
      </c>
      <c r="Q707" s="20">
        <v>46032.649155092593</v>
      </c>
      <c r="R707" t="s">
        <v>7</v>
      </c>
      <c r="T707" t="s">
        <v>498</v>
      </c>
    </row>
    <row r="708" spans="1:20" ht="15" customHeight="1" x14ac:dyDescent="0.25">
      <c r="A708">
        <f t="shared" si="11"/>
        <v>98</v>
      </c>
      <c r="B708" t="s">
        <v>1340</v>
      </c>
      <c r="C708" t="s">
        <v>47</v>
      </c>
      <c r="D708">
        <v>64</v>
      </c>
      <c r="E7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08" t="str">
        <f ca="1">IF(Tabla142[[#This Row],[frecuencia_new]]="Diaria"," ",RANDBETWEEN(1,6))</f>
        <v xml:space="preserve"> </v>
      </c>
      <c r="G708" t="str">
        <f ca="1">IF(Tabla142[[#This Row],[frecuencia_new]]="Diaria","",IF(Tabla142[[#This Row],[frecuencia_new]]="Semanal","",IF(Tabla142[[#This Row],[frecuencia_new]]="Quincenal",RANDBETWEEN(1,2),RANDBETWEEN(1,4))))</f>
        <v/>
      </c>
      <c r="H7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08" t="s">
        <v>101</v>
      </c>
      <c r="K708">
        <f>SUM(MID(Tabla142[[#This Row],[Duración]],1,2)*60,MID(Tabla142[[#This Row],[Duración]],6,2))</f>
        <v>5</v>
      </c>
      <c r="L708" s="4" t="s">
        <v>50</v>
      </c>
      <c r="M708" t="s">
        <v>239</v>
      </c>
      <c r="N708" t="s">
        <v>241</v>
      </c>
      <c r="O708" t="s">
        <v>386</v>
      </c>
      <c r="P708" t="s">
        <v>361</v>
      </c>
      <c r="Q708" s="20">
        <v>46032.649155092593</v>
      </c>
      <c r="R708" t="s">
        <v>6</v>
      </c>
      <c r="T708" t="s">
        <v>509</v>
      </c>
    </row>
    <row r="709" spans="1:20" ht="15" customHeight="1" x14ac:dyDescent="0.25">
      <c r="A709">
        <f t="shared" si="11"/>
        <v>145</v>
      </c>
      <c r="B709" t="s">
        <v>1341</v>
      </c>
      <c r="C709" t="s">
        <v>47</v>
      </c>
      <c r="D709">
        <v>64</v>
      </c>
      <c r="E7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09">
        <f ca="1">IF(Tabla142[[#This Row],[frecuencia_new]]="Diaria"," ",RANDBETWEEN(1,6))</f>
        <v>4</v>
      </c>
      <c r="G709">
        <f ca="1">IF(Tabla142[[#This Row],[frecuencia_new]]="Diaria","",IF(Tabla142[[#This Row],[frecuencia_new]]="Semanal","",IF(Tabla142[[#This Row],[frecuencia_new]]="Quincenal",RANDBETWEEN(1,2),RANDBETWEEN(1,4))))</f>
        <v>3</v>
      </c>
      <c r="H709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709" t="s">
        <v>46</v>
      </c>
      <c r="K709">
        <f>SUM(MID(Tabla142[[#This Row],[Duración]],1,2)*60,MID(Tabla142[[#This Row],[Duración]],6,2))</f>
        <v>30</v>
      </c>
      <c r="L709" s="4" t="s">
        <v>48</v>
      </c>
      <c r="M709" t="s">
        <v>239</v>
      </c>
      <c r="N709" t="s">
        <v>241</v>
      </c>
      <c r="O709" t="s">
        <v>380</v>
      </c>
      <c r="P709" t="s">
        <v>360</v>
      </c>
      <c r="Q709" s="20">
        <v>46032.649155092593</v>
      </c>
      <c r="R709" t="s">
        <v>5</v>
      </c>
      <c r="T709" t="s">
        <v>556</v>
      </c>
    </row>
    <row r="710" spans="1:20" ht="15" customHeight="1" x14ac:dyDescent="0.25">
      <c r="A710">
        <f t="shared" si="11"/>
        <v>145</v>
      </c>
      <c r="B710" t="s">
        <v>1342</v>
      </c>
      <c r="C710" t="s">
        <v>47</v>
      </c>
      <c r="D710">
        <v>64</v>
      </c>
      <c r="E7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10">
        <f ca="1">IF(Tabla142[[#This Row],[frecuencia_new]]="Diaria"," ",RANDBETWEEN(1,6))</f>
        <v>1</v>
      </c>
      <c r="G710">
        <f ca="1">IF(Tabla142[[#This Row],[frecuencia_new]]="Diaria","",IF(Tabla142[[#This Row],[frecuencia_new]]="Semanal","",IF(Tabla142[[#This Row],[frecuencia_new]]="Quincenal",RANDBETWEEN(1,2),RANDBETWEEN(1,4))))</f>
        <v>3</v>
      </c>
      <c r="H71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10" t="s">
        <v>98</v>
      </c>
      <c r="K710">
        <f>SUM(MID(Tabla142[[#This Row],[Duración]],1,2)*60,MID(Tabla142[[#This Row],[Duración]],6,2))</f>
        <v>30</v>
      </c>
      <c r="L710" s="4" t="s">
        <v>48</v>
      </c>
      <c r="M710" t="s">
        <v>239</v>
      </c>
      <c r="N710" t="s">
        <v>241</v>
      </c>
      <c r="O710" t="s">
        <v>380</v>
      </c>
      <c r="P710" t="s">
        <v>360</v>
      </c>
      <c r="Q710" s="20">
        <v>46032.649155092593</v>
      </c>
      <c r="R710" t="s">
        <v>7</v>
      </c>
      <c r="T710" t="s">
        <v>556</v>
      </c>
    </row>
    <row r="711" spans="1:20" ht="15" customHeight="1" x14ac:dyDescent="0.25">
      <c r="A711">
        <f t="shared" si="11"/>
        <v>145</v>
      </c>
      <c r="B711" t="s">
        <v>1343</v>
      </c>
      <c r="C711" t="s">
        <v>47</v>
      </c>
      <c r="D711">
        <v>64</v>
      </c>
      <c r="E7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11">
        <f ca="1">IF(Tabla142[[#This Row],[frecuencia_new]]="Diaria"," ",RANDBETWEEN(1,6))</f>
        <v>6</v>
      </c>
      <c r="G711">
        <f ca="1">IF(Tabla142[[#This Row],[frecuencia_new]]="Diaria","",IF(Tabla142[[#This Row],[frecuencia_new]]="Semanal","",IF(Tabla142[[#This Row],[frecuencia_new]]="Quincenal",RANDBETWEEN(1,2),RANDBETWEEN(1,4))))</f>
        <v>4</v>
      </c>
      <c r="H711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711" t="s">
        <v>52</v>
      </c>
      <c r="K711">
        <f>SUM(MID(Tabla142[[#This Row],[Duración]],1,2)*60,MID(Tabla142[[#This Row],[Duración]],6,2))</f>
        <v>30</v>
      </c>
      <c r="L711" s="4" t="s">
        <v>48</v>
      </c>
      <c r="M711" t="s">
        <v>239</v>
      </c>
      <c r="N711" t="s">
        <v>241</v>
      </c>
      <c r="O711" t="s">
        <v>380</v>
      </c>
      <c r="P711" t="s">
        <v>360</v>
      </c>
      <c r="Q711" s="20">
        <v>46032.649155092593</v>
      </c>
      <c r="R711" t="s">
        <v>5</v>
      </c>
      <c r="T711" t="s">
        <v>556</v>
      </c>
    </row>
    <row r="712" spans="1:20" ht="15" customHeight="1" x14ac:dyDescent="0.25">
      <c r="A712">
        <f t="shared" si="11"/>
        <v>145</v>
      </c>
      <c r="B712" t="s">
        <v>1344</v>
      </c>
      <c r="C712" t="s">
        <v>54</v>
      </c>
      <c r="D712">
        <v>64</v>
      </c>
      <c r="E7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12">
        <f ca="1">IF(Tabla142[[#This Row],[frecuencia_new]]="Diaria"," ",RANDBETWEEN(1,6))</f>
        <v>1</v>
      </c>
      <c r="G712">
        <f ca="1">IF(Tabla142[[#This Row],[frecuencia_new]]="Diaria","",IF(Tabla142[[#This Row],[frecuencia_new]]="Semanal","",IF(Tabla142[[#This Row],[frecuencia_new]]="Quincenal",RANDBETWEEN(1,2),RANDBETWEEN(1,4))))</f>
        <v>3</v>
      </c>
      <c r="H71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712" t="s">
        <v>53</v>
      </c>
      <c r="K712">
        <f>SUM(MID(Tabla142[[#This Row],[Duración]],1,2)*60,MID(Tabla142[[#This Row],[Duración]],6,2))</f>
        <v>30</v>
      </c>
      <c r="L712" s="4" t="s">
        <v>48</v>
      </c>
      <c r="M712" t="s">
        <v>239</v>
      </c>
      <c r="N712" t="s">
        <v>241</v>
      </c>
      <c r="O712" t="s">
        <v>380</v>
      </c>
      <c r="P712" t="s">
        <v>360</v>
      </c>
      <c r="Q712" s="20">
        <v>46032.649155092593</v>
      </c>
      <c r="R712" t="s">
        <v>5</v>
      </c>
      <c r="T712" t="s">
        <v>556</v>
      </c>
    </row>
    <row r="713" spans="1:20" ht="15" customHeight="1" x14ac:dyDescent="0.25">
      <c r="A713">
        <f t="shared" si="11"/>
        <v>145</v>
      </c>
      <c r="B713" t="s">
        <v>1345</v>
      </c>
      <c r="C713" t="s">
        <v>47</v>
      </c>
      <c r="D713">
        <v>64</v>
      </c>
      <c r="E7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13">
        <f ca="1">IF(Tabla142[[#This Row],[frecuencia_new]]="Diaria"," ",RANDBETWEEN(1,6))</f>
        <v>6</v>
      </c>
      <c r="G713">
        <f ca="1">IF(Tabla142[[#This Row],[frecuencia_new]]="Diaria","",IF(Tabla142[[#This Row],[frecuencia_new]]="Semanal","",IF(Tabla142[[#This Row],[frecuencia_new]]="Quincenal",RANDBETWEEN(1,2),RANDBETWEEN(1,4))))</f>
        <v>4</v>
      </c>
      <c r="H713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13" t="s">
        <v>56</v>
      </c>
      <c r="K713">
        <f>SUM(MID(Tabla142[[#This Row],[Duración]],1,2)*60,MID(Tabla142[[#This Row],[Duración]],6,2))</f>
        <v>30</v>
      </c>
      <c r="L713" s="4" t="s">
        <v>48</v>
      </c>
      <c r="M713" t="s">
        <v>239</v>
      </c>
      <c r="N713" t="s">
        <v>241</v>
      </c>
      <c r="O713" t="s">
        <v>380</v>
      </c>
      <c r="P713" t="s">
        <v>360</v>
      </c>
      <c r="Q713" s="20">
        <v>46032.649155092593</v>
      </c>
      <c r="R713" t="s">
        <v>5</v>
      </c>
      <c r="T713" t="s">
        <v>556</v>
      </c>
    </row>
    <row r="714" spans="1:20" ht="15" customHeight="1" x14ac:dyDescent="0.25">
      <c r="A714">
        <f t="shared" si="11"/>
        <v>89</v>
      </c>
      <c r="B714" t="s">
        <v>1346</v>
      </c>
      <c r="C714" t="s">
        <v>47</v>
      </c>
      <c r="D714">
        <v>104</v>
      </c>
      <c r="E7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14">
        <f ca="1">IF(Tabla142[[#This Row],[frecuencia_new]]="Diaria"," ",RANDBETWEEN(1,6))</f>
        <v>4</v>
      </c>
      <c r="G714">
        <f ca="1">IF(Tabla142[[#This Row],[frecuencia_new]]="Diaria","",IF(Tabla142[[#This Row],[frecuencia_new]]="Semanal","",IF(Tabla142[[#This Row],[frecuencia_new]]="Quincenal",RANDBETWEEN(1,2),RANDBETWEEN(1,4))))</f>
        <v>3</v>
      </c>
      <c r="H714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14" t="s">
        <v>115</v>
      </c>
      <c r="K714">
        <f>SUM(MID(Tabla142[[#This Row],[Duración]],1,2)*60,MID(Tabla142[[#This Row],[Duración]],6,2))</f>
        <v>60</v>
      </c>
      <c r="L714" s="4" t="s">
        <v>58</v>
      </c>
      <c r="M714" t="s">
        <v>239</v>
      </c>
      <c r="N714" t="s">
        <v>241</v>
      </c>
      <c r="O714" t="s">
        <v>382</v>
      </c>
      <c r="P714" t="s">
        <v>363</v>
      </c>
      <c r="Q714" s="20">
        <v>46032.649155092593</v>
      </c>
      <c r="R714" t="s">
        <v>5</v>
      </c>
      <c r="T714" t="s">
        <v>500</v>
      </c>
    </row>
    <row r="715" spans="1:20" ht="15" customHeight="1" x14ac:dyDescent="0.25">
      <c r="A715">
        <f t="shared" si="11"/>
        <v>89</v>
      </c>
      <c r="B715" t="s">
        <v>1347</v>
      </c>
      <c r="C715" t="s">
        <v>47</v>
      </c>
      <c r="D715">
        <v>104</v>
      </c>
      <c r="E7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15">
        <f ca="1">IF(Tabla142[[#This Row],[frecuencia_new]]="Diaria"," ",RANDBETWEEN(1,6))</f>
        <v>2</v>
      </c>
      <c r="G715">
        <f ca="1">IF(Tabla142[[#This Row],[frecuencia_new]]="Diaria","",IF(Tabla142[[#This Row],[frecuencia_new]]="Semanal","",IF(Tabla142[[#This Row],[frecuencia_new]]="Quincenal",RANDBETWEEN(1,2),RANDBETWEEN(1,4))))</f>
        <v>3</v>
      </c>
      <c r="H715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715" t="s">
        <v>117</v>
      </c>
      <c r="K715">
        <f>SUM(MID(Tabla142[[#This Row],[Duración]],1,2)*60,MID(Tabla142[[#This Row],[Duración]],6,2))</f>
        <v>90</v>
      </c>
      <c r="L715" s="4" t="s">
        <v>96</v>
      </c>
      <c r="M715" t="s">
        <v>239</v>
      </c>
      <c r="N715" t="s">
        <v>241</v>
      </c>
      <c r="O715" t="s">
        <v>382</v>
      </c>
      <c r="P715" t="s">
        <v>363</v>
      </c>
      <c r="Q715" s="20">
        <v>46032.649155092593</v>
      </c>
      <c r="R715" t="s">
        <v>5</v>
      </c>
      <c r="T715" t="s">
        <v>500</v>
      </c>
    </row>
    <row r="716" spans="1:20" ht="15" customHeight="1" x14ac:dyDescent="0.25">
      <c r="A716">
        <f t="shared" si="11"/>
        <v>89</v>
      </c>
      <c r="B716" t="s">
        <v>1348</v>
      </c>
      <c r="C716" t="s">
        <v>47</v>
      </c>
      <c r="D716">
        <v>104</v>
      </c>
      <c r="E7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16">
        <f ca="1">IF(Tabla142[[#This Row],[frecuencia_new]]="Diaria"," ",RANDBETWEEN(1,6))</f>
        <v>4</v>
      </c>
      <c r="G716">
        <f ca="1">IF(Tabla142[[#This Row],[frecuencia_new]]="Diaria","",IF(Tabla142[[#This Row],[frecuencia_new]]="Semanal","",IF(Tabla142[[#This Row],[frecuencia_new]]="Quincenal",RANDBETWEEN(1,2),RANDBETWEEN(1,4))))</f>
        <v>3</v>
      </c>
      <c r="H7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16" t="s">
        <v>118</v>
      </c>
      <c r="K716">
        <f>SUM(MID(Tabla142[[#This Row],[Duración]],1,2)*60,MID(Tabla142[[#This Row],[Duración]],6,2))</f>
        <v>10</v>
      </c>
      <c r="L716" s="4" t="s">
        <v>71</v>
      </c>
      <c r="M716" t="s">
        <v>239</v>
      </c>
      <c r="N716" t="s">
        <v>241</v>
      </c>
      <c r="O716" t="s">
        <v>382</v>
      </c>
      <c r="P716" t="s">
        <v>363</v>
      </c>
      <c r="Q716" s="20">
        <v>46032.649155092593</v>
      </c>
      <c r="R716" t="s">
        <v>7</v>
      </c>
      <c r="T716" t="s">
        <v>500</v>
      </c>
    </row>
    <row r="717" spans="1:20" ht="15" customHeight="1" x14ac:dyDescent="0.25">
      <c r="A717">
        <f t="shared" si="11"/>
        <v>89</v>
      </c>
      <c r="B717" t="s">
        <v>1349</v>
      </c>
      <c r="C717" t="s">
        <v>47</v>
      </c>
      <c r="D717">
        <v>104</v>
      </c>
      <c r="E7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17">
        <f ca="1">IF(Tabla142[[#This Row],[frecuencia_new]]="Diaria"," ",RANDBETWEEN(1,6))</f>
        <v>2</v>
      </c>
      <c r="G717">
        <f ca="1">IF(Tabla142[[#This Row],[frecuencia_new]]="Diaria","",IF(Tabla142[[#This Row],[frecuencia_new]]="Semanal","",IF(Tabla142[[#This Row],[frecuencia_new]]="Quincenal",RANDBETWEEN(1,2),RANDBETWEEN(1,4))))</f>
        <v>3</v>
      </c>
      <c r="H7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17" t="s">
        <v>119</v>
      </c>
      <c r="K717">
        <f>SUM(MID(Tabla142[[#This Row],[Duración]],1,2)*60,MID(Tabla142[[#This Row],[Duración]],6,2))</f>
        <v>10</v>
      </c>
      <c r="L717" s="4" t="s">
        <v>71</v>
      </c>
      <c r="M717" t="s">
        <v>239</v>
      </c>
      <c r="N717" t="s">
        <v>241</v>
      </c>
      <c r="O717" t="s">
        <v>382</v>
      </c>
      <c r="P717" t="s">
        <v>363</v>
      </c>
      <c r="Q717" s="20">
        <v>46032.649155092593</v>
      </c>
      <c r="R717" t="s">
        <v>7</v>
      </c>
      <c r="T717" t="s">
        <v>500</v>
      </c>
    </row>
    <row r="718" spans="1:20" ht="15" customHeight="1" x14ac:dyDescent="0.25">
      <c r="A718">
        <f t="shared" si="11"/>
        <v>89</v>
      </c>
      <c r="B718" t="s">
        <v>1350</v>
      </c>
      <c r="C718" t="s">
        <v>47</v>
      </c>
      <c r="D718">
        <v>104</v>
      </c>
      <c r="E7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18">
        <f ca="1">IF(Tabla142[[#This Row],[frecuencia_new]]="Diaria"," ",RANDBETWEEN(1,6))</f>
        <v>3</v>
      </c>
      <c r="G718">
        <f ca="1">IF(Tabla142[[#This Row],[frecuencia_new]]="Diaria","",IF(Tabla142[[#This Row],[frecuencia_new]]="Semanal","",IF(Tabla142[[#This Row],[frecuencia_new]]="Quincenal",RANDBETWEEN(1,2),RANDBETWEEN(1,4))))</f>
        <v>2</v>
      </c>
      <c r="H7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18" t="s">
        <v>120</v>
      </c>
      <c r="K718">
        <f>SUM(MID(Tabla142[[#This Row],[Duración]],1,2)*60,MID(Tabla142[[#This Row],[Duración]],6,2))</f>
        <v>90</v>
      </c>
      <c r="L718" s="4" t="s">
        <v>96</v>
      </c>
      <c r="M718" t="s">
        <v>239</v>
      </c>
      <c r="N718" t="s">
        <v>241</v>
      </c>
      <c r="O718" t="s">
        <v>382</v>
      </c>
      <c r="P718" t="s">
        <v>363</v>
      </c>
      <c r="Q718" s="20">
        <v>46032.649155092593</v>
      </c>
      <c r="R718" t="s">
        <v>7</v>
      </c>
      <c r="T718" t="s">
        <v>500</v>
      </c>
    </row>
    <row r="719" spans="1:20" ht="15" customHeight="1" x14ac:dyDescent="0.25">
      <c r="A719">
        <f t="shared" si="11"/>
        <v>89</v>
      </c>
      <c r="B719" t="s">
        <v>1351</v>
      </c>
      <c r="C719" t="s">
        <v>47</v>
      </c>
      <c r="D719">
        <v>104</v>
      </c>
      <c r="E7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19">
        <f ca="1">IF(Tabla142[[#This Row],[frecuencia_new]]="Diaria"," ",RANDBETWEEN(1,6))</f>
        <v>3</v>
      </c>
      <c r="G719" t="str">
        <f ca="1">IF(Tabla142[[#This Row],[frecuencia_new]]="Diaria","",IF(Tabla142[[#This Row],[frecuencia_new]]="Semanal","",IF(Tabla142[[#This Row],[frecuencia_new]]="Quincenal",RANDBETWEEN(1,2),RANDBETWEEN(1,4))))</f>
        <v/>
      </c>
      <c r="H7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19" t="s">
        <v>121</v>
      </c>
      <c r="K719">
        <f>SUM(MID(Tabla142[[#This Row],[Duración]],1,2)*60,MID(Tabla142[[#This Row],[Duración]],6,2))</f>
        <v>5</v>
      </c>
      <c r="L719" s="4" t="s">
        <v>50</v>
      </c>
      <c r="M719" t="s">
        <v>239</v>
      </c>
      <c r="N719" t="s">
        <v>241</v>
      </c>
      <c r="O719" t="s">
        <v>382</v>
      </c>
      <c r="P719" t="s">
        <v>363</v>
      </c>
      <c r="Q719" s="20">
        <v>46032.649155092593</v>
      </c>
      <c r="R719" t="s">
        <v>8</v>
      </c>
      <c r="T719" t="s">
        <v>500</v>
      </c>
    </row>
    <row r="720" spans="1:20" ht="15" customHeight="1" x14ac:dyDescent="0.25">
      <c r="A720">
        <f t="shared" si="11"/>
        <v>89</v>
      </c>
      <c r="B720" t="s">
        <v>1352</v>
      </c>
      <c r="C720" t="s">
        <v>47</v>
      </c>
      <c r="D720">
        <v>104</v>
      </c>
      <c r="E7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20">
        <f ca="1">IF(Tabla142[[#This Row],[frecuencia_new]]="Diaria"," ",RANDBETWEEN(1,6))</f>
        <v>2</v>
      </c>
      <c r="G720">
        <f ca="1">IF(Tabla142[[#This Row],[frecuencia_new]]="Diaria","",IF(Tabla142[[#This Row],[frecuencia_new]]="Semanal","",IF(Tabla142[[#This Row],[frecuencia_new]]="Quincenal",RANDBETWEEN(1,2),RANDBETWEEN(1,4))))</f>
        <v>1</v>
      </c>
      <c r="H720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720" t="s">
        <v>122</v>
      </c>
      <c r="K720">
        <f>SUM(MID(Tabla142[[#This Row],[Duración]],1,2)*60,MID(Tabla142[[#This Row],[Duración]],6,2))</f>
        <v>30</v>
      </c>
      <c r="L720" s="4" t="s">
        <v>48</v>
      </c>
      <c r="M720" t="s">
        <v>239</v>
      </c>
      <c r="N720" t="s">
        <v>241</v>
      </c>
      <c r="O720" t="s">
        <v>382</v>
      </c>
      <c r="P720" t="s">
        <v>363</v>
      </c>
      <c r="Q720" s="20">
        <v>46032.649155092593</v>
      </c>
      <c r="R720" t="s">
        <v>18</v>
      </c>
      <c r="T720" t="s">
        <v>500</v>
      </c>
    </row>
    <row r="721" spans="1:20" ht="15" customHeight="1" x14ac:dyDescent="0.25">
      <c r="A721">
        <f t="shared" si="11"/>
        <v>89</v>
      </c>
      <c r="B721" t="s">
        <v>1353</v>
      </c>
      <c r="C721" t="s">
        <v>47</v>
      </c>
      <c r="D721">
        <v>104</v>
      </c>
      <c r="E7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21">
        <f ca="1">IF(Tabla142[[#This Row],[frecuencia_new]]="Diaria"," ",RANDBETWEEN(1,6))</f>
        <v>2</v>
      </c>
      <c r="G721" t="str">
        <f ca="1">IF(Tabla142[[#This Row],[frecuencia_new]]="Diaria","",IF(Tabla142[[#This Row],[frecuencia_new]]="Semanal","",IF(Tabla142[[#This Row],[frecuencia_new]]="Quincenal",RANDBETWEEN(1,2),RANDBETWEEN(1,4))))</f>
        <v/>
      </c>
      <c r="H7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1" t="s">
        <v>123</v>
      </c>
      <c r="K721">
        <f>SUM(MID(Tabla142[[#This Row],[Duración]],1,2)*60,MID(Tabla142[[#This Row],[Duración]],6,2))</f>
        <v>5</v>
      </c>
      <c r="L721" s="4" t="s">
        <v>50</v>
      </c>
      <c r="M721" t="s">
        <v>239</v>
      </c>
      <c r="N721" t="s">
        <v>241</v>
      </c>
      <c r="O721" t="s">
        <v>382</v>
      </c>
      <c r="P721" t="s">
        <v>363</v>
      </c>
      <c r="Q721" s="20">
        <v>46032.649155092593</v>
      </c>
      <c r="R721" t="s">
        <v>8</v>
      </c>
      <c r="T721" t="s">
        <v>500</v>
      </c>
    </row>
    <row r="722" spans="1:20" ht="15" customHeight="1" x14ac:dyDescent="0.25">
      <c r="A722">
        <f t="shared" si="11"/>
        <v>89</v>
      </c>
      <c r="B722" t="s">
        <v>1354</v>
      </c>
      <c r="C722" t="s">
        <v>47</v>
      </c>
      <c r="D722">
        <v>104</v>
      </c>
      <c r="E7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22">
        <f ca="1">IF(Tabla142[[#This Row],[frecuencia_new]]="Diaria"," ",RANDBETWEEN(1,6))</f>
        <v>3</v>
      </c>
      <c r="G722" t="str">
        <f ca="1">IF(Tabla142[[#This Row],[frecuencia_new]]="Diaria","",IF(Tabla142[[#This Row],[frecuencia_new]]="Semanal","",IF(Tabla142[[#This Row],[frecuencia_new]]="Quincenal",RANDBETWEEN(1,2),RANDBETWEEN(1,4))))</f>
        <v/>
      </c>
      <c r="H7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2" t="s">
        <v>124</v>
      </c>
      <c r="K722">
        <f>SUM(MID(Tabla142[[#This Row],[Duración]],1,2)*60,MID(Tabla142[[#This Row],[Duración]],6,2))</f>
        <v>5</v>
      </c>
      <c r="L722" s="4" t="s">
        <v>50</v>
      </c>
      <c r="M722" t="s">
        <v>239</v>
      </c>
      <c r="N722" t="s">
        <v>241</v>
      </c>
      <c r="O722" t="s">
        <v>382</v>
      </c>
      <c r="P722" t="s">
        <v>363</v>
      </c>
      <c r="Q722" s="20">
        <v>46032.649155092593</v>
      </c>
      <c r="R722" t="s">
        <v>8</v>
      </c>
      <c r="T722" t="s">
        <v>500</v>
      </c>
    </row>
    <row r="723" spans="1:20" ht="15" customHeight="1" x14ac:dyDescent="0.25">
      <c r="A723">
        <f t="shared" si="11"/>
        <v>89</v>
      </c>
      <c r="B723" t="s">
        <v>1355</v>
      </c>
      <c r="C723" t="s">
        <v>47</v>
      </c>
      <c r="D723">
        <v>104</v>
      </c>
      <c r="E7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23">
        <f ca="1">IF(Tabla142[[#This Row],[frecuencia_new]]="Diaria"," ",RANDBETWEEN(1,6))</f>
        <v>2</v>
      </c>
      <c r="G723" t="str">
        <f ca="1">IF(Tabla142[[#This Row],[frecuencia_new]]="Diaria","",IF(Tabla142[[#This Row],[frecuencia_new]]="Semanal","",IF(Tabla142[[#This Row],[frecuencia_new]]="Quincenal",RANDBETWEEN(1,2),RANDBETWEEN(1,4))))</f>
        <v/>
      </c>
      <c r="H7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3" t="s">
        <v>125</v>
      </c>
      <c r="K723">
        <f>SUM(MID(Tabla142[[#This Row],[Duración]],1,2)*60,MID(Tabla142[[#This Row],[Duración]],6,2))</f>
        <v>5</v>
      </c>
      <c r="L723" s="4" t="s">
        <v>50</v>
      </c>
      <c r="M723" t="s">
        <v>239</v>
      </c>
      <c r="N723" t="s">
        <v>241</v>
      </c>
      <c r="O723" t="s">
        <v>382</v>
      </c>
      <c r="P723" t="s">
        <v>363</v>
      </c>
      <c r="Q723" s="20">
        <v>46032.649155092593</v>
      </c>
      <c r="R723" t="s">
        <v>8</v>
      </c>
      <c r="T723" t="s">
        <v>500</v>
      </c>
    </row>
    <row r="724" spans="1:20" ht="15" customHeight="1" x14ac:dyDescent="0.25">
      <c r="A724">
        <f t="shared" si="11"/>
        <v>89</v>
      </c>
      <c r="B724" t="s">
        <v>1356</v>
      </c>
      <c r="C724" t="s">
        <v>47</v>
      </c>
      <c r="D724">
        <v>104</v>
      </c>
      <c r="E7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24">
        <f ca="1">IF(Tabla142[[#This Row],[frecuencia_new]]="Diaria"," ",RANDBETWEEN(1,6))</f>
        <v>5</v>
      </c>
      <c r="G724" t="str">
        <f ca="1">IF(Tabla142[[#This Row],[frecuencia_new]]="Diaria","",IF(Tabla142[[#This Row],[frecuencia_new]]="Semanal","",IF(Tabla142[[#This Row],[frecuencia_new]]="Quincenal",RANDBETWEEN(1,2),RANDBETWEEN(1,4))))</f>
        <v/>
      </c>
      <c r="H7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4" t="s">
        <v>126</v>
      </c>
      <c r="K724">
        <f>SUM(MID(Tabla142[[#This Row],[Duración]],1,2)*60,MID(Tabla142[[#This Row],[Duración]],6,2))</f>
        <v>5</v>
      </c>
      <c r="L724" s="4" t="s">
        <v>50</v>
      </c>
      <c r="M724" t="s">
        <v>239</v>
      </c>
      <c r="N724" t="s">
        <v>241</v>
      </c>
      <c r="O724" t="s">
        <v>382</v>
      </c>
      <c r="P724" t="s">
        <v>363</v>
      </c>
      <c r="Q724" s="20">
        <v>46032.649155092593</v>
      </c>
      <c r="R724" t="s">
        <v>8</v>
      </c>
      <c r="T724" t="s">
        <v>500</v>
      </c>
    </row>
    <row r="725" spans="1:20" ht="15" customHeight="1" x14ac:dyDescent="0.25">
      <c r="A725">
        <f t="shared" si="11"/>
        <v>89</v>
      </c>
      <c r="B725" t="s">
        <v>1357</v>
      </c>
      <c r="C725" t="s">
        <v>47</v>
      </c>
      <c r="D725">
        <v>104</v>
      </c>
      <c r="E7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25">
        <f ca="1">IF(Tabla142[[#This Row],[frecuencia_new]]="Diaria"," ",RANDBETWEEN(1,6))</f>
        <v>1</v>
      </c>
      <c r="G725" t="str">
        <f ca="1">IF(Tabla142[[#This Row],[frecuencia_new]]="Diaria","",IF(Tabla142[[#This Row],[frecuencia_new]]="Semanal","",IF(Tabla142[[#This Row],[frecuencia_new]]="Quincenal",RANDBETWEEN(1,2),RANDBETWEEN(1,4))))</f>
        <v/>
      </c>
      <c r="H7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5" t="s">
        <v>127</v>
      </c>
      <c r="K725">
        <f>SUM(MID(Tabla142[[#This Row],[Duración]],1,2)*60,MID(Tabla142[[#This Row],[Duración]],6,2))</f>
        <v>5</v>
      </c>
      <c r="L725" s="4" t="s">
        <v>50</v>
      </c>
      <c r="M725" t="s">
        <v>239</v>
      </c>
      <c r="N725" t="s">
        <v>241</v>
      </c>
      <c r="O725" t="s">
        <v>382</v>
      </c>
      <c r="P725" t="s">
        <v>363</v>
      </c>
      <c r="Q725" s="20">
        <v>46032.649155092593</v>
      </c>
      <c r="R725" t="s">
        <v>8</v>
      </c>
      <c r="T725" t="s">
        <v>500</v>
      </c>
    </row>
    <row r="726" spans="1:20" ht="15" customHeight="1" x14ac:dyDescent="0.25">
      <c r="A726">
        <f t="shared" si="11"/>
        <v>89</v>
      </c>
      <c r="B726" t="s">
        <v>1358</v>
      </c>
      <c r="C726" t="s">
        <v>47</v>
      </c>
      <c r="D726">
        <v>104</v>
      </c>
      <c r="E7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26">
        <f ca="1">IF(Tabla142[[#This Row],[frecuencia_new]]="Diaria"," ",RANDBETWEEN(1,6))</f>
        <v>1</v>
      </c>
      <c r="G726" t="str">
        <f ca="1">IF(Tabla142[[#This Row],[frecuencia_new]]="Diaria","",IF(Tabla142[[#This Row],[frecuencia_new]]="Semanal","",IF(Tabla142[[#This Row],[frecuencia_new]]="Quincenal",RANDBETWEEN(1,2),RANDBETWEEN(1,4))))</f>
        <v/>
      </c>
      <c r="H7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6" t="s">
        <v>128</v>
      </c>
      <c r="K726">
        <f>SUM(MID(Tabla142[[#This Row],[Duración]],1,2)*60,MID(Tabla142[[#This Row],[Duración]],6,2))</f>
        <v>5</v>
      </c>
      <c r="L726" s="4" t="s">
        <v>50</v>
      </c>
      <c r="M726" t="s">
        <v>239</v>
      </c>
      <c r="N726" t="s">
        <v>241</v>
      </c>
      <c r="O726" t="s">
        <v>382</v>
      </c>
      <c r="P726" t="s">
        <v>363</v>
      </c>
      <c r="Q726" s="20">
        <v>46032.649155092593</v>
      </c>
      <c r="R726" t="s">
        <v>8</v>
      </c>
      <c r="T726" t="s">
        <v>500</v>
      </c>
    </row>
    <row r="727" spans="1:20" ht="15" customHeight="1" x14ac:dyDescent="0.25">
      <c r="A727">
        <f t="shared" si="11"/>
        <v>89</v>
      </c>
      <c r="B727" t="s">
        <v>1359</v>
      </c>
      <c r="C727" t="s">
        <v>47</v>
      </c>
      <c r="D727">
        <v>104</v>
      </c>
      <c r="E7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27">
        <f ca="1">IF(Tabla142[[#This Row],[frecuencia_new]]="Diaria"," ",RANDBETWEEN(1,6))</f>
        <v>3</v>
      </c>
      <c r="G727">
        <f ca="1">IF(Tabla142[[#This Row],[frecuencia_new]]="Diaria","",IF(Tabla142[[#This Row],[frecuencia_new]]="Semanal","",IF(Tabla142[[#This Row],[frecuencia_new]]="Quincenal",RANDBETWEEN(1,2),RANDBETWEEN(1,4))))</f>
        <v>1</v>
      </c>
      <c r="H7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7" t="s">
        <v>129</v>
      </c>
      <c r="K727">
        <f>SUM(MID(Tabla142[[#This Row],[Duración]],1,2)*60,MID(Tabla142[[#This Row],[Duración]],6,2))</f>
        <v>10</v>
      </c>
      <c r="L727" s="4" t="s">
        <v>71</v>
      </c>
      <c r="M727" t="s">
        <v>239</v>
      </c>
      <c r="N727" t="s">
        <v>241</v>
      </c>
      <c r="O727" t="s">
        <v>382</v>
      </c>
      <c r="P727" t="s">
        <v>363</v>
      </c>
      <c r="Q727" s="20">
        <v>46032.649155092593</v>
      </c>
      <c r="R727" t="s">
        <v>7</v>
      </c>
      <c r="T727" t="s">
        <v>500</v>
      </c>
    </row>
    <row r="728" spans="1:20" ht="15" customHeight="1" x14ac:dyDescent="0.25">
      <c r="A728">
        <f t="shared" si="11"/>
        <v>89</v>
      </c>
      <c r="B728" t="s">
        <v>1360</v>
      </c>
      <c r="C728" t="s">
        <v>47</v>
      </c>
      <c r="D728">
        <v>104</v>
      </c>
      <c r="E7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28">
        <f ca="1">IF(Tabla142[[#This Row],[frecuencia_new]]="Diaria"," ",RANDBETWEEN(1,6))</f>
        <v>1</v>
      </c>
      <c r="G728">
        <f ca="1">IF(Tabla142[[#This Row],[frecuencia_new]]="Diaria","",IF(Tabla142[[#This Row],[frecuencia_new]]="Semanal","",IF(Tabla142[[#This Row],[frecuencia_new]]="Quincenal",RANDBETWEEN(1,2),RANDBETWEEN(1,4))))</f>
        <v>4</v>
      </c>
      <c r="H72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8" t="s">
        <v>130</v>
      </c>
      <c r="K728">
        <f>SUM(MID(Tabla142[[#This Row],[Duración]],1,2)*60,MID(Tabla142[[#This Row],[Duración]],6,2))</f>
        <v>10</v>
      </c>
      <c r="L728" s="4" t="s">
        <v>71</v>
      </c>
      <c r="M728" t="s">
        <v>239</v>
      </c>
      <c r="N728" t="s">
        <v>241</v>
      </c>
      <c r="O728" t="s">
        <v>382</v>
      </c>
      <c r="P728" t="s">
        <v>363</v>
      </c>
      <c r="Q728" s="20">
        <v>46032.649155092593</v>
      </c>
      <c r="R728" t="s">
        <v>7</v>
      </c>
      <c r="T728" t="s">
        <v>500</v>
      </c>
    </row>
    <row r="729" spans="1:20" ht="15" customHeight="1" x14ac:dyDescent="0.25">
      <c r="A729">
        <f t="shared" si="11"/>
        <v>89</v>
      </c>
      <c r="B729" t="s">
        <v>1361</v>
      </c>
      <c r="C729" t="s">
        <v>47</v>
      </c>
      <c r="D729">
        <v>104</v>
      </c>
      <c r="E7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29">
        <f ca="1">IF(Tabla142[[#This Row],[frecuencia_new]]="Diaria"," ",RANDBETWEEN(1,6))</f>
        <v>4</v>
      </c>
      <c r="G729">
        <f ca="1">IF(Tabla142[[#This Row],[frecuencia_new]]="Diaria","",IF(Tabla142[[#This Row],[frecuencia_new]]="Semanal","",IF(Tabla142[[#This Row],[frecuencia_new]]="Quincenal",RANDBETWEEN(1,2),RANDBETWEEN(1,4))))</f>
        <v>2</v>
      </c>
      <c r="H7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29" t="s">
        <v>131</v>
      </c>
      <c r="K729">
        <f>SUM(MID(Tabla142[[#This Row],[Duración]],1,2)*60,MID(Tabla142[[#This Row],[Duración]],6,2))</f>
        <v>10</v>
      </c>
      <c r="L729" s="4" t="s">
        <v>71</v>
      </c>
      <c r="M729" t="s">
        <v>239</v>
      </c>
      <c r="N729" t="s">
        <v>241</v>
      </c>
      <c r="O729" t="s">
        <v>382</v>
      </c>
      <c r="P729" t="s">
        <v>363</v>
      </c>
      <c r="Q729" s="20">
        <v>46032.649155092593</v>
      </c>
      <c r="R729" t="s">
        <v>7</v>
      </c>
      <c r="T729" t="s">
        <v>500</v>
      </c>
    </row>
    <row r="730" spans="1:20" ht="15" customHeight="1" x14ac:dyDescent="0.25">
      <c r="A730">
        <f t="shared" si="11"/>
        <v>89</v>
      </c>
      <c r="B730" t="s">
        <v>1362</v>
      </c>
      <c r="C730" t="s">
        <v>47</v>
      </c>
      <c r="D730">
        <v>104</v>
      </c>
      <c r="E7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30">
        <f ca="1">IF(Tabla142[[#This Row],[frecuencia_new]]="Diaria"," ",RANDBETWEEN(1,6))</f>
        <v>6</v>
      </c>
      <c r="G730">
        <f ca="1">IF(Tabla142[[#This Row],[frecuencia_new]]="Diaria","",IF(Tabla142[[#This Row],[frecuencia_new]]="Semanal","",IF(Tabla142[[#This Row],[frecuencia_new]]="Quincenal",RANDBETWEEN(1,2),RANDBETWEEN(1,4))))</f>
        <v>3</v>
      </c>
      <c r="H730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30" t="s">
        <v>132</v>
      </c>
      <c r="K730">
        <f>SUM(MID(Tabla142[[#This Row],[Duración]],1,2)*60,MID(Tabla142[[#This Row],[Duración]],6,2))</f>
        <v>30</v>
      </c>
      <c r="L730" s="4" t="s">
        <v>48</v>
      </c>
      <c r="M730" t="s">
        <v>239</v>
      </c>
      <c r="N730" t="s">
        <v>241</v>
      </c>
      <c r="O730" t="s">
        <v>382</v>
      </c>
      <c r="P730" t="s">
        <v>363</v>
      </c>
      <c r="Q730" s="20">
        <v>46032.649155092593</v>
      </c>
      <c r="R730" t="s">
        <v>18</v>
      </c>
      <c r="T730" t="s">
        <v>500</v>
      </c>
    </row>
    <row r="731" spans="1:20" ht="15" customHeight="1" x14ac:dyDescent="0.25">
      <c r="A731">
        <f t="shared" si="11"/>
        <v>89</v>
      </c>
      <c r="B731" t="s">
        <v>1363</v>
      </c>
      <c r="C731" t="s">
        <v>47</v>
      </c>
      <c r="D731">
        <v>104</v>
      </c>
      <c r="E7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31">
        <f ca="1">IF(Tabla142[[#This Row],[frecuencia_new]]="Diaria"," ",RANDBETWEEN(1,6))</f>
        <v>6</v>
      </c>
      <c r="G731">
        <f ca="1">IF(Tabla142[[#This Row],[frecuencia_new]]="Diaria","",IF(Tabla142[[#This Row],[frecuencia_new]]="Semanal","",IF(Tabla142[[#This Row],[frecuencia_new]]="Quincenal",RANDBETWEEN(1,2),RANDBETWEEN(1,4))))</f>
        <v>4</v>
      </c>
      <c r="H73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31" t="s">
        <v>133</v>
      </c>
      <c r="K731">
        <f>SUM(MID(Tabla142[[#This Row],[Duración]],1,2)*60,MID(Tabla142[[#This Row],[Duración]],6,2))</f>
        <v>10</v>
      </c>
      <c r="L731" s="4" t="s">
        <v>71</v>
      </c>
      <c r="M731" t="s">
        <v>239</v>
      </c>
      <c r="N731" t="s">
        <v>241</v>
      </c>
      <c r="O731" t="s">
        <v>382</v>
      </c>
      <c r="P731" t="s">
        <v>363</v>
      </c>
      <c r="Q731" s="20">
        <v>46032.649155092593</v>
      </c>
      <c r="R731" t="s">
        <v>7</v>
      </c>
      <c r="T731" t="s">
        <v>500</v>
      </c>
    </row>
    <row r="732" spans="1:20" ht="15" customHeight="1" x14ac:dyDescent="0.25">
      <c r="A732">
        <f t="shared" si="11"/>
        <v>89</v>
      </c>
      <c r="B732" t="s">
        <v>1364</v>
      </c>
      <c r="C732" t="s">
        <v>47</v>
      </c>
      <c r="D732">
        <v>104</v>
      </c>
      <c r="E7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32">
        <f ca="1">IF(Tabla142[[#This Row],[frecuencia_new]]="Diaria"," ",RANDBETWEEN(1,6))</f>
        <v>1</v>
      </c>
      <c r="G732">
        <f ca="1">IF(Tabla142[[#This Row],[frecuencia_new]]="Diaria","",IF(Tabla142[[#This Row],[frecuencia_new]]="Semanal","",IF(Tabla142[[#This Row],[frecuencia_new]]="Quincenal",RANDBETWEEN(1,2),RANDBETWEEN(1,4))))</f>
        <v>2</v>
      </c>
      <c r="H7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32" t="s">
        <v>134</v>
      </c>
      <c r="K732">
        <f>SUM(MID(Tabla142[[#This Row],[Duración]],1,2)*60,MID(Tabla142[[#This Row],[Duración]],6,2))</f>
        <v>10</v>
      </c>
      <c r="L732" s="4" t="s">
        <v>71</v>
      </c>
      <c r="M732" t="s">
        <v>239</v>
      </c>
      <c r="N732" t="s">
        <v>241</v>
      </c>
      <c r="O732" t="s">
        <v>382</v>
      </c>
      <c r="P732" t="s">
        <v>363</v>
      </c>
      <c r="Q732" s="20">
        <v>46032.649155092593</v>
      </c>
      <c r="R732" t="s">
        <v>7</v>
      </c>
      <c r="T732" t="s">
        <v>500</v>
      </c>
    </row>
    <row r="733" spans="1:20" ht="15" customHeight="1" x14ac:dyDescent="0.25">
      <c r="A733">
        <f t="shared" si="11"/>
        <v>89</v>
      </c>
      <c r="B733" t="s">
        <v>1365</v>
      </c>
      <c r="C733" t="s">
        <v>47</v>
      </c>
      <c r="D733">
        <v>104</v>
      </c>
      <c r="E7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33">
        <f ca="1">IF(Tabla142[[#This Row],[frecuencia_new]]="Diaria"," ",RANDBETWEEN(1,6))</f>
        <v>3</v>
      </c>
      <c r="G733" t="str">
        <f ca="1">IF(Tabla142[[#This Row],[frecuencia_new]]="Diaria","",IF(Tabla142[[#This Row],[frecuencia_new]]="Semanal","",IF(Tabla142[[#This Row],[frecuencia_new]]="Quincenal",RANDBETWEEN(1,2),RANDBETWEEN(1,4))))</f>
        <v/>
      </c>
      <c r="H7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33" t="s">
        <v>135</v>
      </c>
      <c r="K733">
        <f>SUM(MID(Tabla142[[#This Row],[Duración]],1,2)*60,MID(Tabla142[[#This Row],[Duración]],6,2))</f>
        <v>5</v>
      </c>
      <c r="L733" s="4" t="s">
        <v>50</v>
      </c>
      <c r="M733" t="s">
        <v>239</v>
      </c>
      <c r="N733" t="s">
        <v>241</v>
      </c>
      <c r="O733" t="s">
        <v>382</v>
      </c>
      <c r="P733" t="s">
        <v>363</v>
      </c>
      <c r="Q733" s="20">
        <v>46032.649155092593</v>
      </c>
      <c r="R733" t="s">
        <v>8</v>
      </c>
      <c r="T733" t="s">
        <v>500</v>
      </c>
    </row>
    <row r="734" spans="1:20" ht="15" customHeight="1" x14ac:dyDescent="0.25">
      <c r="A734">
        <f t="shared" si="11"/>
        <v>89</v>
      </c>
      <c r="B734" t="s">
        <v>1366</v>
      </c>
      <c r="C734" t="s">
        <v>47</v>
      </c>
      <c r="D734">
        <v>104</v>
      </c>
      <c r="E7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34">
        <f ca="1">IF(Tabla142[[#This Row],[frecuencia_new]]="Diaria"," ",RANDBETWEEN(1,6))</f>
        <v>3</v>
      </c>
      <c r="G734">
        <f ca="1">IF(Tabla142[[#This Row],[frecuencia_new]]="Diaria","",IF(Tabla142[[#This Row],[frecuencia_new]]="Semanal","",IF(Tabla142[[#This Row],[frecuencia_new]]="Quincenal",RANDBETWEEN(1,2),RANDBETWEEN(1,4))))</f>
        <v>4</v>
      </c>
      <c r="H7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34" t="s">
        <v>137</v>
      </c>
      <c r="K734">
        <f>SUM(MID(Tabla142[[#This Row],[Duración]],1,2)*60,MID(Tabla142[[#This Row],[Duración]],6,2))</f>
        <v>10</v>
      </c>
      <c r="L734" s="4" t="s">
        <v>71</v>
      </c>
      <c r="M734" t="s">
        <v>239</v>
      </c>
      <c r="N734" t="s">
        <v>241</v>
      </c>
      <c r="O734" t="s">
        <v>382</v>
      </c>
      <c r="P734" t="s">
        <v>363</v>
      </c>
      <c r="Q734" s="20">
        <v>46032.649155092593</v>
      </c>
      <c r="R734" t="s">
        <v>7</v>
      </c>
      <c r="T734" t="s">
        <v>500</v>
      </c>
    </row>
    <row r="735" spans="1:20" ht="15" customHeight="1" x14ac:dyDescent="0.25">
      <c r="A735">
        <f t="shared" si="11"/>
        <v>89</v>
      </c>
      <c r="B735" t="s">
        <v>1367</v>
      </c>
      <c r="C735" t="s">
        <v>47</v>
      </c>
      <c r="D735">
        <v>104</v>
      </c>
      <c r="E7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35">
        <f ca="1">IF(Tabla142[[#This Row],[frecuencia_new]]="Diaria"," ",RANDBETWEEN(1,6))</f>
        <v>1</v>
      </c>
      <c r="G735">
        <f ca="1">IF(Tabla142[[#This Row],[frecuencia_new]]="Diaria","",IF(Tabla142[[#This Row],[frecuencia_new]]="Semanal","",IF(Tabla142[[#This Row],[frecuencia_new]]="Quincenal",RANDBETWEEN(1,2),RANDBETWEEN(1,4))))</f>
        <v>4</v>
      </c>
      <c r="H735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35" t="s">
        <v>138</v>
      </c>
      <c r="K735">
        <f>SUM(MID(Tabla142[[#This Row],[Duración]],1,2)*60,MID(Tabla142[[#This Row],[Duración]],6,2))</f>
        <v>30</v>
      </c>
      <c r="L735" s="4" t="s">
        <v>48</v>
      </c>
      <c r="M735" t="s">
        <v>239</v>
      </c>
      <c r="N735" t="s">
        <v>241</v>
      </c>
      <c r="O735" t="s">
        <v>382</v>
      </c>
      <c r="P735" t="s">
        <v>363</v>
      </c>
      <c r="Q735" s="20">
        <v>46032.649155092593</v>
      </c>
      <c r="R735" t="s">
        <v>18</v>
      </c>
      <c r="T735" t="s">
        <v>500</v>
      </c>
    </row>
    <row r="736" spans="1:20" ht="15" customHeight="1" x14ac:dyDescent="0.25">
      <c r="A736">
        <f t="shared" si="11"/>
        <v>89</v>
      </c>
      <c r="B736" t="s">
        <v>1368</v>
      </c>
      <c r="C736" t="s">
        <v>47</v>
      </c>
      <c r="D736">
        <v>104</v>
      </c>
      <c r="E7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36">
        <f ca="1">IF(Tabla142[[#This Row],[frecuencia_new]]="Diaria"," ",RANDBETWEEN(1,6))</f>
        <v>3</v>
      </c>
      <c r="G736">
        <f ca="1">IF(Tabla142[[#This Row],[frecuencia_new]]="Diaria","",IF(Tabla142[[#This Row],[frecuencia_new]]="Semanal","",IF(Tabla142[[#This Row],[frecuencia_new]]="Quincenal",RANDBETWEEN(1,2),RANDBETWEEN(1,4))))</f>
        <v>1</v>
      </c>
      <c r="H73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36" t="s">
        <v>140</v>
      </c>
      <c r="K736">
        <f>SUM(MID(Tabla142[[#This Row],[Duración]],1,2)*60,MID(Tabla142[[#This Row],[Duración]],6,2))</f>
        <v>30</v>
      </c>
      <c r="L736" s="4" t="s">
        <v>48</v>
      </c>
      <c r="M736" t="s">
        <v>239</v>
      </c>
      <c r="N736" t="s">
        <v>241</v>
      </c>
      <c r="O736" t="s">
        <v>382</v>
      </c>
      <c r="P736" t="s">
        <v>363</v>
      </c>
      <c r="Q736" s="20">
        <v>46032.649155092593</v>
      </c>
      <c r="R736" t="s">
        <v>18</v>
      </c>
      <c r="T736" t="s">
        <v>500</v>
      </c>
    </row>
    <row r="737" spans="1:20" ht="15" customHeight="1" x14ac:dyDescent="0.25">
      <c r="A737">
        <f t="shared" si="11"/>
        <v>89</v>
      </c>
      <c r="B737" t="s">
        <v>1369</v>
      </c>
      <c r="C737" t="s">
        <v>47</v>
      </c>
      <c r="D737">
        <v>104</v>
      </c>
      <c r="E7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37">
        <f ca="1">IF(Tabla142[[#This Row],[frecuencia_new]]="Diaria"," ",RANDBETWEEN(1,6))</f>
        <v>1</v>
      </c>
      <c r="G737" t="str">
        <f ca="1">IF(Tabla142[[#This Row],[frecuencia_new]]="Diaria","",IF(Tabla142[[#This Row],[frecuencia_new]]="Semanal","",IF(Tabla142[[#This Row],[frecuencia_new]]="Quincenal",RANDBETWEEN(1,2),RANDBETWEEN(1,4))))</f>
        <v/>
      </c>
      <c r="H73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37" t="s">
        <v>141</v>
      </c>
      <c r="K737">
        <f>SUM(MID(Tabla142[[#This Row],[Duración]],1,2)*60,MID(Tabla142[[#This Row],[Duración]],6,2))</f>
        <v>5</v>
      </c>
      <c r="L737" s="4" t="s">
        <v>50</v>
      </c>
      <c r="M737" t="s">
        <v>239</v>
      </c>
      <c r="N737" t="s">
        <v>241</v>
      </c>
      <c r="O737" t="s">
        <v>382</v>
      </c>
      <c r="P737" t="s">
        <v>363</v>
      </c>
      <c r="Q737" s="20">
        <v>46032.649155092593</v>
      </c>
      <c r="R737" t="s">
        <v>8</v>
      </c>
      <c r="T737" t="s">
        <v>500</v>
      </c>
    </row>
    <row r="738" spans="1:20" ht="15" customHeight="1" x14ac:dyDescent="0.25">
      <c r="A738">
        <f t="shared" si="11"/>
        <v>89</v>
      </c>
      <c r="B738" t="s">
        <v>1370</v>
      </c>
      <c r="C738" t="s">
        <v>47</v>
      </c>
      <c r="D738">
        <v>104</v>
      </c>
      <c r="E7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38">
        <f ca="1">IF(Tabla142[[#This Row],[frecuencia_new]]="Diaria"," ",RANDBETWEEN(1,6))</f>
        <v>6</v>
      </c>
      <c r="G738">
        <f ca="1">IF(Tabla142[[#This Row],[frecuencia_new]]="Diaria","",IF(Tabla142[[#This Row],[frecuencia_new]]="Semanal","",IF(Tabla142[[#This Row],[frecuencia_new]]="Quincenal",RANDBETWEEN(1,2),RANDBETWEEN(1,4))))</f>
        <v>1</v>
      </c>
      <c r="H73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738" t="s">
        <v>142</v>
      </c>
      <c r="K738">
        <f>SUM(MID(Tabla142[[#This Row],[Duración]],1,2)*60,MID(Tabla142[[#This Row],[Duración]],6,2))</f>
        <v>30</v>
      </c>
      <c r="L738" s="4" t="s">
        <v>48</v>
      </c>
      <c r="M738" t="s">
        <v>239</v>
      </c>
      <c r="N738" t="s">
        <v>241</v>
      </c>
      <c r="O738" t="s">
        <v>382</v>
      </c>
      <c r="P738" t="s">
        <v>363</v>
      </c>
      <c r="Q738" s="20">
        <v>46032.649155092593</v>
      </c>
      <c r="R738" t="s">
        <v>18</v>
      </c>
      <c r="T738" t="s">
        <v>500</v>
      </c>
    </row>
    <row r="739" spans="1:20" ht="15" customHeight="1" x14ac:dyDescent="0.25">
      <c r="A739">
        <f t="shared" si="11"/>
        <v>89</v>
      </c>
      <c r="B739" t="s">
        <v>1371</v>
      </c>
      <c r="C739" t="s">
        <v>47</v>
      </c>
      <c r="D739">
        <v>104</v>
      </c>
      <c r="E7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39">
        <f ca="1">IF(Tabla142[[#This Row],[frecuencia_new]]="Diaria"," ",RANDBETWEEN(1,6))</f>
        <v>2</v>
      </c>
      <c r="G739">
        <f ca="1">IF(Tabla142[[#This Row],[frecuencia_new]]="Diaria","",IF(Tabla142[[#This Row],[frecuencia_new]]="Semanal","",IF(Tabla142[[#This Row],[frecuencia_new]]="Quincenal",RANDBETWEEN(1,2),RANDBETWEEN(1,4))))</f>
        <v>4</v>
      </c>
      <c r="H7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39" t="s">
        <v>143</v>
      </c>
      <c r="K739">
        <f>SUM(MID(Tabla142[[#This Row],[Duración]],1,2)*60,MID(Tabla142[[#This Row],[Duración]],6,2))</f>
        <v>10</v>
      </c>
      <c r="L739" s="4" t="s">
        <v>71</v>
      </c>
      <c r="M739" t="s">
        <v>239</v>
      </c>
      <c r="N739" t="s">
        <v>241</v>
      </c>
      <c r="O739" t="s">
        <v>382</v>
      </c>
      <c r="P739" t="s">
        <v>363</v>
      </c>
      <c r="Q739" s="20">
        <v>46032.649155092593</v>
      </c>
      <c r="R739" t="s">
        <v>7</v>
      </c>
      <c r="T739" t="s">
        <v>500</v>
      </c>
    </row>
    <row r="740" spans="1:20" ht="15" customHeight="1" x14ac:dyDescent="0.25">
      <c r="A740">
        <f t="shared" si="11"/>
        <v>89</v>
      </c>
      <c r="B740" t="s">
        <v>1372</v>
      </c>
      <c r="C740" t="s">
        <v>47</v>
      </c>
      <c r="D740">
        <v>104</v>
      </c>
      <c r="E7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40">
        <f ca="1">IF(Tabla142[[#This Row],[frecuencia_new]]="Diaria"," ",RANDBETWEEN(1,6))</f>
        <v>3</v>
      </c>
      <c r="G740">
        <f ca="1">IF(Tabla142[[#This Row],[frecuencia_new]]="Diaria","",IF(Tabla142[[#This Row],[frecuencia_new]]="Semanal","",IF(Tabla142[[#This Row],[frecuencia_new]]="Quincenal",RANDBETWEEN(1,2),RANDBETWEEN(1,4))))</f>
        <v>4</v>
      </c>
      <c r="H740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740" t="s">
        <v>145</v>
      </c>
      <c r="K740">
        <f>SUM(MID(Tabla142[[#This Row],[Duración]],1,2)*60,MID(Tabla142[[#This Row],[Duración]],6,2))</f>
        <v>30</v>
      </c>
      <c r="L740" s="4" t="s">
        <v>48</v>
      </c>
      <c r="M740" t="s">
        <v>239</v>
      </c>
      <c r="N740" t="s">
        <v>241</v>
      </c>
      <c r="O740" t="s">
        <v>382</v>
      </c>
      <c r="P740" t="s">
        <v>363</v>
      </c>
      <c r="Q740" s="20">
        <v>46032.649155092593</v>
      </c>
      <c r="R740" t="s">
        <v>18</v>
      </c>
      <c r="T740" t="s">
        <v>500</v>
      </c>
    </row>
    <row r="741" spans="1:20" ht="15" customHeight="1" x14ac:dyDescent="0.25">
      <c r="A741">
        <f t="shared" si="11"/>
        <v>89</v>
      </c>
      <c r="B741" t="s">
        <v>1373</v>
      </c>
      <c r="C741" t="s">
        <v>47</v>
      </c>
      <c r="D741">
        <v>104</v>
      </c>
      <c r="E7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41">
        <f ca="1">IF(Tabla142[[#This Row],[frecuencia_new]]="Diaria"," ",RANDBETWEEN(1,6))</f>
        <v>5</v>
      </c>
      <c r="G741">
        <f ca="1">IF(Tabla142[[#This Row],[frecuencia_new]]="Diaria","",IF(Tabla142[[#This Row],[frecuencia_new]]="Semanal","",IF(Tabla142[[#This Row],[frecuencia_new]]="Quincenal",RANDBETWEEN(1,2),RANDBETWEEN(1,4))))</f>
        <v>3</v>
      </c>
      <c r="H7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1" t="s">
        <v>146</v>
      </c>
      <c r="K741">
        <f>SUM(MID(Tabla142[[#This Row],[Duración]],1,2)*60,MID(Tabla142[[#This Row],[Duración]],6,2))</f>
        <v>20</v>
      </c>
      <c r="L741" s="4" t="s">
        <v>82</v>
      </c>
      <c r="M741" t="s">
        <v>239</v>
      </c>
      <c r="N741" t="s">
        <v>241</v>
      </c>
      <c r="O741" t="s">
        <v>382</v>
      </c>
      <c r="P741" t="s">
        <v>363</v>
      </c>
      <c r="Q741" s="20">
        <v>46032.649155092593</v>
      </c>
      <c r="R741" t="s">
        <v>7</v>
      </c>
      <c r="T741" t="s">
        <v>500</v>
      </c>
    </row>
    <row r="742" spans="1:20" ht="15" customHeight="1" x14ac:dyDescent="0.25">
      <c r="A742">
        <f t="shared" si="11"/>
        <v>89</v>
      </c>
      <c r="B742" t="s">
        <v>1374</v>
      </c>
      <c r="C742" t="s">
        <v>47</v>
      </c>
      <c r="D742">
        <v>104</v>
      </c>
      <c r="E7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42">
        <f ca="1">IF(Tabla142[[#This Row],[frecuencia_new]]="Diaria"," ",RANDBETWEEN(1,6))</f>
        <v>1</v>
      </c>
      <c r="G742">
        <f ca="1">IF(Tabla142[[#This Row],[frecuencia_new]]="Diaria","",IF(Tabla142[[#This Row],[frecuencia_new]]="Semanal","",IF(Tabla142[[#This Row],[frecuencia_new]]="Quincenal",RANDBETWEEN(1,2),RANDBETWEEN(1,4))))</f>
        <v>2</v>
      </c>
      <c r="H7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2" t="s">
        <v>148</v>
      </c>
      <c r="K742">
        <f>SUM(MID(Tabla142[[#This Row],[Duración]],1,2)*60,MID(Tabla142[[#This Row],[Duración]],6,2))</f>
        <v>30</v>
      </c>
      <c r="L742" s="4" t="s">
        <v>48</v>
      </c>
      <c r="M742" t="s">
        <v>239</v>
      </c>
      <c r="N742" t="s">
        <v>241</v>
      </c>
      <c r="O742" t="s">
        <v>382</v>
      </c>
      <c r="P742" t="s">
        <v>363</v>
      </c>
      <c r="Q742" s="20">
        <v>46032.649155092593</v>
      </c>
      <c r="R742" t="s">
        <v>7</v>
      </c>
      <c r="T742" t="s">
        <v>500</v>
      </c>
    </row>
    <row r="743" spans="1:20" ht="15" customHeight="1" x14ac:dyDescent="0.25">
      <c r="A743">
        <f t="shared" si="11"/>
        <v>89</v>
      </c>
      <c r="B743" t="s">
        <v>1375</v>
      </c>
      <c r="C743" t="s">
        <v>47</v>
      </c>
      <c r="D743">
        <v>104</v>
      </c>
      <c r="E7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43">
        <f ca="1">IF(Tabla142[[#This Row],[frecuencia_new]]="Diaria"," ",RANDBETWEEN(1,6))</f>
        <v>2</v>
      </c>
      <c r="G743" t="str">
        <f ca="1">IF(Tabla142[[#This Row],[frecuencia_new]]="Diaria","",IF(Tabla142[[#This Row],[frecuencia_new]]="Semanal","",IF(Tabla142[[#This Row],[frecuencia_new]]="Quincenal",RANDBETWEEN(1,2),RANDBETWEEN(1,4))))</f>
        <v/>
      </c>
      <c r="H7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3" t="s">
        <v>149</v>
      </c>
      <c r="K743">
        <f>SUM(MID(Tabla142[[#This Row],[Duración]],1,2)*60,MID(Tabla142[[#This Row],[Duración]],6,2))</f>
        <v>3</v>
      </c>
      <c r="L743" s="4" t="s">
        <v>150</v>
      </c>
      <c r="M743" t="s">
        <v>239</v>
      </c>
      <c r="N743" t="s">
        <v>241</v>
      </c>
      <c r="O743" t="s">
        <v>382</v>
      </c>
      <c r="P743" t="s">
        <v>363</v>
      </c>
      <c r="Q743" s="20">
        <v>46032.649155092593</v>
      </c>
      <c r="R743" t="s">
        <v>8</v>
      </c>
      <c r="T743" t="s">
        <v>500</v>
      </c>
    </row>
    <row r="744" spans="1:20" ht="15" customHeight="1" x14ac:dyDescent="0.25">
      <c r="A744">
        <f t="shared" si="11"/>
        <v>89</v>
      </c>
      <c r="B744" t="s">
        <v>1376</v>
      </c>
      <c r="C744" t="s">
        <v>47</v>
      </c>
      <c r="D744">
        <v>104</v>
      </c>
      <c r="E7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44">
        <f ca="1">IF(Tabla142[[#This Row],[frecuencia_new]]="Diaria"," ",RANDBETWEEN(1,6))</f>
        <v>1</v>
      </c>
      <c r="G744">
        <f ca="1">IF(Tabla142[[#This Row],[frecuencia_new]]="Diaria","",IF(Tabla142[[#This Row],[frecuencia_new]]="Semanal","",IF(Tabla142[[#This Row],[frecuencia_new]]="Quincenal",RANDBETWEEN(1,2),RANDBETWEEN(1,4))))</f>
        <v>4</v>
      </c>
      <c r="H744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44" t="s">
        <v>151</v>
      </c>
      <c r="K744">
        <f>SUM(MID(Tabla142[[#This Row],[Duración]],1,2)*60,MID(Tabla142[[#This Row],[Duración]],6,2))</f>
        <v>60</v>
      </c>
      <c r="L744" s="4" t="s">
        <v>58</v>
      </c>
      <c r="M744" t="s">
        <v>239</v>
      </c>
      <c r="N744" t="s">
        <v>241</v>
      </c>
      <c r="O744" t="s">
        <v>382</v>
      </c>
      <c r="P744" t="s">
        <v>363</v>
      </c>
      <c r="Q744" s="20">
        <v>46032.649155092593</v>
      </c>
      <c r="R744" t="s">
        <v>18</v>
      </c>
      <c r="T744" t="s">
        <v>500</v>
      </c>
    </row>
    <row r="745" spans="1:20" ht="15" customHeight="1" x14ac:dyDescent="0.25">
      <c r="A745">
        <f t="shared" si="11"/>
        <v>89</v>
      </c>
      <c r="B745" t="s">
        <v>1377</v>
      </c>
      <c r="C745" t="s">
        <v>47</v>
      </c>
      <c r="D745">
        <v>104</v>
      </c>
      <c r="E7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45">
        <f ca="1">IF(Tabla142[[#This Row],[frecuencia_new]]="Diaria"," ",RANDBETWEEN(1,6))</f>
        <v>4</v>
      </c>
      <c r="G745" t="str">
        <f ca="1">IF(Tabla142[[#This Row],[frecuencia_new]]="Diaria","",IF(Tabla142[[#This Row],[frecuencia_new]]="Semanal","",IF(Tabla142[[#This Row],[frecuencia_new]]="Quincenal",RANDBETWEEN(1,2),RANDBETWEEN(1,4))))</f>
        <v/>
      </c>
      <c r="H7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5" t="s">
        <v>152</v>
      </c>
      <c r="K745">
        <f>SUM(MID(Tabla142[[#This Row],[Duración]],1,2)*60,MID(Tabla142[[#This Row],[Duración]],6,2))</f>
        <v>3</v>
      </c>
      <c r="L745" s="4" t="s">
        <v>150</v>
      </c>
      <c r="M745" t="s">
        <v>239</v>
      </c>
      <c r="N745" t="s">
        <v>241</v>
      </c>
      <c r="O745" t="s">
        <v>382</v>
      </c>
      <c r="P745" t="s">
        <v>363</v>
      </c>
      <c r="Q745" s="20">
        <v>46032.649155092593</v>
      </c>
      <c r="R745" t="s">
        <v>8</v>
      </c>
      <c r="T745" t="s">
        <v>500</v>
      </c>
    </row>
    <row r="746" spans="1:20" ht="15" customHeight="1" x14ac:dyDescent="0.25">
      <c r="A746">
        <f t="shared" si="11"/>
        <v>89</v>
      </c>
      <c r="B746" t="s">
        <v>1378</v>
      </c>
      <c r="C746" t="s">
        <v>47</v>
      </c>
      <c r="D746">
        <v>104</v>
      </c>
      <c r="E7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46">
        <f ca="1">IF(Tabla142[[#This Row],[frecuencia_new]]="Diaria"," ",RANDBETWEEN(1,6))</f>
        <v>3</v>
      </c>
      <c r="G746" t="str">
        <f ca="1">IF(Tabla142[[#This Row],[frecuencia_new]]="Diaria","",IF(Tabla142[[#This Row],[frecuencia_new]]="Semanal","",IF(Tabla142[[#This Row],[frecuencia_new]]="Quincenal",RANDBETWEEN(1,2),RANDBETWEEN(1,4))))</f>
        <v/>
      </c>
      <c r="H7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6" t="s">
        <v>153</v>
      </c>
      <c r="K746">
        <f>SUM(MID(Tabla142[[#This Row],[Duración]],1,2)*60,MID(Tabla142[[#This Row],[Duración]],6,2))</f>
        <v>3</v>
      </c>
      <c r="L746" s="4" t="s">
        <v>150</v>
      </c>
      <c r="M746" t="s">
        <v>239</v>
      </c>
      <c r="N746" t="s">
        <v>241</v>
      </c>
      <c r="O746" t="s">
        <v>382</v>
      </c>
      <c r="P746" t="s">
        <v>363</v>
      </c>
      <c r="Q746" s="20">
        <v>46032.649155092593</v>
      </c>
      <c r="R746" t="s">
        <v>8</v>
      </c>
      <c r="T746" t="s">
        <v>500</v>
      </c>
    </row>
    <row r="747" spans="1:20" ht="15" customHeight="1" x14ac:dyDescent="0.25">
      <c r="A747">
        <f t="shared" si="11"/>
        <v>89</v>
      </c>
      <c r="B747" t="s">
        <v>1379</v>
      </c>
      <c r="C747" t="s">
        <v>47</v>
      </c>
      <c r="D747">
        <v>104</v>
      </c>
      <c r="E7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47">
        <f ca="1">IF(Tabla142[[#This Row],[frecuencia_new]]="Diaria"," ",RANDBETWEEN(1,6))</f>
        <v>1</v>
      </c>
      <c r="G747" t="str">
        <f ca="1">IF(Tabla142[[#This Row],[frecuencia_new]]="Diaria","",IF(Tabla142[[#This Row],[frecuencia_new]]="Semanal","",IF(Tabla142[[#This Row],[frecuencia_new]]="Quincenal",RANDBETWEEN(1,2),RANDBETWEEN(1,4))))</f>
        <v/>
      </c>
      <c r="H7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7" t="s">
        <v>154</v>
      </c>
      <c r="K747">
        <f>SUM(MID(Tabla142[[#This Row],[Duración]],1,2)*60,MID(Tabla142[[#This Row],[Duración]],6,2))</f>
        <v>3</v>
      </c>
      <c r="L747" s="4" t="s">
        <v>150</v>
      </c>
      <c r="M747" t="s">
        <v>239</v>
      </c>
      <c r="N747" t="s">
        <v>241</v>
      </c>
      <c r="O747" t="s">
        <v>382</v>
      </c>
      <c r="P747" t="s">
        <v>363</v>
      </c>
      <c r="Q747" s="20">
        <v>46032.649155092593</v>
      </c>
      <c r="R747" t="s">
        <v>8</v>
      </c>
      <c r="T747" t="s">
        <v>500</v>
      </c>
    </row>
    <row r="748" spans="1:20" ht="15" customHeight="1" x14ac:dyDescent="0.25">
      <c r="A748">
        <f t="shared" si="11"/>
        <v>89</v>
      </c>
      <c r="B748" t="s">
        <v>1380</v>
      </c>
      <c r="C748" t="s">
        <v>47</v>
      </c>
      <c r="D748">
        <v>104</v>
      </c>
      <c r="E7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48">
        <f ca="1">IF(Tabla142[[#This Row],[frecuencia_new]]="Diaria"," ",RANDBETWEEN(1,6))</f>
        <v>4</v>
      </c>
      <c r="G748" t="str">
        <f ca="1">IF(Tabla142[[#This Row],[frecuencia_new]]="Diaria","",IF(Tabla142[[#This Row],[frecuencia_new]]="Semanal","",IF(Tabla142[[#This Row],[frecuencia_new]]="Quincenal",RANDBETWEEN(1,2),RANDBETWEEN(1,4))))</f>
        <v/>
      </c>
      <c r="H7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8" t="s">
        <v>155</v>
      </c>
      <c r="K748">
        <f>SUM(MID(Tabla142[[#This Row],[Duración]],1,2)*60,MID(Tabla142[[#This Row],[Duración]],6,2))</f>
        <v>3</v>
      </c>
      <c r="L748" s="4" t="s">
        <v>150</v>
      </c>
      <c r="M748" t="s">
        <v>239</v>
      </c>
      <c r="N748" t="s">
        <v>241</v>
      </c>
      <c r="O748" t="s">
        <v>382</v>
      </c>
      <c r="P748" t="s">
        <v>363</v>
      </c>
      <c r="Q748" s="20">
        <v>46032.649155092593</v>
      </c>
      <c r="R748" t="s">
        <v>8</v>
      </c>
      <c r="T748" t="s">
        <v>500</v>
      </c>
    </row>
    <row r="749" spans="1:20" ht="15" customHeight="1" x14ac:dyDescent="0.25">
      <c r="A749">
        <f t="shared" si="11"/>
        <v>89</v>
      </c>
      <c r="B749" t="s">
        <v>1381</v>
      </c>
      <c r="C749" t="s">
        <v>47</v>
      </c>
      <c r="D749">
        <v>104</v>
      </c>
      <c r="E7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49">
        <f ca="1">IF(Tabla142[[#This Row],[frecuencia_new]]="Diaria"," ",RANDBETWEEN(1,6))</f>
        <v>6</v>
      </c>
      <c r="G749" t="str">
        <f ca="1">IF(Tabla142[[#This Row],[frecuencia_new]]="Diaria","",IF(Tabla142[[#This Row],[frecuencia_new]]="Semanal","",IF(Tabla142[[#This Row],[frecuencia_new]]="Quincenal",RANDBETWEEN(1,2),RANDBETWEEN(1,4))))</f>
        <v/>
      </c>
      <c r="H7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49" t="s">
        <v>156</v>
      </c>
      <c r="K749">
        <f>SUM(MID(Tabla142[[#This Row],[Duración]],1,2)*60,MID(Tabla142[[#This Row],[Duración]],6,2))</f>
        <v>3</v>
      </c>
      <c r="L749" s="4" t="s">
        <v>150</v>
      </c>
      <c r="M749" t="s">
        <v>239</v>
      </c>
      <c r="N749" t="s">
        <v>241</v>
      </c>
      <c r="O749" t="s">
        <v>382</v>
      </c>
      <c r="P749" t="s">
        <v>363</v>
      </c>
      <c r="Q749" s="20">
        <v>46032.649155092593</v>
      </c>
      <c r="R749" t="s">
        <v>8</v>
      </c>
      <c r="T749" t="s">
        <v>500</v>
      </c>
    </row>
    <row r="750" spans="1:20" x14ac:dyDescent="0.25">
      <c r="A750">
        <f t="shared" si="11"/>
        <v>89</v>
      </c>
      <c r="B750" t="s">
        <v>1382</v>
      </c>
      <c r="C750" t="s">
        <v>47</v>
      </c>
      <c r="D750">
        <v>104</v>
      </c>
      <c r="E7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750">
        <f ca="1">IF(Tabla142[[#This Row],[frecuencia_new]]="Diaria"," ",RANDBETWEEN(1,6))</f>
        <v>6</v>
      </c>
      <c r="G750">
        <f ca="1">IF(Tabla142[[#This Row],[frecuencia_new]]="Diaria","",IF(Tabla142[[#This Row],[frecuencia_new]]="Semanal","",IF(Tabla142[[#This Row],[frecuencia_new]]="Quincenal",RANDBETWEEN(1,2),RANDBETWEEN(1,4))))</f>
        <v>3</v>
      </c>
      <c r="H750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50" t="s">
        <v>157</v>
      </c>
      <c r="K750">
        <f>SUM(MID(Tabla142[[#This Row],[Duración]],1,2)*60,MID(Tabla142[[#This Row],[Duración]],6,2))</f>
        <v>60</v>
      </c>
      <c r="L750" s="4" t="s">
        <v>58</v>
      </c>
      <c r="M750" t="s">
        <v>239</v>
      </c>
      <c r="N750" t="s">
        <v>241</v>
      </c>
      <c r="O750" t="s">
        <v>382</v>
      </c>
      <c r="P750" t="s">
        <v>363</v>
      </c>
      <c r="Q750" s="20">
        <v>46032.649155092593</v>
      </c>
      <c r="R750" t="s">
        <v>20</v>
      </c>
      <c r="T750" t="s">
        <v>500</v>
      </c>
    </row>
    <row r="751" spans="1:20" ht="15" customHeight="1" x14ac:dyDescent="0.25">
      <c r="A751">
        <f t="shared" si="11"/>
        <v>89</v>
      </c>
      <c r="B751" t="s">
        <v>1383</v>
      </c>
      <c r="C751" t="s">
        <v>47</v>
      </c>
      <c r="D751">
        <v>104</v>
      </c>
      <c r="E7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51">
        <f ca="1">IF(Tabla142[[#This Row],[frecuencia_new]]="Diaria"," ",RANDBETWEEN(1,6))</f>
        <v>6</v>
      </c>
      <c r="G751">
        <f ca="1">IF(Tabla142[[#This Row],[frecuencia_new]]="Diaria","",IF(Tabla142[[#This Row],[frecuencia_new]]="Semanal","",IF(Tabla142[[#This Row],[frecuencia_new]]="Quincenal",RANDBETWEEN(1,2),RANDBETWEEN(1,4))))</f>
        <v>1</v>
      </c>
      <c r="H751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751" t="s">
        <v>158</v>
      </c>
      <c r="K751">
        <f>SUM(MID(Tabla142[[#This Row],[Duración]],1,2)*60,MID(Tabla142[[#This Row],[Duración]],6,2))</f>
        <v>60</v>
      </c>
      <c r="L751" s="4" t="s">
        <v>58</v>
      </c>
      <c r="M751" t="s">
        <v>239</v>
      </c>
      <c r="N751" t="s">
        <v>241</v>
      </c>
      <c r="O751" t="s">
        <v>382</v>
      </c>
      <c r="P751" t="s">
        <v>363</v>
      </c>
      <c r="Q751" s="20">
        <v>46032.649155092593</v>
      </c>
      <c r="R751" t="s">
        <v>18</v>
      </c>
      <c r="T751" t="s">
        <v>500</v>
      </c>
    </row>
    <row r="752" spans="1:20" ht="15" customHeight="1" x14ac:dyDescent="0.25">
      <c r="A752">
        <f t="shared" si="11"/>
        <v>89</v>
      </c>
      <c r="B752" t="s">
        <v>1384</v>
      </c>
      <c r="C752" t="s">
        <v>47</v>
      </c>
      <c r="D752">
        <v>104</v>
      </c>
      <c r="E7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52">
        <f ca="1">IF(Tabla142[[#This Row],[frecuencia_new]]="Diaria"," ",RANDBETWEEN(1,6))</f>
        <v>6</v>
      </c>
      <c r="G752">
        <f ca="1">IF(Tabla142[[#This Row],[frecuencia_new]]="Diaria","",IF(Tabla142[[#This Row],[frecuencia_new]]="Semanal","",IF(Tabla142[[#This Row],[frecuencia_new]]="Quincenal",RANDBETWEEN(1,2),RANDBETWEEN(1,4))))</f>
        <v>1</v>
      </c>
      <c r="H752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752" t="s">
        <v>159</v>
      </c>
      <c r="K752">
        <f>SUM(MID(Tabla142[[#This Row],[Duración]],1,2)*60,MID(Tabla142[[#This Row],[Duración]],6,2))</f>
        <v>90</v>
      </c>
      <c r="L752" s="4" t="s">
        <v>96</v>
      </c>
      <c r="M752" t="s">
        <v>239</v>
      </c>
      <c r="N752" t="s">
        <v>241</v>
      </c>
      <c r="O752" t="s">
        <v>382</v>
      </c>
      <c r="P752" t="s">
        <v>363</v>
      </c>
      <c r="Q752" s="20">
        <v>46032.649155092593</v>
      </c>
      <c r="R752" t="s">
        <v>5</v>
      </c>
      <c r="T752" t="s">
        <v>500</v>
      </c>
    </row>
    <row r="753" spans="1:20" ht="15" customHeight="1" x14ac:dyDescent="0.25">
      <c r="A753">
        <f t="shared" si="11"/>
        <v>89</v>
      </c>
      <c r="B753" t="s">
        <v>1385</v>
      </c>
      <c r="C753" t="s">
        <v>47</v>
      </c>
      <c r="D753">
        <v>104</v>
      </c>
      <c r="E7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53">
        <f ca="1">IF(Tabla142[[#This Row],[frecuencia_new]]="Diaria"," ",RANDBETWEEN(1,6))</f>
        <v>6</v>
      </c>
      <c r="G753" t="str">
        <f ca="1">IF(Tabla142[[#This Row],[frecuencia_new]]="Diaria","",IF(Tabla142[[#This Row],[frecuencia_new]]="Semanal","",IF(Tabla142[[#This Row],[frecuencia_new]]="Quincenal",RANDBETWEEN(1,2),RANDBETWEEN(1,4))))</f>
        <v/>
      </c>
      <c r="H7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53" t="s">
        <v>57</v>
      </c>
      <c r="K753">
        <f>SUM(MID(Tabla142[[#This Row],[Duración]],1,2)*60,MID(Tabla142[[#This Row],[Duración]],6,2))</f>
        <v>10</v>
      </c>
      <c r="L753" s="4" t="s">
        <v>71</v>
      </c>
      <c r="M753" t="s">
        <v>239</v>
      </c>
      <c r="N753" t="s">
        <v>241</v>
      </c>
      <c r="O753" t="s">
        <v>382</v>
      </c>
      <c r="P753" t="s">
        <v>363</v>
      </c>
      <c r="Q753" s="20">
        <v>46032.649155092593</v>
      </c>
      <c r="R753" t="s">
        <v>8</v>
      </c>
      <c r="T753" t="s">
        <v>500</v>
      </c>
    </row>
    <row r="754" spans="1:20" ht="15" customHeight="1" x14ac:dyDescent="0.25">
      <c r="A754">
        <f t="shared" si="11"/>
        <v>89</v>
      </c>
      <c r="B754" t="s">
        <v>1386</v>
      </c>
      <c r="C754" t="s">
        <v>47</v>
      </c>
      <c r="D754">
        <v>104</v>
      </c>
      <c r="E7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54">
        <f ca="1">IF(Tabla142[[#This Row],[frecuencia_new]]="Diaria"," ",RANDBETWEEN(1,6))</f>
        <v>4</v>
      </c>
      <c r="G754">
        <f ca="1">IF(Tabla142[[#This Row],[frecuencia_new]]="Diaria","",IF(Tabla142[[#This Row],[frecuencia_new]]="Semanal","",IF(Tabla142[[#This Row],[frecuencia_new]]="Quincenal",RANDBETWEEN(1,2),RANDBETWEEN(1,4))))</f>
        <v>1</v>
      </c>
      <c r="H754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54" t="s">
        <v>160</v>
      </c>
      <c r="K754">
        <f>SUM(MID(Tabla142[[#This Row],[Duración]],1,2)*60,MID(Tabla142[[#This Row],[Duración]],6,2))</f>
        <v>30</v>
      </c>
      <c r="L754" s="4" t="s">
        <v>48</v>
      </c>
      <c r="M754" t="s">
        <v>239</v>
      </c>
      <c r="N754" t="s">
        <v>241</v>
      </c>
      <c r="O754" t="s">
        <v>382</v>
      </c>
      <c r="P754" t="s">
        <v>363</v>
      </c>
      <c r="Q754" s="20">
        <v>46032.649155092593</v>
      </c>
      <c r="R754" t="s">
        <v>5</v>
      </c>
      <c r="T754" t="s">
        <v>500</v>
      </c>
    </row>
    <row r="755" spans="1:20" ht="15" customHeight="1" x14ac:dyDescent="0.25">
      <c r="A755">
        <f t="shared" si="11"/>
        <v>89</v>
      </c>
      <c r="B755" t="s">
        <v>1387</v>
      </c>
      <c r="C755" t="s">
        <v>54</v>
      </c>
      <c r="D755">
        <v>104</v>
      </c>
      <c r="E7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55">
        <f ca="1">IF(Tabla142[[#This Row],[frecuencia_new]]="Diaria"," ",RANDBETWEEN(1,6))</f>
        <v>4</v>
      </c>
      <c r="G755">
        <f ca="1">IF(Tabla142[[#This Row],[frecuencia_new]]="Diaria","",IF(Tabla142[[#This Row],[frecuencia_new]]="Semanal","",IF(Tabla142[[#This Row],[frecuencia_new]]="Quincenal",RANDBETWEEN(1,2),RANDBETWEEN(1,4))))</f>
        <v>1</v>
      </c>
      <c r="H7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55" t="s">
        <v>169</v>
      </c>
      <c r="K755">
        <f>SUM(MID(Tabla142[[#This Row],[Duración]],1,2)*60,MID(Tabla142[[#This Row],[Duración]],6,2))</f>
        <v>0</v>
      </c>
      <c r="L755" s="4" t="s">
        <v>89</v>
      </c>
      <c r="M755" t="s">
        <v>239</v>
      </c>
      <c r="N755" t="s">
        <v>241</v>
      </c>
      <c r="O755" t="s">
        <v>382</v>
      </c>
      <c r="P755" t="s">
        <v>363</v>
      </c>
      <c r="Q755" s="20">
        <v>46032.649155092593</v>
      </c>
      <c r="R755" t="s">
        <v>7</v>
      </c>
      <c r="T755" t="s">
        <v>500</v>
      </c>
    </row>
    <row r="756" spans="1:20" ht="15" customHeight="1" x14ac:dyDescent="0.25">
      <c r="A756">
        <f t="shared" si="11"/>
        <v>148</v>
      </c>
      <c r="B756" t="s">
        <v>1388</v>
      </c>
      <c r="C756" t="s">
        <v>47</v>
      </c>
      <c r="D756">
        <v>104</v>
      </c>
      <c r="E7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56">
        <f ca="1">IF(Tabla142[[#This Row],[frecuencia_new]]="Diaria"," ",RANDBETWEEN(1,6))</f>
        <v>1</v>
      </c>
      <c r="G756">
        <f ca="1">IF(Tabla142[[#This Row],[frecuencia_new]]="Diaria","",IF(Tabla142[[#This Row],[frecuencia_new]]="Semanal","",IF(Tabla142[[#This Row],[frecuencia_new]]="Quincenal",RANDBETWEEN(1,2),RANDBETWEEN(1,4))))</f>
        <v>1</v>
      </c>
      <c r="H75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56" t="s">
        <v>116</v>
      </c>
      <c r="K756">
        <f>SUM(MID(Tabla142[[#This Row],[Duración]],1,2)*60,MID(Tabla142[[#This Row],[Duración]],6,2))</f>
        <v>60</v>
      </c>
      <c r="L756" s="4" t="s">
        <v>58</v>
      </c>
      <c r="M756" t="s">
        <v>239</v>
      </c>
      <c r="N756" t="s">
        <v>241</v>
      </c>
      <c r="O756" t="s">
        <v>380</v>
      </c>
      <c r="P756" t="s">
        <v>360</v>
      </c>
      <c r="Q756" s="20">
        <v>46032.649155092593</v>
      </c>
      <c r="R756" t="s">
        <v>5</v>
      </c>
      <c r="T756" t="s">
        <v>559</v>
      </c>
    </row>
    <row r="757" spans="1:20" ht="15" customHeight="1" x14ac:dyDescent="0.25">
      <c r="A757">
        <f t="shared" si="11"/>
        <v>148</v>
      </c>
      <c r="B757" t="s">
        <v>1389</v>
      </c>
      <c r="C757" t="s">
        <v>47</v>
      </c>
      <c r="D757">
        <v>104</v>
      </c>
      <c r="E7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57">
        <f ca="1">IF(Tabla142[[#This Row],[frecuencia_new]]="Diaria"," ",RANDBETWEEN(1,6))</f>
        <v>1</v>
      </c>
      <c r="G757">
        <f ca="1">IF(Tabla142[[#This Row],[frecuencia_new]]="Diaria","",IF(Tabla142[[#This Row],[frecuencia_new]]="Semanal","",IF(Tabla142[[#This Row],[frecuencia_new]]="Quincenal",RANDBETWEEN(1,2),RANDBETWEEN(1,4))))</f>
        <v>1</v>
      </c>
      <c r="H757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757" t="s">
        <v>46</v>
      </c>
      <c r="K757">
        <f>SUM(MID(Tabla142[[#This Row],[Duración]],1,2)*60,MID(Tabla142[[#This Row],[Duración]],6,2))</f>
        <v>90</v>
      </c>
      <c r="L757" s="4" t="s">
        <v>96</v>
      </c>
      <c r="M757" t="s">
        <v>239</v>
      </c>
      <c r="N757" t="s">
        <v>241</v>
      </c>
      <c r="O757" t="s">
        <v>380</v>
      </c>
      <c r="P757" t="s">
        <v>360</v>
      </c>
      <c r="Q757" s="20">
        <v>46032.649155092593</v>
      </c>
      <c r="R757" t="s">
        <v>5</v>
      </c>
      <c r="T757" t="s">
        <v>559</v>
      </c>
    </row>
    <row r="758" spans="1:20" ht="15" customHeight="1" x14ac:dyDescent="0.25">
      <c r="A758">
        <f t="shared" si="11"/>
        <v>148</v>
      </c>
      <c r="B758" t="s">
        <v>1390</v>
      </c>
      <c r="C758" t="s">
        <v>47</v>
      </c>
      <c r="D758">
        <v>104</v>
      </c>
      <c r="E7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58">
        <f ca="1">IF(Tabla142[[#This Row],[frecuencia_new]]="Diaria"," ",RANDBETWEEN(1,6))</f>
        <v>3</v>
      </c>
      <c r="G758">
        <f ca="1">IF(Tabla142[[#This Row],[frecuencia_new]]="Diaria","",IF(Tabla142[[#This Row],[frecuencia_new]]="Semanal","",IF(Tabla142[[#This Row],[frecuencia_new]]="Quincenal",RANDBETWEEN(1,2),RANDBETWEEN(1,4))))</f>
        <v>1</v>
      </c>
      <c r="H758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758" t="s">
        <v>53</v>
      </c>
      <c r="K758">
        <f>SUM(MID(Tabla142[[#This Row],[Duración]],1,2)*60,MID(Tabla142[[#This Row],[Duración]],6,2))</f>
        <v>90</v>
      </c>
      <c r="L758" s="4" t="s">
        <v>96</v>
      </c>
      <c r="M758" t="s">
        <v>239</v>
      </c>
      <c r="N758" t="s">
        <v>241</v>
      </c>
      <c r="O758" t="s">
        <v>380</v>
      </c>
      <c r="P758" t="s">
        <v>360</v>
      </c>
      <c r="Q758" s="20">
        <v>46032.649155092593</v>
      </c>
      <c r="R758" t="s">
        <v>5</v>
      </c>
      <c r="T758" t="s">
        <v>559</v>
      </c>
    </row>
    <row r="759" spans="1:20" ht="15" customHeight="1" x14ac:dyDescent="0.25">
      <c r="A759">
        <f t="shared" si="11"/>
        <v>148</v>
      </c>
      <c r="B759" t="s">
        <v>1391</v>
      </c>
      <c r="C759" t="s">
        <v>47</v>
      </c>
      <c r="D759">
        <v>104</v>
      </c>
      <c r="E7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59">
        <f ca="1">IF(Tabla142[[#This Row],[frecuencia_new]]="Diaria"," ",RANDBETWEEN(1,6))</f>
        <v>2</v>
      </c>
      <c r="G759">
        <f ca="1">IF(Tabla142[[#This Row],[frecuencia_new]]="Diaria","",IF(Tabla142[[#This Row],[frecuencia_new]]="Semanal","",IF(Tabla142[[#This Row],[frecuencia_new]]="Quincenal",RANDBETWEEN(1,2),RANDBETWEEN(1,4))))</f>
        <v>4</v>
      </c>
      <c r="H759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59" t="s">
        <v>147</v>
      </c>
      <c r="K759">
        <f>SUM(MID(Tabla142[[#This Row],[Duración]],1,2)*60,MID(Tabla142[[#This Row],[Duración]],6,2))</f>
        <v>90</v>
      </c>
      <c r="L759" s="4" t="s">
        <v>96</v>
      </c>
      <c r="M759" t="s">
        <v>239</v>
      </c>
      <c r="N759" t="s">
        <v>241</v>
      </c>
      <c r="O759" t="s">
        <v>380</v>
      </c>
      <c r="P759" t="s">
        <v>360</v>
      </c>
      <c r="Q759" s="20">
        <v>46032.649155092593</v>
      </c>
      <c r="R759" t="s">
        <v>5</v>
      </c>
      <c r="T759" t="s">
        <v>559</v>
      </c>
    </row>
    <row r="760" spans="1:20" ht="15" customHeight="1" x14ac:dyDescent="0.25">
      <c r="A760">
        <f t="shared" si="11"/>
        <v>148</v>
      </c>
      <c r="B760" t="s">
        <v>1392</v>
      </c>
      <c r="C760" t="s">
        <v>47</v>
      </c>
      <c r="D760">
        <v>104</v>
      </c>
      <c r="E7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60">
        <f ca="1">IF(Tabla142[[#This Row],[frecuencia_new]]="Diaria"," ",RANDBETWEEN(1,6))</f>
        <v>6</v>
      </c>
      <c r="G760">
        <f ca="1">IF(Tabla142[[#This Row],[frecuencia_new]]="Diaria","",IF(Tabla142[[#This Row],[frecuencia_new]]="Semanal","",IF(Tabla142[[#This Row],[frecuencia_new]]="Quincenal",RANDBETWEEN(1,2),RANDBETWEEN(1,4))))</f>
        <v>3</v>
      </c>
      <c r="H760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60" t="s">
        <v>64</v>
      </c>
      <c r="K760">
        <f>SUM(MID(Tabla142[[#This Row],[Duración]],1,2)*60,MID(Tabla142[[#This Row],[Duración]],6,2))</f>
        <v>90</v>
      </c>
      <c r="L760" s="4" t="s">
        <v>96</v>
      </c>
      <c r="M760" t="s">
        <v>239</v>
      </c>
      <c r="N760" t="s">
        <v>241</v>
      </c>
      <c r="O760" t="s">
        <v>380</v>
      </c>
      <c r="P760" t="s">
        <v>360</v>
      </c>
      <c r="Q760" s="20">
        <v>46032.649155092593</v>
      </c>
      <c r="R760" t="s">
        <v>5</v>
      </c>
      <c r="T760" t="s">
        <v>559</v>
      </c>
    </row>
    <row r="761" spans="1:20" ht="15" customHeight="1" x14ac:dyDescent="0.25">
      <c r="A761">
        <f t="shared" si="11"/>
        <v>148</v>
      </c>
      <c r="B761" t="s">
        <v>1393</v>
      </c>
      <c r="C761" t="s">
        <v>47</v>
      </c>
      <c r="D761">
        <v>104</v>
      </c>
      <c r="E7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61">
        <f ca="1">IF(Tabla142[[#This Row],[frecuencia_new]]="Diaria"," ",RANDBETWEEN(1,6))</f>
        <v>3</v>
      </c>
      <c r="G761">
        <f ca="1">IF(Tabla142[[#This Row],[frecuencia_new]]="Diaria","",IF(Tabla142[[#This Row],[frecuencia_new]]="Semanal","",IF(Tabla142[[#This Row],[frecuencia_new]]="Quincenal",RANDBETWEEN(1,2),RANDBETWEEN(1,4))))</f>
        <v>3</v>
      </c>
      <c r="H761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761" t="s">
        <v>46</v>
      </c>
      <c r="K761">
        <f>SUM(MID(Tabla142[[#This Row],[Duración]],1,2)*60,MID(Tabla142[[#This Row],[Duración]],6,2))</f>
        <v>30</v>
      </c>
      <c r="L761" s="4" t="s">
        <v>48</v>
      </c>
      <c r="M761" t="s">
        <v>239</v>
      </c>
      <c r="N761" t="s">
        <v>241</v>
      </c>
      <c r="O761" t="s">
        <v>380</v>
      </c>
      <c r="P761" t="s">
        <v>360</v>
      </c>
      <c r="Q761" s="20">
        <v>46032.649155092593</v>
      </c>
      <c r="R761" t="s">
        <v>5</v>
      </c>
      <c r="T761" t="s">
        <v>559</v>
      </c>
    </row>
    <row r="762" spans="1:20" ht="15" customHeight="1" x14ac:dyDescent="0.25">
      <c r="A762">
        <f t="shared" si="11"/>
        <v>148</v>
      </c>
      <c r="B762" t="s">
        <v>1394</v>
      </c>
      <c r="C762" t="s">
        <v>47</v>
      </c>
      <c r="D762">
        <v>104</v>
      </c>
      <c r="E7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62">
        <f ca="1">IF(Tabla142[[#This Row],[frecuencia_new]]="Diaria"," ",RANDBETWEEN(1,6))</f>
        <v>5</v>
      </c>
      <c r="G762">
        <f ca="1">IF(Tabla142[[#This Row],[frecuencia_new]]="Diaria","",IF(Tabla142[[#This Row],[frecuencia_new]]="Semanal","",IF(Tabla142[[#This Row],[frecuencia_new]]="Quincenal",RANDBETWEEN(1,2),RANDBETWEEN(1,4))))</f>
        <v>3</v>
      </c>
      <c r="H762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62" t="s">
        <v>52</v>
      </c>
      <c r="K762">
        <f>SUM(MID(Tabla142[[#This Row],[Duración]],1,2)*60,MID(Tabla142[[#This Row],[Duración]],6,2))</f>
        <v>30</v>
      </c>
      <c r="L762" s="4" t="s">
        <v>48</v>
      </c>
      <c r="M762" t="s">
        <v>239</v>
      </c>
      <c r="N762" t="s">
        <v>241</v>
      </c>
      <c r="O762" t="s">
        <v>380</v>
      </c>
      <c r="P762" t="s">
        <v>360</v>
      </c>
      <c r="Q762" s="20">
        <v>46032.649155092593</v>
      </c>
      <c r="R762" t="s">
        <v>5</v>
      </c>
      <c r="T762" t="s">
        <v>559</v>
      </c>
    </row>
    <row r="763" spans="1:20" ht="15" customHeight="1" x14ac:dyDescent="0.25">
      <c r="A763">
        <f t="shared" si="11"/>
        <v>148</v>
      </c>
      <c r="B763" t="s">
        <v>1395</v>
      </c>
      <c r="C763" t="s">
        <v>54</v>
      </c>
      <c r="D763">
        <v>104</v>
      </c>
      <c r="E7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63">
        <f ca="1">IF(Tabla142[[#This Row],[frecuencia_new]]="Diaria"," ",RANDBETWEEN(1,6))</f>
        <v>2</v>
      </c>
      <c r="G763">
        <f ca="1">IF(Tabla142[[#This Row],[frecuencia_new]]="Diaria","",IF(Tabla142[[#This Row],[frecuencia_new]]="Semanal","",IF(Tabla142[[#This Row],[frecuencia_new]]="Quincenal",RANDBETWEEN(1,2),RANDBETWEEN(1,4))))</f>
        <v>2</v>
      </c>
      <c r="H76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763" t="s">
        <v>53</v>
      </c>
      <c r="K763">
        <f>SUM(MID(Tabla142[[#This Row],[Duración]],1,2)*60,MID(Tabla142[[#This Row],[Duración]],6,2))</f>
        <v>30</v>
      </c>
      <c r="L763" s="4" t="s">
        <v>48</v>
      </c>
      <c r="M763" t="s">
        <v>239</v>
      </c>
      <c r="N763" t="s">
        <v>241</v>
      </c>
      <c r="O763" t="s">
        <v>380</v>
      </c>
      <c r="P763" t="s">
        <v>360</v>
      </c>
      <c r="Q763" s="20">
        <v>46032.649155092593</v>
      </c>
      <c r="R763" t="s">
        <v>5</v>
      </c>
      <c r="T763" t="s">
        <v>559</v>
      </c>
    </row>
    <row r="764" spans="1:20" ht="15" customHeight="1" x14ac:dyDescent="0.25">
      <c r="A764">
        <f t="shared" si="11"/>
        <v>148</v>
      </c>
      <c r="B764" t="s">
        <v>1396</v>
      </c>
      <c r="C764" t="s">
        <v>47</v>
      </c>
      <c r="D764">
        <v>104</v>
      </c>
      <c r="E7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64">
        <f ca="1">IF(Tabla142[[#This Row],[frecuencia_new]]="Diaria"," ",RANDBETWEEN(1,6))</f>
        <v>3</v>
      </c>
      <c r="G764">
        <f ca="1">IF(Tabla142[[#This Row],[frecuencia_new]]="Diaria","",IF(Tabla142[[#This Row],[frecuencia_new]]="Semanal","",IF(Tabla142[[#This Row],[frecuencia_new]]="Quincenal",RANDBETWEEN(1,2),RANDBETWEEN(1,4))))</f>
        <v>4</v>
      </c>
      <c r="H764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764" t="s">
        <v>64</v>
      </c>
      <c r="K764">
        <f>SUM(MID(Tabla142[[#This Row],[Duración]],1,2)*60,MID(Tabla142[[#This Row],[Duración]],6,2))</f>
        <v>30</v>
      </c>
      <c r="L764" s="4" t="s">
        <v>48</v>
      </c>
      <c r="M764" t="s">
        <v>239</v>
      </c>
      <c r="N764" t="s">
        <v>241</v>
      </c>
      <c r="O764" t="s">
        <v>380</v>
      </c>
      <c r="P764" t="s">
        <v>360</v>
      </c>
      <c r="Q764" s="20">
        <v>46032.649155092593</v>
      </c>
      <c r="R764" t="s">
        <v>5</v>
      </c>
      <c r="T764" t="s">
        <v>559</v>
      </c>
    </row>
    <row r="765" spans="1:20" ht="15" customHeight="1" x14ac:dyDescent="0.25">
      <c r="A765">
        <f t="shared" si="11"/>
        <v>196</v>
      </c>
      <c r="B765" t="s">
        <v>1397</v>
      </c>
      <c r="C765" s="18" t="s">
        <v>47</v>
      </c>
      <c r="D765" s="18">
        <v>104</v>
      </c>
      <c r="E7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65" t="str">
        <f ca="1">IF(Tabla142[[#This Row],[frecuencia_new]]="Diaria"," ",RANDBETWEEN(1,6))</f>
        <v xml:space="preserve"> </v>
      </c>
      <c r="G765" t="str">
        <f ca="1">IF(Tabla142[[#This Row],[frecuencia_new]]="Diaria","",IF(Tabla142[[#This Row],[frecuencia_new]]="Semanal","",IF(Tabla142[[#This Row],[frecuencia_new]]="Quincenal",RANDBETWEEN(1,2),RANDBETWEEN(1,4))))</f>
        <v/>
      </c>
      <c r="H7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65" s="18" t="s">
        <v>136</v>
      </c>
      <c r="K765" s="18">
        <f>SUM(MID(Tabla142[[#This Row],[Duración]],1,2)*60,MID(Tabla142[[#This Row],[Duración]],6,2))</f>
        <v>2</v>
      </c>
      <c r="L765" s="19" t="s">
        <v>60</v>
      </c>
      <c r="M765" s="18" t="s">
        <v>239</v>
      </c>
      <c r="N765" t="s">
        <v>241</v>
      </c>
      <c r="O765" t="s">
        <v>385</v>
      </c>
      <c r="P765" t="s">
        <v>361</v>
      </c>
      <c r="Q765" s="20">
        <v>46032.649155092593</v>
      </c>
      <c r="R765" s="18" t="s">
        <v>6</v>
      </c>
      <c r="T765" t="s">
        <v>607</v>
      </c>
    </row>
    <row r="766" spans="1:20" ht="15" customHeight="1" x14ac:dyDescent="0.25">
      <c r="A766">
        <f t="shared" si="11"/>
        <v>196</v>
      </c>
      <c r="B766" t="s">
        <v>1398</v>
      </c>
      <c r="C766" s="18" t="s">
        <v>47</v>
      </c>
      <c r="D766" s="18">
        <v>104</v>
      </c>
      <c r="E7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66" t="str">
        <f ca="1">IF(Tabla142[[#This Row],[frecuencia_new]]="Diaria"," ",RANDBETWEEN(1,6))</f>
        <v xml:space="preserve"> </v>
      </c>
      <c r="G766" t="str">
        <f ca="1">IF(Tabla142[[#This Row],[frecuencia_new]]="Diaria","",IF(Tabla142[[#This Row],[frecuencia_new]]="Semanal","",IF(Tabla142[[#This Row],[frecuencia_new]]="Quincenal",RANDBETWEEN(1,2),RANDBETWEEN(1,4))))</f>
        <v/>
      </c>
      <c r="H7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66" s="18" t="s">
        <v>139</v>
      </c>
      <c r="K766" s="18">
        <f>SUM(MID(Tabla142[[#This Row],[Duración]],1,2)*60,MID(Tabla142[[#This Row],[Duración]],6,2))</f>
        <v>2</v>
      </c>
      <c r="L766" s="19" t="s">
        <v>60</v>
      </c>
      <c r="M766" s="18" t="s">
        <v>239</v>
      </c>
      <c r="N766" t="s">
        <v>241</v>
      </c>
      <c r="O766" t="s">
        <v>385</v>
      </c>
      <c r="P766" t="s">
        <v>361</v>
      </c>
      <c r="Q766" s="20">
        <v>46032.649155092593</v>
      </c>
      <c r="R766" s="18" t="s">
        <v>6</v>
      </c>
      <c r="T766" t="s">
        <v>607</v>
      </c>
    </row>
    <row r="767" spans="1:20" ht="15" customHeight="1" x14ac:dyDescent="0.25">
      <c r="A767">
        <f t="shared" si="11"/>
        <v>196</v>
      </c>
      <c r="B767" t="s">
        <v>1399</v>
      </c>
      <c r="C767" s="18" t="s">
        <v>47</v>
      </c>
      <c r="D767" s="18">
        <v>104</v>
      </c>
      <c r="E7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67" t="str">
        <f ca="1">IF(Tabla142[[#This Row],[frecuencia_new]]="Diaria"," ",RANDBETWEEN(1,6))</f>
        <v xml:space="preserve"> </v>
      </c>
      <c r="G767" t="str">
        <f ca="1">IF(Tabla142[[#This Row],[frecuencia_new]]="Diaria","",IF(Tabla142[[#This Row],[frecuencia_new]]="Semanal","",IF(Tabla142[[#This Row],[frecuencia_new]]="Quincenal",RANDBETWEEN(1,2),RANDBETWEEN(1,4))))</f>
        <v/>
      </c>
      <c r="H7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67" s="18" t="s">
        <v>372</v>
      </c>
      <c r="K767" s="18">
        <f>SUM(MID(Tabla142[[#This Row],[Duración]],1,2)*60,MID(Tabla142[[#This Row],[Duración]],6,2))</f>
        <v>2</v>
      </c>
      <c r="L767" s="19" t="s">
        <v>60</v>
      </c>
      <c r="M767" s="18" t="s">
        <v>239</v>
      </c>
      <c r="N767" t="s">
        <v>241</v>
      </c>
      <c r="O767" t="s">
        <v>385</v>
      </c>
      <c r="P767" t="s">
        <v>361</v>
      </c>
      <c r="Q767" s="20">
        <v>46032.649155092593</v>
      </c>
      <c r="R767" s="18" t="s">
        <v>6</v>
      </c>
      <c r="T767" t="s">
        <v>607</v>
      </c>
    </row>
    <row r="768" spans="1:20" ht="15" customHeight="1" x14ac:dyDescent="0.25">
      <c r="A768">
        <f t="shared" si="11"/>
        <v>90</v>
      </c>
      <c r="B768" t="s">
        <v>1400</v>
      </c>
      <c r="C768" t="s">
        <v>47</v>
      </c>
      <c r="D768">
        <v>109</v>
      </c>
      <c r="E7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68">
        <f ca="1">IF(Tabla142[[#This Row],[frecuencia_new]]="Diaria"," ",RANDBETWEEN(1,6))</f>
        <v>5</v>
      </c>
      <c r="G768">
        <f ca="1">IF(Tabla142[[#This Row],[frecuencia_new]]="Diaria","",IF(Tabla142[[#This Row],[frecuencia_new]]="Semanal","",IF(Tabla142[[#This Row],[frecuencia_new]]="Quincenal",RANDBETWEEN(1,2),RANDBETWEEN(1,4))))</f>
        <v>4</v>
      </c>
      <c r="H7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68" t="s">
        <v>66</v>
      </c>
      <c r="K768">
        <f>SUM(MID(Tabla142[[#This Row],[Duración]],1,2)*60,MID(Tabla142[[#This Row],[Duración]],6,2))</f>
        <v>20</v>
      </c>
      <c r="L768" s="4" t="s">
        <v>82</v>
      </c>
      <c r="M768" t="s">
        <v>239</v>
      </c>
      <c r="N768" t="s">
        <v>241</v>
      </c>
      <c r="O768" t="s">
        <v>382</v>
      </c>
      <c r="P768" t="s">
        <v>363</v>
      </c>
      <c r="Q768" s="20">
        <v>46032.649155092593</v>
      </c>
      <c r="R768" t="s">
        <v>7</v>
      </c>
      <c r="T768" t="s">
        <v>501</v>
      </c>
    </row>
    <row r="769" spans="1:20" ht="15" customHeight="1" x14ac:dyDescent="0.25">
      <c r="A769">
        <f t="shared" si="11"/>
        <v>90</v>
      </c>
      <c r="B769" t="s">
        <v>1401</v>
      </c>
      <c r="C769" t="s">
        <v>47</v>
      </c>
      <c r="D769">
        <v>109</v>
      </c>
      <c r="E7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69">
        <f ca="1">IF(Tabla142[[#This Row],[frecuencia_new]]="Diaria"," ",RANDBETWEEN(1,6))</f>
        <v>1</v>
      </c>
      <c r="G769">
        <f ca="1">IF(Tabla142[[#This Row],[frecuencia_new]]="Diaria","",IF(Tabla142[[#This Row],[frecuencia_new]]="Semanal","",IF(Tabla142[[#This Row],[frecuencia_new]]="Quincenal",RANDBETWEEN(1,2),RANDBETWEEN(1,4))))</f>
        <v>2</v>
      </c>
      <c r="H7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69" t="s">
        <v>161</v>
      </c>
      <c r="K769">
        <f>SUM(MID(Tabla142[[#This Row],[Duración]],1,2)*60,MID(Tabla142[[#This Row],[Duración]],6,2))</f>
        <v>20</v>
      </c>
      <c r="L769" s="4" t="s">
        <v>82</v>
      </c>
      <c r="M769" t="s">
        <v>239</v>
      </c>
      <c r="N769" t="s">
        <v>241</v>
      </c>
      <c r="O769" t="s">
        <v>382</v>
      </c>
      <c r="P769" t="s">
        <v>363</v>
      </c>
      <c r="Q769" s="20">
        <v>46032.649155092593</v>
      </c>
      <c r="R769" t="s">
        <v>7</v>
      </c>
      <c r="T769" t="s">
        <v>501</v>
      </c>
    </row>
    <row r="770" spans="1:20" ht="15" customHeight="1" x14ac:dyDescent="0.25">
      <c r="A770">
        <f t="shared" ref="A770:A833" si="12">VLOOKUP(T770,$V$2:$W$222,2,FALSE)</f>
        <v>90</v>
      </c>
      <c r="B770" t="s">
        <v>1402</v>
      </c>
      <c r="C770" t="s">
        <v>47</v>
      </c>
      <c r="D770">
        <v>109</v>
      </c>
      <c r="E7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70">
        <f ca="1">IF(Tabla142[[#This Row],[frecuencia_new]]="Diaria"," ",RANDBETWEEN(1,6))</f>
        <v>1</v>
      </c>
      <c r="G770">
        <f ca="1">IF(Tabla142[[#This Row],[frecuencia_new]]="Diaria","",IF(Tabla142[[#This Row],[frecuencia_new]]="Semanal","",IF(Tabla142[[#This Row],[frecuencia_new]]="Quincenal",RANDBETWEEN(1,2),RANDBETWEEN(1,4))))</f>
        <v>2</v>
      </c>
      <c r="H7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0" t="s">
        <v>134</v>
      </c>
      <c r="K770">
        <f>SUM(MID(Tabla142[[#This Row],[Duración]],1,2)*60,MID(Tabla142[[#This Row],[Duración]],6,2))</f>
        <v>10</v>
      </c>
      <c r="L770" s="4" t="s">
        <v>71</v>
      </c>
      <c r="M770" t="s">
        <v>239</v>
      </c>
      <c r="N770" t="s">
        <v>241</v>
      </c>
      <c r="O770" t="s">
        <v>382</v>
      </c>
      <c r="P770" t="s">
        <v>363</v>
      </c>
      <c r="Q770" s="20">
        <v>46032.649155092593</v>
      </c>
      <c r="R770" t="s">
        <v>7</v>
      </c>
      <c r="T770" t="s">
        <v>501</v>
      </c>
    </row>
    <row r="771" spans="1:20" ht="15" customHeight="1" x14ac:dyDescent="0.25">
      <c r="A771">
        <f t="shared" si="12"/>
        <v>90</v>
      </c>
      <c r="B771" t="s">
        <v>1403</v>
      </c>
      <c r="C771" t="s">
        <v>47</v>
      </c>
      <c r="D771">
        <v>109</v>
      </c>
      <c r="E7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71">
        <f ca="1">IF(Tabla142[[#This Row],[frecuencia_new]]="Diaria"," ",RANDBETWEEN(1,6))</f>
        <v>6</v>
      </c>
      <c r="G771">
        <f ca="1">IF(Tabla142[[#This Row],[frecuencia_new]]="Diaria","",IF(Tabla142[[#This Row],[frecuencia_new]]="Semanal","",IF(Tabla142[[#This Row],[frecuencia_new]]="Quincenal",RANDBETWEEN(1,2),RANDBETWEEN(1,4))))</f>
        <v>4</v>
      </c>
      <c r="H7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1" t="s">
        <v>164</v>
      </c>
      <c r="K771">
        <f>SUM(MID(Tabla142[[#This Row],[Duración]],1,2)*60,MID(Tabla142[[#This Row],[Duración]],6,2))</f>
        <v>20</v>
      </c>
      <c r="L771" s="4" t="s">
        <v>82</v>
      </c>
      <c r="M771" t="s">
        <v>239</v>
      </c>
      <c r="N771" t="s">
        <v>241</v>
      </c>
      <c r="O771" t="s">
        <v>382</v>
      </c>
      <c r="P771" t="s">
        <v>363</v>
      </c>
      <c r="Q771" s="20">
        <v>46032.649155092593</v>
      </c>
      <c r="R771" t="s">
        <v>7</v>
      </c>
      <c r="T771" t="s">
        <v>501</v>
      </c>
    </row>
    <row r="772" spans="1:20" ht="15" customHeight="1" x14ac:dyDescent="0.25">
      <c r="A772">
        <f t="shared" si="12"/>
        <v>90</v>
      </c>
      <c r="B772" t="s">
        <v>1404</v>
      </c>
      <c r="C772" t="s">
        <v>47</v>
      </c>
      <c r="D772">
        <v>109</v>
      </c>
      <c r="E7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72">
        <f ca="1">IF(Tabla142[[#This Row],[frecuencia_new]]="Diaria"," ",RANDBETWEEN(1,6))</f>
        <v>4</v>
      </c>
      <c r="G772" t="str">
        <f ca="1">IF(Tabla142[[#This Row],[frecuencia_new]]="Diaria","",IF(Tabla142[[#This Row],[frecuencia_new]]="Semanal","",IF(Tabla142[[#This Row],[frecuencia_new]]="Quincenal",RANDBETWEEN(1,2),RANDBETWEEN(1,4))))</f>
        <v/>
      </c>
      <c r="H7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2" t="s">
        <v>80</v>
      </c>
      <c r="K772">
        <f>SUM(MID(Tabla142[[#This Row],[Duración]],1,2)*60,MID(Tabla142[[#This Row],[Duración]],6,2))</f>
        <v>20</v>
      </c>
      <c r="L772" s="4" t="s">
        <v>82</v>
      </c>
      <c r="M772" t="s">
        <v>239</v>
      </c>
      <c r="N772" t="s">
        <v>241</v>
      </c>
      <c r="O772" t="s">
        <v>382</v>
      </c>
      <c r="P772" t="s">
        <v>363</v>
      </c>
      <c r="Q772" s="20">
        <v>46032.649155092593</v>
      </c>
      <c r="R772" t="s">
        <v>8</v>
      </c>
      <c r="T772" t="s">
        <v>501</v>
      </c>
    </row>
    <row r="773" spans="1:20" x14ac:dyDescent="0.25">
      <c r="A773">
        <f t="shared" si="12"/>
        <v>90</v>
      </c>
      <c r="B773" t="s">
        <v>1405</v>
      </c>
      <c r="C773" t="s">
        <v>47</v>
      </c>
      <c r="D773">
        <v>109</v>
      </c>
      <c r="E7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773">
        <f ca="1">IF(Tabla142[[#This Row],[frecuencia_new]]="Diaria"," ",RANDBETWEEN(1,6))</f>
        <v>5</v>
      </c>
      <c r="G773">
        <f ca="1">IF(Tabla142[[#This Row],[frecuencia_new]]="Diaria","",IF(Tabla142[[#This Row],[frecuencia_new]]="Semanal","",IF(Tabla142[[#This Row],[frecuencia_new]]="Quincenal",RANDBETWEEN(1,2),RANDBETWEEN(1,4))))</f>
        <v>1</v>
      </c>
      <c r="H77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773" t="s">
        <v>166</v>
      </c>
      <c r="K773">
        <f>SUM(MID(Tabla142[[#This Row],[Duración]],1,2)*60,MID(Tabla142[[#This Row],[Duración]],6,2))</f>
        <v>240</v>
      </c>
      <c r="L773" s="4" t="s">
        <v>167</v>
      </c>
      <c r="M773" t="s">
        <v>239</v>
      </c>
      <c r="N773" t="s">
        <v>241</v>
      </c>
      <c r="O773" t="s">
        <v>382</v>
      </c>
      <c r="P773" t="s">
        <v>363</v>
      </c>
      <c r="Q773" s="20">
        <v>46032.649155092593</v>
      </c>
      <c r="R773" t="s">
        <v>20</v>
      </c>
      <c r="T773" t="s">
        <v>501</v>
      </c>
    </row>
    <row r="774" spans="1:20" ht="15" customHeight="1" x14ac:dyDescent="0.25">
      <c r="A774">
        <f t="shared" si="12"/>
        <v>90</v>
      </c>
      <c r="B774" t="s">
        <v>1406</v>
      </c>
      <c r="C774" t="s">
        <v>47</v>
      </c>
      <c r="D774">
        <v>109</v>
      </c>
      <c r="E7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74">
        <f ca="1">IF(Tabla142[[#This Row],[frecuencia_new]]="Diaria"," ",RANDBETWEEN(1,6))</f>
        <v>2</v>
      </c>
      <c r="G774">
        <f ca="1">IF(Tabla142[[#This Row],[frecuencia_new]]="Diaria","",IF(Tabla142[[#This Row],[frecuencia_new]]="Semanal","",IF(Tabla142[[#This Row],[frecuencia_new]]="Quincenal",RANDBETWEEN(1,2),RANDBETWEEN(1,4))))</f>
        <v>1</v>
      </c>
      <c r="H77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4" t="s">
        <v>168</v>
      </c>
      <c r="K774">
        <f>SUM(MID(Tabla142[[#This Row],[Duración]],1,2)*60,MID(Tabla142[[#This Row],[Duración]],6,2))</f>
        <v>10</v>
      </c>
      <c r="L774" s="4" t="s">
        <v>71</v>
      </c>
      <c r="M774" t="s">
        <v>239</v>
      </c>
      <c r="N774" t="s">
        <v>241</v>
      </c>
      <c r="O774" t="s">
        <v>382</v>
      </c>
      <c r="P774" t="s">
        <v>363</v>
      </c>
      <c r="Q774" s="20">
        <v>46032.649155092593</v>
      </c>
      <c r="R774" t="s">
        <v>7</v>
      </c>
      <c r="T774" t="s">
        <v>501</v>
      </c>
    </row>
    <row r="775" spans="1:20" ht="15" customHeight="1" x14ac:dyDescent="0.25">
      <c r="A775">
        <f t="shared" si="12"/>
        <v>90</v>
      </c>
      <c r="B775" t="s">
        <v>1407</v>
      </c>
      <c r="C775" t="s">
        <v>47</v>
      </c>
      <c r="D775">
        <v>109</v>
      </c>
      <c r="E7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75">
        <f ca="1">IF(Tabla142[[#This Row],[frecuencia_new]]="Diaria"," ",RANDBETWEEN(1,6))</f>
        <v>1</v>
      </c>
      <c r="G775" t="str">
        <f ca="1">IF(Tabla142[[#This Row],[frecuencia_new]]="Diaria","",IF(Tabla142[[#This Row],[frecuencia_new]]="Semanal","",IF(Tabla142[[#This Row],[frecuencia_new]]="Quincenal",RANDBETWEEN(1,2),RANDBETWEEN(1,4))))</f>
        <v/>
      </c>
      <c r="H77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5" t="s">
        <v>57</v>
      </c>
      <c r="K775">
        <f>SUM(MID(Tabla142[[#This Row],[Duración]],1,2)*60,MID(Tabla142[[#This Row],[Duración]],6,2))</f>
        <v>20</v>
      </c>
      <c r="L775" s="4" t="s">
        <v>82</v>
      </c>
      <c r="M775" t="s">
        <v>239</v>
      </c>
      <c r="N775" t="s">
        <v>241</v>
      </c>
      <c r="O775" t="s">
        <v>382</v>
      </c>
      <c r="P775" t="s">
        <v>363</v>
      </c>
      <c r="Q775" s="20">
        <v>46032.649155092593</v>
      </c>
      <c r="R775" t="s">
        <v>8</v>
      </c>
      <c r="T775" t="s">
        <v>501</v>
      </c>
    </row>
    <row r="776" spans="1:20" ht="15" customHeight="1" x14ac:dyDescent="0.25">
      <c r="A776">
        <f t="shared" si="12"/>
        <v>104</v>
      </c>
      <c r="B776" t="s">
        <v>1408</v>
      </c>
      <c r="C776" t="s">
        <v>47</v>
      </c>
      <c r="D776">
        <v>109</v>
      </c>
      <c r="E7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76" t="str">
        <f ca="1">IF(Tabla142[[#This Row],[frecuencia_new]]="Diaria"," ",RANDBETWEEN(1,6))</f>
        <v xml:space="preserve"> </v>
      </c>
      <c r="G776" t="str">
        <f ca="1">IF(Tabla142[[#This Row],[frecuencia_new]]="Diaria","",IF(Tabla142[[#This Row],[frecuencia_new]]="Semanal","",IF(Tabla142[[#This Row],[frecuencia_new]]="Quincenal",RANDBETWEEN(1,2),RANDBETWEEN(1,4))))</f>
        <v/>
      </c>
      <c r="H7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6" t="s">
        <v>165</v>
      </c>
      <c r="K776">
        <f>SUM(MID(Tabla142[[#This Row],[Duración]],1,2)*60,MID(Tabla142[[#This Row],[Duración]],6,2))</f>
        <v>5</v>
      </c>
      <c r="L776" s="4" t="s">
        <v>50</v>
      </c>
      <c r="M776" t="s">
        <v>239</v>
      </c>
      <c r="N776" t="s">
        <v>241</v>
      </c>
      <c r="O776" t="s">
        <v>387</v>
      </c>
      <c r="P776" t="s">
        <v>361</v>
      </c>
      <c r="Q776" s="20">
        <v>46032.649155092593</v>
      </c>
      <c r="R776" t="s">
        <v>6</v>
      </c>
      <c r="T776" t="s">
        <v>515</v>
      </c>
    </row>
    <row r="777" spans="1:20" ht="15" customHeight="1" x14ac:dyDescent="0.25">
      <c r="A777">
        <f t="shared" si="12"/>
        <v>150</v>
      </c>
      <c r="B777" t="s">
        <v>1409</v>
      </c>
      <c r="C777" t="s">
        <v>47</v>
      </c>
      <c r="D777">
        <v>109</v>
      </c>
      <c r="E7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77">
        <f ca="1">IF(Tabla142[[#This Row],[frecuencia_new]]="Diaria"," ",RANDBETWEEN(1,6))</f>
        <v>4</v>
      </c>
      <c r="G777">
        <f ca="1">IF(Tabla142[[#This Row],[frecuencia_new]]="Diaria","",IF(Tabla142[[#This Row],[frecuencia_new]]="Semanal","",IF(Tabla142[[#This Row],[frecuencia_new]]="Quincenal",RANDBETWEEN(1,2),RANDBETWEEN(1,4))))</f>
        <v>3</v>
      </c>
      <c r="H777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777" t="s">
        <v>46</v>
      </c>
      <c r="K777">
        <f>SUM(MID(Tabla142[[#This Row],[Duración]],1,2)*60,MID(Tabla142[[#This Row],[Duración]],6,2))</f>
        <v>30</v>
      </c>
      <c r="L777" s="4" t="s">
        <v>48</v>
      </c>
      <c r="M777" t="s">
        <v>239</v>
      </c>
      <c r="N777" t="s">
        <v>241</v>
      </c>
      <c r="O777" t="s">
        <v>380</v>
      </c>
      <c r="P777" t="s">
        <v>360</v>
      </c>
      <c r="Q777" s="20">
        <v>46032.649155092593</v>
      </c>
      <c r="R777" t="s">
        <v>5</v>
      </c>
      <c r="T777" t="s">
        <v>561</v>
      </c>
    </row>
    <row r="778" spans="1:20" ht="15" customHeight="1" x14ac:dyDescent="0.25">
      <c r="A778">
        <f t="shared" si="12"/>
        <v>150</v>
      </c>
      <c r="B778" t="s">
        <v>1410</v>
      </c>
      <c r="C778" t="s">
        <v>47</v>
      </c>
      <c r="D778">
        <v>109</v>
      </c>
      <c r="E7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78">
        <f ca="1">IF(Tabla142[[#This Row],[frecuencia_new]]="Diaria"," ",RANDBETWEEN(1,6))</f>
        <v>3</v>
      </c>
      <c r="G778">
        <f ca="1">IF(Tabla142[[#This Row],[frecuencia_new]]="Diaria","",IF(Tabla142[[#This Row],[frecuencia_new]]="Semanal","",IF(Tabla142[[#This Row],[frecuencia_new]]="Quincenal",RANDBETWEEN(1,2),RANDBETWEEN(1,4))))</f>
        <v>1</v>
      </c>
      <c r="H7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78" t="s">
        <v>98</v>
      </c>
      <c r="K778">
        <f>SUM(MID(Tabla142[[#This Row],[Duración]],1,2)*60,MID(Tabla142[[#This Row],[Duración]],6,2))</f>
        <v>20</v>
      </c>
      <c r="L778" s="4" t="s">
        <v>82</v>
      </c>
      <c r="M778" t="s">
        <v>239</v>
      </c>
      <c r="N778" t="s">
        <v>241</v>
      </c>
      <c r="O778" t="s">
        <v>380</v>
      </c>
      <c r="P778" t="s">
        <v>360</v>
      </c>
      <c r="Q778" s="20">
        <v>46032.649155092593</v>
      </c>
      <c r="R778" t="s">
        <v>7</v>
      </c>
      <c r="T778" t="s">
        <v>561</v>
      </c>
    </row>
    <row r="779" spans="1:20" ht="15" customHeight="1" x14ac:dyDescent="0.25">
      <c r="A779">
        <f t="shared" si="12"/>
        <v>150</v>
      </c>
      <c r="B779" t="s">
        <v>1411</v>
      </c>
      <c r="C779" t="s">
        <v>47</v>
      </c>
      <c r="D779">
        <v>109</v>
      </c>
      <c r="E7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79">
        <f ca="1">IF(Tabla142[[#This Row],[frecuencia_new]]="Diaria"," ",RANDBETWEEN(1,6))</f>
        <v>2</v>
      </c>
      <c r="G779">
        <f ca="1">IF(Tabla142[[#This Row],[frecuencia_new]]="Diaria","",IF(Tabla142[[#This Row],[frecuencia_new]]="Semanal","",IF(Tabla142[[#This Row],[frecuencia_new]]="Quincenal",RANDBETWEEN(1,2),RANDBETWEEN(1,4))))</f>
        <v>2</v>
      </c>
      <c r="H779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79" t="s">
        <v>52</v>
      </c>
      <c r="K779">
        <f>SUM(MID(Tabla142[[#This Row],[Duración]],1,2)*60,MID(Tabla142[[#This Row],[Duración]],6,2))</f>
        <v>30</v>
      </c>
      <c r="L779" s="4" t="s">
        <v>48</v>
      </c>
      <c r="M779" t="s">
        <v>239</v>
      </c>
      <c r="N779" t="s">
        <v>241</v>
      </c>
      <c r="O779" t="s">
        <v>380</v>
      </c>
      <c r="P779" t="s">
        <v>360</v>
      </c>
      <c r="Q779" s="20">
        <v>46032.649155092593</v>
      </c>
      <c r="R779" t="s">
        <v>5</v>
      </c>
      <c r="T779" t="s">
        <v>561</v>
      </c>
    </row>
    <row r="780" spans="1:20" ht="15" customHeight="1" x14ac:dyDescent="0.25">
      <c r="A780">
        <f t="shared" si="12"/>
        <v>150</v>
      </c>
      <c r="B780" t="s">
        <v>1412</v>
      </c>
      <c r="C780" t="s">
        <v>54</v>
      </c>
      <c r="D780">
        <v>109</v>
      </c>
      <c r="E7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80">
        <f ca="1">IF(Tabla142[[#This Row],[frecuencia_new]]="Diaria"," ",RANDBETWEEN(1,6))</f>
        <v>1</v>
      </c>
      <c r="G780">
        <f ca="1">IF(Tabla142[[#This Row],[frecuencia_new]]="Diaria","",IF(Tabla142[[#This Row],[frecuencia_new]]="Semanal","",IF(Tabla142[[#This Row],[frecuencia_new]]="Quincenal",RANDBETWEEN(1,2),RANDBETWEEN(1,4))))</f>
        <v>1</v>
      </c>
      <c r="H780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780" t="s">
        <v>53</v>
      </c>
      <c r="K780">
        <f>SUM(MID(Tabla142[[#This Row],[Duración]],1,2)*60,MID(Tabla142[[#This Row],[Duración]],6,2))</f>
        <v>30</v>
      </c>
      <c r="L780" s="4" t="s">
        <v>48</v>
      </c>
      <c r="M780" t="s">
        <v>239</v>
      </c>
      <c r="N780" t="s">
        <v>241</v>
      </c>
      <c r="O780" t="s">
        <v>380</v>
      </c>
      <c r="P780" t="s">
        <v>360</v>
      </c>
      <c r="Q780" s="20">
        <v>46032.649155092593</v>
      </c>
      <c r="R780" t="s">
        <v>5</v>
      </c>
      <c r="T780" t="s">
        <v>561</v>
      </c>
    </row>
    <row r="781" spans="1:20" ht="15" customHeight="1" x14ac:dyDescent="0.25">
      <c r="A781">
        <f t="shared" si="12"/>
        <v>150</v>
      </c>
      <c r="B781" t="s">
        <v>1413</v>
      </c>
      <c r="C781" t="s">
        <v>47</v>
      </c>
      <c r="D781">
        <v>109</v>
      </c>
      <c r="E7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81">
        <f ca="1">IF(Tabla142[[#This Row],[frecuencia_new]]="Diaria"," ",RANDBETWEEN(1,6))</f>
        <v>2</v>
      </c>
      <c r="G781">
        <f ca="1">IF(Tabla142[[#This Row],[frecuencia_new]]="Diaria","",IF(Tabla142[[#This Row],[frecuencia_new]]="Semanal","",IF(Tabla142[[#This Row],[frecuencia_new]]="Quincenal",RANDBETWEEN(1,2),RANDBETWEEN(1,4))))</f>
        <v>2</v>
      </c>
      <c r="H781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781" t="s">
        <v>64</v>
      </c>
      <c r="K781">
        <f>SUM(MID(Tabla142[[#This Row],[Duración]],1,2)*60,MID(Tabla142[[#This Row],[Duración]],6,2))</f>
        <v>30</v>
      </c>
      <c r="L781" s="4" t="s">
        <v>48</v>
      </c>
      <c r="M781" t="s">
        <v>239</v>
      </c>
      <c r="N781" t="s">
        <v>241</v>
      </c>
      <c r="O781" t="s">
        <v>380</v>
      </c>
      <c r="P781" t="s">
        <v>360</v>
      </c>
      <c r="Q781" s="20">
        <v>46032.649155092593</v>
      </c>
      <c r="R781" t="s">
        <v>5</v>
      </c>
      <c r="T781" t="s">
        <v>561</v>
      </c>
    </row>
    <row r="782" spans="1:20" ht="15" customHeight="1" x14ac:dyDescent="0.25">
      <c r="A782">
        <f t="shared" si="12"/>
        <v>197</v>
      </c>
      <c r="B782" t="s">
        <v>1414</v>
      </c>
      <c r="C782" s="18" t="s">
        <v>47</v>
      </c>
      <c r="D782" s="18">
        <v>109</v>
      </c>
      <c r="E7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82" t="str">
        <f ca="1">IF(Tabla142[[#This Row],[frecuencia_new]]="Diaria"," ",RANDBETWEEN(1,6))</f>
        <v xml:space="preserve"> </v>
      </c>
      <c r="G782" t="str">
        <f ca="1">IF(Tabla142[[#This Row],[frecuencia_new]]="Diaria","",IF(Tabla142[[#This Row],[frecuencia_new]]="Semanal","",IF(Tabla142[[#This Row],[frecuencia_new]]="Quincenal",RANDBETWEEN(1,2),RANDBETWEEN(1,4))))</f>
        <v/>
      </c>
      <c r="H7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2" s="18" t="s">
        <v>162</v>
      </c>
      <c r="K782" s="18">
        <f>SUM(MID(Tabla142[[#This Row],[Duración]],1,2)*60,MID(Tabla142[[#This Row],[Duración]],6,2))</f>
        <v>5</v>
      </c>
      <c r="L782" s="19" t="s">
        <v>50</v>
      </c>
      <c r="M782" s="18" t="s">
        <v>239</v>
      </c>
      <c r="N782" t="s">
        <v>241</v>
      </c>
      <c r="O782" t="s">
        <v>385</v>
      </c>
      <c r="P782" t="s">
        <v>361</v>
      </c>
      <c r="Q782" s="20">
        <v>46032.649155092593</v>
      </c>
      <c r="R782" s="18" t="s">
        <v>6</v>
      </c>
      <c r="T782" t="s">
        <v>608</v>
      </c>
    </row>
    <row r="783" spans="1:20" ht="15" customHeight="1" x14ac:dyDescent="0.25">
      <c r="A783">
        <f t="shared" si="12"/>
        <v>197</v>
      </c>
      <c r="B783" t="s">
        <v>1415</v>
      </c>
      <c r="C783" s="18" t="s">
        <v>47</v>
      </c>
      <c r="D783" s="18">
        <v>109</v>
      </c>
      <c r="E7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783" t="str">
        <f ca="1">IF(Tabla142[[#This Row],[frecuencia_new]]="Diaria"," ",RANDBETWEEN(1,6))</f>
        <v xml:space="preserve"> </v>
      </c>
      <c r="G783" t="str">
        <f ca="1">IF(Tabla142[[#This Row],[frecuencia_new]]="Diaria","",IF(Tabla142[[#This Row],[frecuencia_new]]="Semanal","",IF(Tabla142[[#This Row],[frecuencia_new]]="Quincenal",RANDBETWEEN(1,2),RANDBETWEEN(1,4))))</f>
        <v/>
      </c>
      <c r="H7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3" s="18" t="s">
        <v>163</v>
      </c>
      <c r="K783" s="18">
        <f>SUM(MID(Tabla142[[#This Row],[Duración]],1,2)*60,MID(Tabla142[[#This Row],[Duración]],6,2))</f>
        <v>5</v>
      </c>
      <c r="L783" s="19" t="s">
        <v>50</v>
      </c>
      <c r="M783" s="18" t="s">
        <v>239</v>
      </c>
      <c r="N783" t="s">
        <v>241</v>
      </c>
      <c r="O783" t="s">
        <v>385</v>
      </c>
      <c r="P783" t="s">
        <v>361</v>
      </c>
      <c r="Q783" s="20">
        <v>46032.649155092593</v>
      </c>
      <c r="R783" s="18" t="s">
        <v>6</v>
      </c>
      <c r="T783" t="s">
        <v>608</v>
      </c>
    </row>
    <row r="784" spans="1:20" ht="15" customHeight="1" x14ac:dyDescent="0.25">
      <c r="A784">
        <f t="shared" si="12"/>
        <v>93</v>
      </c>
      <c r="B784" t="s">
        <v>1416</v>
      </c>
      <c r="C784" t="s">
        <v>47</v>
      </c>
      <c r="D784">
        <v>133</v>
      </c>
      <c r="E7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784">
        <f ca="1">IF(Tabla142[[#This Row],[frecuencia_new]]="Diaria"," ",RANDBETWEEN(1,6))</f>
        <v>2</v>
      </c>
      <c r="G784">
        <f ca="1">IF(Tabla142[[#This Row],[frecuencia_new]]="Diaria","",IF(Tabla142[[#This Row],[frecuencia_new]]="Semanal","",IF(Tabla142[[#This Row],[frecuencia_new]]="Quincenal",RANDBETWEEN(1,2),RANDBETWEEN(1,4))))</f>
        <v>3</v>
      </c>
      <c r="H784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784" t="s">
        <v>187</v>
      </c>
      <c r="K784">
        <f>SUM(MID(Tabla142[[#This Row],[Duración]],1,2)*60,MID(Tabla142[[#This Row],[Duración]],6,2))</f>
        <v>30</v>
      </c>
      <c r="L784" s="4" t="s">
        <v>48</v>
      </c>
      <c r="M784" t="s">
        <v>239</v>
      </c>
      <c r="N784" t="s">
        <v>241</v>
      </c>
      <c r="O784" t="s">
        <v>382</v>
      </c>
      <c r="P784" t="s">
        <v>363</v>
      </c>
      <c r="Q784" s="20">
        <v>46032.649155092593</v>
      </c>
      <c r="R784" t="s">
        <v>18</v>
      </c>
      <c r="T784" t="s">
        <v>504</v>
      </c>
    </row>
    <row r="785" spans="1:20" ht="15" customHeight="1" x14ac:dyDescent="0.25">
      <c r="A785">
        <f t="shared" si="12"/>
        <v>93</v>
      </c>
      <c r="B785" t="s">
        <v>1417</v>
      </c>
      <c r="C785" t="s">
        <v>47</v>
      </c>
      <c r="D785">
        <v>133</v>
      </c>
      <c r="E7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785">
        <f ca="1">IF(Tabla142[[#This Row],[frecuencia_new]]="Diaria"," ",RANDBETWEEN(1,6))</f>
        <v>4</v>
      </c>
      <c r="G785" t="str">
        <f ca="1">IF(Tabla142[[#This Row],[frecuencia_new]]="Diaria","",IF(Tabla142[[#This Row],[frecuencia_new]]="Semanal","",IF(Tabla142[[#This Row],[frecuencia_new]]="Quincenal",RANDBETWEEN(1,2),RANDBETWEEN(1,4))))</f>
        <v/>
      </c>
      <c r="H7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5" t="s">
        <v>188</v>
      </c>
      <c r="K785">
        <f>SUM(MID(Tabla142[[#This Row],[Duración]],1,2)*60,MID(Tabla142[[#This Row],[Duración]],6,2))</f>
        <v>10</v>
      </c>
      <c r="L785" s="4" t="s">
        <v>71</v>
      </c>
      <c r="M785" t="s">
        <v>239</v>
      </c>
      <c r="N785" t="s">
        <v>241</v>
      </c>
      <c r="O785" t="s">
        <v>382</v>
      </c>
      <c r="P785" t="s">
        <v>363</v>
      </c>
      <c r="Q785" s="20">
        <v>46032.649155092593</v>
      </c>
      <c r="R785" t="s">
        <v>8</v>
      </c>
      <c r="T785" t="s">
        <v>504</v>
      </c>
    </row>
    <row r="786" spans="1:20" ht="15" customHeight="1" x14ac:dyDescent="0.25">
      <c r="A786">
        <f t="shared" si="12"/>
        <v>93</v>
      </c>
      <c r="B786" t="s">
        <v>1418</v>
      </c>
      <c r="C786" t="s">
        <v>47</v>
      </c>
      <c r="D786">
        <v>133</v>
      </c>
      <c r="E7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86">
        <f ca="1">IF(Tabla142[[#This Row],[frecuencia_new]]="Diaria"," ",RANDBETWEEN(1,6))</f>
        <v>3</v>
      </c>
      <c r="G786">
        <f ca="1">IF(Tabla142[[#This Row],[frecuencia_new]]="Diaria","",IF(Tabla142[[#This Row],[frecuencia_new]]="Semanal","",IF(Tabla142[[#This Row],[frecuencia_new]]="Quincenal",RANDBETWEEN(1,2),RANDBETWEEN(1,4))))</f>
        <v>3</v>
      </c>
      <c r="H78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6" t="s">
        <v>189</v>
      </c>
      <c r="K786">
        <f>SUM(MID(Tabla142[[#This Row],[Duración]],1,2)*60,MID(Tabla142[[#This Row],[Duración]],6,2))</f>
        <v>15</v>
      </c>
      <c r="L786" s="4" t="s">
        <v>77</v>
      </c>
      <c r="M786" t="s">
        <v>239</v>
      </c>
      <c r="N786" t="s">
        <v>241</v>
      </c>
      <c r="O786" t="s">
        <v>382</v>
      </c>
      <c r="P786" t="s">
        <v>363</v>
      </c>
      <c r="Q786" s="20">
        <v>46032.649155092593</v>
      </c>
      <c r="R786" t="s">
        <v>7</v>
      </c>
      <c r="T786" t="s">
        <v>504</v>
      </c>
    </row>
    <row r="787" spans="1:20" ht="15" customHeight="1" x14ac:dyDescent="0.25">
      <c r="A787">
        <f t="shared" si="12"/>
        <v>93</v>
      </c>
      <c r="B787" t="s">
        <v>1419</v>
      </c>
      <c r="C787" t="s">
        <v>47</v>
      </c>
      <c r="D787">
        <v>133</v>
      </c>
      <c r="E7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87">
        <f ca="1">IF(Tabla142[[#This Row],[frecuencia_new]]="Diaria"," ",RANDBETWEEN(1,6))</f>
        <v>3</v>
      </c>
      <c r="G787">
        <f ca="1">IF(Tabla142[[#This Row],[frecuencia_new]]="Diaria","",IF(Tabla142[[#This Row],[frecuencia_new]]="Semanal","",IF(Tabla142[[#This Row],[frecuencia_new]]="Quincenal",RANDBETWEEN(1,2),RANDBETWEEN(1,4))))</f>
        <v>3</v>
      </c>
      <c r="H7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7" t="s">
        <v>190</v>
      </c>
      <c r="K787">
        <f>SUM(MID(Tabla142[[#This Row],[Duración]],1,2)*60,MID(Tabla142[[#This Row],[Duración]],6,2))</f>
        <v>10</v>
      </c>
      <c r="L787" s="4" t="s">
        <v>71</v>
      </c>
      <c r="M787" t="s">
        <v>239</v>
      </c>
      <c r="N787" t="s">
        <v>241</v>
      </c>
      <c r="O787" t="s">
        <v>382</v>
      </c>
      <c r="P787" t="s">
        <v>363</v>
      </c>
      <c r="Q787" s="20">
        <v>46032.649155092593</v>
      </c>
      <c r="R787" t="s">
        <v>7</v>
      </c>
      <c r="T787" t="s">
        <v>504</v>
      </c>
    </row>
    <row r="788" spans="1:20" ht="15" customHeight="1" x14ac:dyDescent="0.25">
      <c r="A788">
        <f t="shared" si="12"/>
        <v>93</v>
      </c>
      <c r="B788" t="s">
        <v>1420</v>
      </c>
      <c r="C788" t="s">
        <v>47</v>
      </c>
      <c r="D788">
        <v>133</v>
      </c>
      <c r="E7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88">
        <f ca="1">IF(Tabla142[[#This Row],[frecuencia_new]]="Diaria"," ",RANDBETWEEN(1,6))</f>
        <v>6</v>
      </c>
      <c r="G788">
        <f ca="1">IF(Tabla142[[#This Row],[frecuencia_new]]="Diaria","",IF(Tabla142[[#This Row],[frecuencia_new]]="Semanal","",IF(Tabla142[[#This Row],[frecuencia_new]]="Quincenal",RANDBETWEEN(1,2),RANDBETWEEN(1,4))))</f>
        <v>1</v>
      </c>
      <c r="H7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88" t="s">
        <v>191</v>
      </c>
      <c r="K788">
        <f>SUM(MID(Tabla142[[#This Row],[Duración]],1,2)*60,MID(Tabla142[[#This Row],[Duración]],6,2))</f>
        <v>15</v>
      </c>
      <c r="L788" s="4" t="s">
        <v>77</v>
      </c>
      <c r="M788" t="s">
        <v>239</v>
      </c>
      <c r="N788" t="s">
        <v>241</v>
      </c>
      <c r="O788" t="s">
        <v>382</v>
      </c>
      <c r="P788" t="s">
        <v>363</v>
      </c>
      <c r="Q788" s="20">
        <v>46032.649155092593</v>
      </c>
      <c r="R788" t="s">
        <v>7</v>
      </c>
      <c r="T788" t="s">
        <v>504</v>
      </c>
    </row>
    <row r="789" spans="1:20" x14ac:dyDescent="0.25">
      <c r="A789">
        <f t="shared" si="12"/>
        <v>93</v>
      </c>
      <c r="B789" t="s">
        <v>1421</v>
      </c>
      <c r="C789" t="s">
        <v>47</v>
      </c>
      <c r="D789">
        <v>133</v>
      </c>
      <c r="E7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789">
        <f ca="1">IF(Tabla142[[#This Row],[frecuencia_new]]="Diaria"," ",RANDBETWEEN(1,6))</f>
        <v>4</v>
      </c>
      <c r="G789">
        <f ca="1">IF(Tabla142[[#This Row],[frecuencia_new]]="Diaria","",IF(Tabla142[[#This Row],[frecuencia_new]]="Semanal","",IF(Tabla142[[#This Row],[frecuencia_new]]="Quincenal",RANDBETWEEN(1,2),RANDBETWEEN(1,4))))</f>
        <v>4</v>
      </c>
      <c r="H789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89" t="s">
        <v>192</v>
      </c>
      <c r="K789">
        <f>SUM(MID(Tabla142[[#This Row],[Duración]],1,2)*60,MID(Tabla142[[#This Row],[Duración]],6,2))</f>
        <v>20</v>
      </c>
      <c r="L789" s="4" t="s">
        <v>82</v>
      </c>
      <c r="M789" t="s">
        <v>239</v>
      </c>
      <c r="N789" t="s">
        <v>241</v>
      </c>
      <c r="O789" t="s">
        <v>382</v>
      </c>
      <c r="P789" t="s">
        <v>363</v>
      </c>
      <c r="Q789" s="20">
        <v>46032.649155092593</v>
      </c>
      <c r="R789" t="s">
        <v>20</v>
      </c>
      <c r="T789" t="s">
        <v>504</v>
      </c>
    </row>
    <row r="790" spans="1:20" ht="15" customHeight="1" x14ac:dyDescent="0.25">
      <c r="A790">
        <f t="shared" si="12"/>
        <v>158</v>
      </c>
      <c r="B790" t="s">
        <v>1422</v>
      </c>
      <c r="C790" t="s">
        <v>47</v>
      </c>
      <c r="D790">
        <v>133</v>
      </c>
      <c r="E7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90">
        <f ca="1">IF(Tabla142[[#This Row],[frecuencia_new]]="Diaria"," ",RANDBETWEEN(1,6))</f>
        <v>6</v>
      </c>
      <c r="G790">
        <f ca="1">IF(Tabla142[[#This Row],[frecuencia_new]]="Diaria","",IF(Tabla142[[#This Row],[frecuencia_new]]="Semanal","",IF(Tabla142[[#This Row],[frecuencia_new]]="Quincenal",RANDBETWEEN(1,2),RANDBETWEEN(1,4))))</f>
        <v>4</v>
      </c>
      <c r="H790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790" t="s">
        <v>46</v>
      </c>
      <c r="K790">
        <f>SUM(MID(Tabla142[[#This Row],[Duración]],1,2)*60,MID(Tabla142[[#This Row],[Duración]],6,2))</f>
        <v>30</v>
      </c>
      <c r="L790" s="4" t="s">
        <v>48</v>
      </c>
      <c r="M790" t="s">
        <v>239</v>
      </c>
      <c r="N790" t="s">
        <v>241</v>
      </c>
      <c r="O790" t="s">
        <v>380</v>
      </c>
      <c r="P790" t="s">
        <v>360</v>
      </c>
      <c r="Q790" s="20">
        <v>46032.649155092593</v>
      </c>
      <c r="R790" t="s">
        <v>5</v>
      </c>
      <c r="T790" t="s">
        <v>569</v>
      </c>
    </row>
    <row r="791" spans="1:20" ht="15" customHeight="1" x14ac:dyDescent="0.25">
      <c r="A791">
        <f t="shared" si="12"/>
        <v>158</v>
      </c>
      <c r="B791" t="s">
        <v>1423</v>
      </c>
      <c r="C791" t="s">
        <v>47</v>
      </c>
      <c r="D791">
        <v>133</v>
      </c>
      <c r="E7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91">
        <f ca="1">IF(Tabla142[[#This Row],[frecuencia_new]]="Diaria"," ",RANDBETWEEN(1,6))</f>
        <v>2</v>
      </c>
      <c r="G791">
        <f ca="1">IF(Tabla142[[#This Row],[frecuencia_new]]="Diaria","",IF(Tabla142[[#This Row],[frecuencia_new]]="Semanal","",IF(Tabla142[[#This Row],[frecuencia_new]]="Quincenal",RANDBETWEEN(1,2),RANDBETWEEN(1,4))))</f>
        <v>1</v>
      </c>
      <c r="H791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791" t="s">
        <v>52</v>
      </c>
      <c r="K791">
        <f>SUM(MID(Tabla142[[#This Row],[Duración]],1,2)*60,MID(Tabla142[[#This Row],[Duración]],6,2))</f>
        <v>30</v>
      </c>
      <c r="L791" s="4" t="s">
        <v>48</v>
      </c>
      <c r="M791" t="s">
        <v>239</v>
      </c>
      <c r="N791" t="s">
        <v>241</v>
      </c>
      <c r="O791" t="s">
        <v>380</v>
      </c>
      <c r="P791" t="s">
        <v>360</v>
      </c>
      <c r="Q791" s="20">
        <v>46032.649155092593</v>
      </c>
      <c r="R791" t="s">
        <v>5</v>
      </c>
      <c r="T791" t="s">
        <v>569</v>
      </c>
    </row>
    <row r="792" spans="1:20" ht="15" customHeight="1" x14ac:dyDescent="0.25">
      <c r="A792">
        <f t="shared" si="12"/>
        <v>158</v>
      </c>
      <c r="B792" t="s">
        <v>1424</v>
      </c>
      <c r="C792" t="s">
        <v>54</v>
      </c>
      <c r="D792">
        <v>133</v>
      </c>
      <c r="E7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92">
        <f ca="1">IF(Tabla142[[#This Row],[frecuencia_new]]="Diaria"," ",RANDBETWEEN(1,6))</f>
        <v>6</v>
      </c>
      <c r="G792">
        <f ca="1">IF(Tabla142[[#This Row],[frecuencia_new]]="Diaria","",IF(Tabla142[[#This Row],[frecuencia_new]]="Semanal","",IF(Tabla142[[#This Row],[frecuencia_new]]="Quincenal",RANDBETWEEN(1,2),RANDBETWEEN(1,4))))</f>
        <v>2</v>
      </c>
      <c r="H792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792" t="s">
        <v>53</v>
      </c>
      <c r="K792">
        <f>SUM(MID(Tabla142[[#This Row],[Duración]],1,2)*60,MID(Tabla142[[#This Row],[Duración]],6,2))</f>
        <v>30</v>
      </c>
      <c r="L792" s="4" t="s">
        <v>48</v>
      </c>
      <c r="M792" t="s">
        <v>239</v>
      </c>
      <c r="N792" t="s">
        <v>241</v>
      </c>
      <c r="O792" t="s">
        <v>380</v>
      </c>
      <c r="P792" t="s">
        <v>360</v>
      </c>
      <c r="Q792" s="20">
        <v>46032.649155092593</v>
      </c>
      <c r="R792" t="s">
        <v>5</v>
      </c>
      <c r="T792" t="s">
        <v>569</v>
      </c>
    </row>
    <row r="793" spans="1:20" ht="15" customHeight="1" x14ac:dyDescent="0.25">
      <c r="A793">
        <f t="shared" si="12"/>
        <v>158</v>
      </c>
      <c r="B793" t="s">
        <v>1425</v>
      </c>
      <c r="C793" t="s">
        <v>47</v>
      </c>
      <c r="D793">
        <v>133</v>
      </c>
      <c r="E7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93">
        <f ca="1">IF(Tabla142[[#This Row],[frecuencia_new]]="Diaria"," ",RANDBETWEEN(1,6))</f>
        <v>4</v>
      </c>
      <c r="G793">
        <f ca="1">IF(Tabla142[[#This Row],[frecuencia_new]]="Diaria","",IF(Tabla142[[#This Row],[frecuencia_new]]="Semanal","",IF(Tabla142[[#This Row],[frecuencia_new]]="Quincenal",RANDBETWEEN(1,2),RANDBETWEEN(1,4))))</f>
        <v>4</v>
      </c>
      <c r="H793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93" t="s">
        <v>64</v>
      </c>
      <c r="K793">
        <f>SUM(MID(Tabla142[[#This Row],[Duración]],1,2)*60,MID(Tabla142[[#This Row],[Duración]],6,2))</f>
        <v>30</v>
      </c>
      <c r="L793" s="4" t="s">
        <v>48</v>
      </c>
      <c r="M793" t="s">
        <v>239</v>
      </c>
      <c r="N793" t="s">
        <v>241</v>
      </c>
      <c r="O793" t="s">
        <v>380</v>
      </c>
      <c r="P793" t="s">
        <v>360</v>
      </c>
      <c r="Q793" s="20">
        <v>46032.649155092593</v>
      </c>
      <c r="R793" t="s">
        <v>5</v>
      </c>
      <c r="T793" t="s">
        <v>569</v>
      </c>
    </row>
    <row r="794" spans="1:20" ht="15" customHeight="1" x14ac:dyDescent="0.25">
      <c r="A794">
        <f t="shared" si="12"/>
        <v>96</v>
      </c>
      <c r="B794" t="s">
        <v>1426</v>
      </c>
      <c r="C794" s="18" t="s">
        <v>47</v>
      </c>
      <c r="D794">
        <v>179</v>
      </c>
      <c r="E7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94">
        <f ca="1">IF(Tabla142[[#This Row],[frecuencia_new]]="Diaria"," ",RANDBETWEEN(1,6))</f>
        <v>5</v>
      </c>
      <c r="G794">
        <f ca="1">IF(Tabla142[[#This Row],[frecuencia_new]]="Diaria","",IF(Tabla142[[#This Row],[frecuencia_new]]="Semanal","",IF(Tabla142[[#This Row],[frecuencia_new]]="Quincenal",RANDBETWEEN(1,2),RANDBETWEEN(1,4))))</f>
        <v>2</v>
      </c>
      <c r="H7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94" t="s">
        <v>73</v>
      </c>
      <c r="K794">
        <f>SUM(MID(Tabla142[[#This Row],[Duración]],1,2)*60,MID(Tabla142[[#This Row],[Duración]],6,2))</f>
        <v>30</v>
      </c>
      <c r="L794" s="4" t="s">
        <v>48</v>
      </c>
      <c r="M794" s="18" t="s">
        <v>239</v>
      </c>
      <c r="N794" t="s">
        <v>241</v>
      </c>
      <c r="O794" t="s">
        <v>382</v>
      </c>
      <c r="P794" t="s">
        <v>363</v>
      </c>
      <c r="Q794" s="20">
        <v>46032.649155092593</v>
      </c>
      <c r="R794" t="s">
        <v>7</v>
      </c>
      <c r="T794" t="s">
        <v>507</v>
      </c>
    </row>
    <row r="795" spans="1:20" ht="15" customHeight="1" x14ac:dyDescent="0.25">
      <c r="A795">
        <f t="shared" si="12"/>
        <v>96</v>
      </c>
      <c r="B795" t="s">
        <v>1427</v>
      </c>
      <c r="C795" s="18" t="s">
        <v>47</v>
      </c>
      <c r="D795">
        <v>179</v>
      </c>
      <c r="E7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95">
        <f ca="1">IF(Tabla142[[#This Row],[frecuencia_new]]="Diaria"," ",RANDBETWEEN(1,6))</f>
        <v>2</v>
      </c>
      <c r="G795">
        <f ca="1">IF(Tabla142[[#This Row],[frecuencia_new]]="Diaria","",IF(Tabla142[[#This Row],[frecuencia_new]]="Semanal","",IF(Tabla142[[#This Row],[frecuencia_new]]="Quincenal",RANDBETWEEN(1,2),RANDBETWEEN(1,4))))</f>
        <v>1</v>
      </c>
      <c r="H7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95" t="s">
        <v>74</v>
      </c>
      <c r="K795">
        <f>SUM(MID(Tabla142[[#This Row],[Duración]],1,2)*60,MID(Tabla142[[#This Row],[Duración]],6,2))</f>
        <v>30</v>
      </c>
      <c r="L795" s="4" t="s">
        <v>48</v>
      </c>
      <c r="M795" s="18" t="s">
        <v>239</v>
      </c>
      <c r="N795" t="s">
        <v>241</v>
      </c>
      <c r="O795" t="s">
        <v>382</v>
      </c>
      <c r="P795" t="s">
        <v>363</v>
      </c>
      <c r="Q795" s="20">
        <v>46032.649155092593</v>
      </c>
      <c r="R795" t="s">
        <v>7</v>
      </c>
      <c r="T795" t="s">
        <v>507</v>
      </c>
    </row>
    <row r="796" spans="1:20" ht="15" customHeight="1" x14ac:dyDescent="0.25">
      <c r="A796">
        <f t="shared" si="12"/>
        <v>96</v>
      </c>
      <c r="B796" t="s">
        <v>1428</v>
      </c>
      <c r="C796" s="18" t="s">
        <v>47</v>
      </c>
      <c r="D796">
        <v>179</v>
      </c>
      <c r="E7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96">
        <f ca="1">IF(Tabla142[[#This Row],[frecuencia_new]]="Diaria"," ",RANDBETWEEN(1,6))</f>
        <v>1</v>
      </c>
      <c r="G796">
        <f ca="1">IF(Tabla142[[#This Row],[frecuencia_new]]="Diaria","",IF(Tabla142[[#This Row],[frecuencia_new]]="Semanal","",IF(Tabla142[[#This Row],[frecuencia_new]]="Quincenal",RANDBETWEEN(1,2),RANDBETWEEN(1,4))))</f>
        <v>3</v>
      </c>
      <c r="H7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96" t="s">
        <v>75</v>
      </c>
      <c r="K796">
        <f>SUM(MID(Tabla142[[#This Row],[Duración]],1,2)*60,MID(Tabla142[[#This Row],[Duración]],6,2))</f>
        <v>30</v>
      </c>
      <c r="L796" s="4" t="s">
        <v>48</v>
      </c>
      <c r="M796" s="18" t="s">
        <v>239</v>
      </c>
      <c r="N796" t="s">
        <v>241</v>
      </c>
      <c r="O796" t="s">
        <v>382</v>
      </c>
      <c r="P796" t="s">
        <v>363</v>
      </c>
      <c r="Q796" s="20">
        <v>46032.649155092593</v>
      </c>
      <c r="R796" t="s">
        <v>7</v>
      </c>
      <c r="T796" t="s">
        <v>507</v>
      </c>
    </row>
    <row r="797" spans="1:20" ht="15" customHeight="1" x14ac:dyDescent="0.25">
      <c r="A797">
        <f t="shared" si="12"/>
        <v>96</v>
      </c>
      <c r="B797" t="s">
        <v>1429</v>
      </c>
      <c r="C797" s="18" t="s">
        <v>47</v>
      </c>
      <c r="D797">
        <v>179</v>
      </c>
      <c r="E7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797">
        <f ca="1">IF(Tabla142[[#This Row],[frecuencia_new]]="Diaria"," ",RANDBETWEEN(1,6))</f>
        <v>2</v>
      </c>
      <c r="G797">
        <f ca="1">IF(Tabla142[[#This Row],[frecuencia_new]]="Diaria","",IF(Tabla142[[#This Row],[frecuencia_new]]="Semanal","",IF(Tabla142[[#This Row],[frecuencia_new]]="Quincenal",RANDBETWEEN(1,2),RANDBETWEEN(1,4))))</f>
        <v>1</v>
      </c>
      <c r="H7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797" t="s">
        <v>76</v>
      </c>
      <c r="K797">
        <f>SUM(MID(Tabla142[[#This Row],[Duración]],1,2)*60,MID(Tabla142[[#This Row],[Duración]],6,2))</f>
        <v>15</v>
      </c>
      <c r="L797" s="4" t="s">
        <v>77</v>
      </c>
      <c r="M797" s="18" t="s">
        <v>239</v>
      </c>
      <c r="N797" t="s">
        <v>241</v>
      </c>
      <c r="O797" t="s">
        <v>382</v>
      </c>
      <c r="P797" t="s">
        <v>363</v>
      </c>
      <c r="Q797" s="20">
        <v>46032.649155092593</v>
      </c>
      <c r="R797" t="s">
        <v>7</v>
      </c>
      <c r="T797" t="s">
        <v>507</v>
      </c>
    </row>
    <row r="798" spans="1:20" ht="15" customHeight="1" x14ac:dyDescent="0.25">
      <c r="A798">
        <f t="shared" si="12"/>
        <v>161</v>
      </c>
      <c r="B798" t="s">
        <v>1430</v>
      </c>
      <c r="C798" s="18" t="s">
        <v>47</v>
      </c>
      <c r="D798">
        <v>179</v>
      </c>
      <c r="E7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98">
        <f ca="1">IF(Tabla142[[#This Row],[frecuencia_new]]="Diaria"," ",RANDBETWEEN(1,6))</f>
        <v>3</v>
      </c>
      <c r="G798">
        <f ca="1">IF(Tabla142[[#This Row],[frecuencia_new]]="Diaria","",IF(Tabla142[[#This Row],[frecuencia_new]]="Semanal","",IF(Tabla142[[#This Row],[frecuencia_new]]="Quincenal",RANDBETWEEN(1,2),RANDBETWEEN(1,4))))</f>
        <v>4</v>
      </c>
      <c r="H798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798" t="s">
        <v>46</v>
      </c>
      <c r="K798">
        <f>SUM(MID(Tabla142[[#This Row],[Duración]],1,2)*60,MID(Tabla142[[#This Row],[Duración]],6,2))</f>
        <v>30</v>
      </c>
      <c r="L798" s="4" t="s">
        <v>48</v>
      </c>
      <c r="M798" s="18" t="s">
        <v>239</v>
      </c>
      <c r="N798" t="s">
        <v>241</v>
      </c>
      <c r="O798" t="s">
        <v>380</v>
      </c>
      <c r="P798" t="s">
        <v>360</v>
      </c>
      <c r="Q798" s="20">
        <v>46032.649155092593</v>
      </c>
      <c r="R798" t="s">
        <v>5</v>
      </c>
      <c r="T798" t="s">
        <v>572</v>
      </c>
    </row>
    <row r="799" spans="1:20" ht="15" customHeight="1" x14ac:dyDescent="0.25">
      <c r="A799">
        <f t="shared" si="12"/>
        <v>161</v>
      </c>
      <c r="B799" t="s">
        <v>1431</v>
      </c>
      <c r="C799" s="18" t="s">
        <v>47</v>
      </c>
      <c r="D799">
        <v>179</v>
      </c>
      <c r="E7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799">
        <f ca="1">IF(Tabla142[[#This Row],[frecuencia_new]]="Diaria"," ",RANDBETWEEN(1,6))</f>
        <v>4</v>
      </c>
      <c r="G799">
        <f ca="1">IF(Tabla142[[#This Row],[frecuencia_new]]="Diaria","",IF(Tabla142[[#This Row],[frecuencia_new]]="Semanal","",IF(Tabla142[[#This Row],[frecuencia_new]]="Quincenal",RANDBETWEEN(1,2),RANDBETWEEN(1,4))))</f>
        <v>3</v>
      </c>
      <c r="H799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799" t="s">
        <v>52</v>
      </c>
      <c r="K799">
        <f>SUM(MID(Tabla142[[#This Row],[Duración]],1,2)*60,MID(Tabla142[[#This Row],[Duración]],6,2))</f>
        <v>30</v>
      </c>
      <c r="L799" s="4" t="s">
        <v>48</v>
      </c>
      <c r="M799" s="18" t="s">
        <v>239</v>
      </c>
      <c r="N799" t="s">
        <v>241</v>
      </c>
      <c r="O799" t="s">
        <v>380</v>
      </c>
      <c r="P799" t="s">
        <v>360</v>
      </c>
      <c r="Q799" s="20">
        <v>46032.649155092593</v>
      </c>
      <c r="R799" t="s">
        <v>5</v>
      </c>
      <c r="T799" t="s">
        <v>572</v>
      </c>
    </row>
    <row r="800" spans="1:20" ht="15" customHeight="1" x14ac:dyDescent="0.25">
      <c r="A800">
        <f t="shared" si="12"/>
        <v>161</v>
      </c>
      <c r="B800" t="s">
        <v>1432</v>
      </c>
      <c r="C800" s="18" t="s">
        <v>54</v>
      </c>
      <c r="D800">
        <v>179</v>
      </c>
      <c r="E8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0">
        <f ca="1">IF(Tabla142[[#This Row],[frecuencia_new]]="Diaria"," ",RANDBETWEEN(1,6))</f>
        <v>5</v>
      </c>
      <c r="G800">
        <f ca="1">IF(Tabla142[[#This Row],[frecuencia_new]]="Diaria","",IF(Tabla142[[#This Row],[frecuencia_new]]="Semanal","",IF(Tabla142[[#This Row],[frecuencia_new]]="Quincenal",RANDBETWEEN(1,2),RANDBETWEEN(1,4))))</f>
        <v>2</v>
      </c>
      <c r="H80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800" t="s">
        <v>53</v>
      </c>
      <c r="K800">
        <f>SUM(MID(Tabla142[[#This Row],[Duración]],1,2)*60,MID(Tabla142[[#This Row],[Duración]],6,2))</f>
        <v>30</v>
      </c>
      <c r="L800" s="4" t="s">
        <v>48</v>
      </c>
      <c r="M800" s="18" t="s">
        <v>239</v>
      </c>
      <c r="N800" t="s">
        <v>241</v>
      </c>
      <c r="O800" t="s">
        <v>380</v>
      </c>
      <c r="P800" t="s">
        <v>360</v>
      </c>
      <c r="Q800" s="20">
        <v>46032.649155092593</v>
      </c>
      <c r="R800" t="s">
        <v>5</v>
      </c>
      <c r="T800" t="s">
        <v>572</v>
      </c>
    </row>
    <row r="801" spans="1:20" ht="15" customHeight="1" x14ac:dyDescent="0.25">
      <c r="A801">
        <f t="shared" si="12"/>
        <v>161</v>
      </c>
      <c r="B801" t="s">
        <v>1433</v>
      </c>
      <c r="C801" s="18" t="s">
        <v>47</v>
      </c>
      <c r="D801">
        <v>179</v>
      </c>
      <c r="E8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1">
        <f ca="1">IF(Tabla142[[#This Row],[frecuencia_new]]="Diaria"," ",RANDBETWEEN(1,6))</f>
        <v>4</v>
      </c>
      <c r="G801">
        <f ca="1">IF(Tabla142[[#This Row],[frecuencia_new]]="Diaria","",IF(Tabla142[[#This Row],[frecuencia_new]]="Semanal","",IF(Tabla142[[#This Row],[frecuencia_new]]="Quincenal",RANDBETWEEN(1,2),RANDBETWEEN(1,4))))</f>
        <v>1</v>
      </c>
      <c r="H801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801" t="s">
        <v>64</v>
      </c>
      <c r="K801">
        <f>SUM(MID(Tabla142[[#This Row],[Duración]],1,2)*60,MID(Tabla142[[#This Row],[Duración]],6,2))</f>
        <v>30</v>
      </c>
      <c r="L801" s="4" t="s">
        <v>48</v>
      </c>
      <c r="M801" s="18" t="s">
        <v>239</v>
      </c>
      <c r="N801" t="s">
        <v>241</v>
      </c>
      <c r="O801" t="s">
        <v>380</v>
      </c>
      <c r="P801" t="s">
        <v>360</v>
      </c>
      <c r="Q801" s="20">
        <v>46032.649155092593</v>
      </c>
      <c r="R801" t="s">
        <v>5</v>
      </c>
      <c r="T801" t="s">
        <v>572</v>
      </c>
    </row>
    <row r="802" spans="1:20" ht="15" customHeight="1" x14ac:dyDescent="0.25">
      <c r="A802">
        <f t="shared" si="12"/>
        <v>105</v>
      </c>
      <c r="B802" t="s">
        <v>1434</v>
      </c>
      <c r="C802" t="s">
        <v>47</v>
      </c>
      <c r="D802">
        <v>3</v>
      </c>
      <c r="E8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02">
        <f ca="1">IF(Tabla142[[#This Row],[frecuencia_new]]="Diaria"," ",RANDBETWEEN(1,6))</f>
        <v>1</v>
      </c>
      <c r="G802">
        <f ca="1">IF(Tabla142[[#This Row],[frecuencia_new]]="Diaria","",IF(Tabla142[[#This Row],[frecuencia_new]]="Semanal","",IF(Tabla142[[#This Row],[frecuencia_new]]="Quincenal",RANDBETWEEN(1,2),RANDBETWEEN(1,4))))</f>
        <v>4</v>
      </c>
      <c r="H80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02" t="s">
        <v>51</v>
      </c>
      <c r="K802">
        <f>SUM(MID(Tabla142[[#This Row],[Duración]],1,2)*60,MID(Tabla142[[#This Row],[Duración]],6,2))</f>
        <v>5</v>
      </c>
      <c r="L802" s="4" t="s">
        <v>50</v>
      </c>
      <c r="M802" t="s">
        <v>239</v>
      </c>
      <c r="N802" t="s">
        <v>300</v>
      </c>
      <c r="O802" t="s">
        <v>392</v>
      </c>
      <c r="P802" t="s">
        <v>364</v>
      </c>
      <c r="Q802" s="20">
        <v>46032.649155092593</v>
      </c>
      <c r="R802" t="s">
        <v>7</v>
      </c>
      <c r="T802" t="s">
        <v>516</v>
      </c>
    </row>
    <row r="803" spans="1:20" ht="15" customHeight="1" x14ac:dyDescent="0.25">
      <c r="A803">
        <f t="shared" si="12"/>
        <v>105</v>
      </c>
      <c r="B803" t="s">
        <v>1435</v>
      </c>
      <c r="C803" t="s">
        <v>47</v>
      </c>
      <c r="D803">
        <v>3</v>
      </c>
      <c r="E8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03">
        <f ca="1">IF(Tabla142[[#This Row],[frecuencia_new]]="Diaria"," ",RANDBETWEEN(1,6))</f>
        <v>3</v>
      </c>
      <c r="G803" t="str">
        <f ca="1">IF(Tabla142[[#This Row],[frecuencia_new]]="Diaria","",IF(Tabla142[[#This Row],[frecuencia_new]]="Semanal","",IF(Tabla142[[#This Row],[frecuencia_new]]="Quincenal",RANDBETWEEN(1,2),RANDBETWEEN(1,4))))</f>
        <v/>
      </c>
      <c r="H8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03" t="s">
        <v>55</v>
      </c>
      <c r="K803">
        <f>SUM(MID(Tabla142[[#This Row],[Duración]],1,2)*60,MID(Tabla142[[#This Row],[Duración]],6,2))</f>
        <v>5</v>
      </c>
      <c r="L803" s="4" t="s">
        <v>50</v>
      </c>
      <c r="M803" t="s">
        <v>239</v>
      </c>
      <c r="N803" t="s">
        <v>300</v>
      </c>
      <c r="O803" t="s">
        <v>392</v>
      </c>
      <c r="P803" t="s">
        <v>363</v>
      </c>
      <c r="Q803" s="20">
        <v>46032.649155092593</v>
      </c>
      <c r="R803" t="s">
        <v>8</v>
      </c>
      <c r="T803" t="s">
        <v>516</v>
      </c>
    </row>
    <row r="804" spans="1:20" ht="15" customHeight="1" x14ac:dyDescent="0.25">
      <c r="A804">
        <f t="shared" si="12"/>
        <v>105</v>
      </c>
      <c r="B804" t="s">
        <v>1436</v>
      </c>
      <c r="C804" t="s">
        <v>54</v>
      </c>
      <c r="D804">
        <v>3</v>
      </c>
      <c r="E8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04">
        <f ca="1">IF(Tabla142[[#This Row],[frecuencia_new]]="Diaria"," ",RANDBETWEEN(1,6))</f>
        <v>6</v>
      </c>
      <c r="G804" t="str">
        <f ca="1">IF(Tabla142[[#This Row],[frecuencia_new]]="Diaria","",IF(Tabla142[[#This Row],[frecuencia_new]]="Semanal","",IF(Tabla142[[#This Row],[frecuencia_new]]="Quincenal",RANDBETWEEN(1,2),RANDBETWEEN(1,4))))</f>
        <v/>
      </c>
      <c r="H8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04" t="s">
        <v>57</v>
      </c>
      <c r="K804">
        <f>SUM(MID(Tabla142[[#This Row],[Duración]],1,2)*60,MID(Tabla142[[#This Row],[Duración]],6,2))</f>
        <v>5</v>
      </c>
      <c r="L804" s="4" t="s">
        <v>50</v>
      </c>
      <c r="M804" t="s">
        <v>239</v>
      </c>
      <c r="N804" t="s">
        <v>300</v>
      </c>
      <c r="O804" t="s">
        <v>392</v>
      </c>
      <c r="P804" t="s">
        <v>363</v>
      </c>
      <c r="Q804" s="20">
        <v>46032.649155092593</v>
      </c>
      <c r="R804" t="s">
        <v>8</v>
      </c>
      <c r="T804" t="s">
        <v>516</v>
      </c>
    </row>
    <row r="805" spans="1:20" ht="15" customHeight="1" x14ac:dyDescent="0.25">
      <c r="A805">
        <f t="shared" si="12"/>
        <v>123</v>
      </c>
      <c r="B805" t="s">
        <v>1437</v>
      </c>
      <c r="C805" t="s">
        <v>47</v>
      </c>
      <c r="D805">
        <v>3</v>
      </c>
      <c r="E8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5">
        <f ca="1">IF(Tabla142[[#This Row],[frecuencia_new]]="Diaria"," ",RANDBETWEEN(1,6))</f>
        <v>5</v>
      </c>
      <c r="G805">
        <f ca="1">IF(Tabla142[[#This Row],[frecuencia_new]]="Diaria","",IF(Tabla142[[#This Row],[frecuencia_new]]="Semanal","",IF(Tabla142[[#This Row],[frecuencia_new]]="Quincenal",RANDBETWEEN(1,2),RANDBETWEEN(1,4))))</f>
        <v>2</v>
      </c>
      <c r="H805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805" t="s">
        <v>46</v>
      </c>
      <c r="K805">
        <f>SUM(MID(Tabla142[[#This Row],[Duración]],1,2)*60,MID(Tabla142[[#This Row],[Duración]],6,2))</f>
        <v>30</v>
      </c>
      <c r="L805" s="4" t="s">
        <v>48</v>
      </c>
      <c r="M805" t="s">
        <v>239</v>
      </c>
      <c r="N805" t="s">
        <v>300</v>
      </c>
      <c r="O805" t="s">
        <v>380</v>
      </c>
      <c r="P805" t="s">
        <v>360</v>
      </c>
      <c r="Q805" s="20">
        <v>46032.649155092593</v>
      </c>
      <c r="R805" t="s">
        <v>5</v>
      </c>
      <c r="T805" t="s">
        <v>534</v>
      </c>
    </row>
    <row r="806" spans="1:20" ht="15" customHeight="1" x14ac:dyDescent="0.25">
      <c r="A806">
        <f t="shared" si="12"/>
        <v>123</v>
      </c>
      <c r="B806" t="s">
        <v>1438</v>
      </c>
      <c r="C806" t="s">
        <v>47</v>
      </c>
      <c r="D806">
        <v>3</v>
      </c>
      <c r="E8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6">
        <f ca="1">IF(Tabla142[[#This Row],[frecuencia_new]]="Diaria"," ",RANDBETWEEN(1,6))</f>
        <v>1</v>
      </c>
      <c r="G806">
        <f ca="1">IF(Tabla142[[#This Row],[frecuencia_new]]="Diaria","",IF(Tabla142[[#This Row],[frecuencia_new]]="Semanal","",IF(Tabla142[[#This Row],[frecuencia_new]]="Quincenal",RANDBETWEEN(1,2),RANDBETWEEN(1,4))))</f>
        <v>2</v>
      </c>
      <c r="H806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806" t="s">
        <v>52</v>
      </c>
      <c r="K806">
        <f>SUM(MID(Tabla142[[#This Row],[Duración]],1,2)*60,MID(Tabla142[[#This Row],[Duración]],6,2))</f>
        <v>30</v>
      </c>
      <c r="L806" s="4" t="s">
        <v>48</v>
      </c>
      <c r="M806" t="s">
        <v>239</v>
      </c>
      <c r="N806" t="s">
        <v>300</v>
      </c>
      <c r="O806" t="s">
        <v>380</v>
      </c>
      <c r="P806" t="s">
        <v>365</v>
      </c>
      <c r="Q806" s="20">
        <v>46032.649155092593</v>
      </c>
      <c r="R806" t="s">
        <v>5</v>
      </c>
      <c r="T806" t="s">
        <v>534</v>
      </c>
    </row>
    <row r="807" spans="1:20" ht="15" customHeight="1" x14ac:dyDescent="0.25">
      <c r="A807">
        <f t="shared" si="12"/>
        <v>123</v>
      </c>
      <c r="B807" t="s">
        <v>1439</v>
      </c>
      <c r="C807" t="s">
        <v>54</v>
      </c>
      <c r="D807">
        <v>3</v>
      </c>
      <c r="E8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7">
        <f ca="1">IF(Tabla142[[#This Row],[frecuencia_new]]="Diaria"," ",RANDBETWEEN(1,6))</f>
        <v>6</v>
      </c>
      <c r="G807">
        <f ca="1">IF(Tabla142[[#This Row],[frecuencia_new]]="Diaria","",IF(Tabla142[[#This Row],[frecuencia_new]]="Semanal","",IF(Tabla142[[#This Row],[frecuencia_new]]="Quincenal",RANDBETWEEN(1,2),RANDBETWEEN(1,4))))</f>
        <v>4</v>
      </c>
      <c r="H807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807" t="s">
        <v>53</v>
      </c>
      <c r="K807">
        <f>SUM(MID(Tabla142[[#This Row],[Duración]],1,2)*60,MID(Tabla142[[#This Row],[Duración]],6,2))</f>
        <v>30</v>
      </c>
      <c r="L807" s="4" t="s">
        <v>48</v>
      </c>
      <c r="M807" t="s">
        <v>239</v>
      </c>
      <c r="N807" t="s">
        <v>300</v>
      </c>
      <c r="O807" t="s">
        <v>380</v>
      </c>
      <c r="P807" t="s">
        <v>365</v>
      </c>
      <c r="Q807" s="20">
        <v>46032.649155092593</v>
      </c>
      <c r="R807" t="s">
        <v>5</v>
      </c>
      <c r="T807" t="s">
        <v>534</v>
      </c>
    </row>
    <row r="808" spans="1:20" ht="15" customHeight="1" x14ac:dyDescent="0.25">
      <c r="A808">
        <f t="shared" si="12"/>
        <v>123</v>
      </c>
      <c r="B808" t="s">
        <v>1440</v>
      </c>
      <c r="C808" t="s">
        <v>47</v>
      </c>
      <c r="D808">
        <v>3</v>
      </c>
      <c r="E8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08">
        <f ca="1">IF(Tabla142[[#This Row],[frecuencia_new]]="Diaria"," ",RANDBETWEEN(1,6))</f>
        <v>6</v>
      </c>
      <c r="G808">
        <f ca="1">IF(Tabla142[[#This Row],[frecuencia_new]]="Diaria","",IF(Tabla142[[#This Row],[frecuencia_new]]="Semanal","",IF(Tabla142[[#This Row],[frecuencia_new]]="Quincenal",RANDBETWEEN(1,2),RANDBETWEEN(1,4))))</f>
        <v>3</v>
      </c>
      <c r="H808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808" t="s">
        <v>56</v>
      </c>
      <c r="K808">
        <f>SUM(MID(Tabla142[[#This Row],[Duración]],1,2)*60,MID(Tabla142[[#This Row],[Duración]],6,2))</f>
        <v>30</v>
      </c>
      <c r="L808" s="4" t="s">
        <v>48</v>
      </c>
      <c r="M808" t="s">
        <v>239</v>
      </c>
      <c r="N808" t="s">
        <v>300</v>
      </c>
      <c r="O808" t="s">
        <v>380</v>
      </c>
      <c r="P808" t="s">
        <v>360</v>
      </c>
      <c r="Q808" s="20">
        <v>46032.649155092593</v>
      </c>
      <c r="R808" t="s">
        <v>5</v>
      </c>
      <c r="T808" t="s">
        <v>534</v>
      </c>
    </row>
    <row r="809" spans="1:20" ht="15" customHeight="1" x14ac:dyDescent="0.25">
      <c r="A809">
        <f t="shared" si="12"/>
        <v>198</v>
      </c>
      <c r="B809" t="s">
        <v>1441</v>
      </c>
      <c r="C809" s="18" t="s">
        <v>47</v>
      </c>
      <c r="D809" s="18">
        <v>3</v>
      </c>
      <c r="E8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09" t="str">
        <f ca="1">IF(Tabla142[[#This Row],[frecuencia_new]]="Diaria"," ",RANDBETWEEN(1,6))</f>
        <v xml:space="preserve"> </v>
      </c>
      <c r="G809" t="str">
        <f ca="1">IF(Tabla142[[#This Row],[frecuencia_new]]="Diaria","",IF(Tabla142[[#This Row],[frecuencia_new]]="Semanal","",IF(Tabla142[[#This Row],[frecuencia_new]]="Quincenal",RANDBETWEEN(1,2),RANDBETWEEN(1,4))))</f>
        <v/>
      </c>
      <c r="H80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09" s="18" t="s">
        <v>49</v>
      </c>
      <c r="K809" s="18">
        <f>SUM(MID(Tabla142[[#This Row],[Duración]],1,2)*60,MID(Tabla142[[#This Row],[Duración]],6,2))</f>
        <v>5</v>
      </c>
      <c r="L809" s="19" t="s">
        <v>50</v>
      </c>
      <c r="M809" s="18" t="s">
        <v>239</v>
      </c>
      <c r="N809" t="s">
        <v>300</v>
      </c>
      <c r="O809" t="s">
        <v>398</v>
      </c>
      <c r="P809" t="s">
        <v>361</v>
      </c>
      <c r="Q809" s="20">
        <v>46032.649155092593</v>
      </c>
      <c r="R809" s="18" t="s">
        <v>6</v>
      </c>
      <c r="T809" t="s">
        <v>609</v>
      </c>
    </row>
    <row r="810" spans="1:20" ht="15" customHeight="1" x14ac:dyDescent="0.25">
      <c r="A810">
        <f t="shared" si="12"/>
        <v>106</v>
      </c>
      <c r="B810" t="s">
        <v>1442</v>
      </c>
      <c r="C810" t="s">
        <v>47</v>
      </c>
      <c r="D810">
        <v>8</v>
      </c>
      <c r="E8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810">
        <f ca="1">IF(Tabla142[[#This Row],[frecuencia_new]]="Diaria"," ",RANDBETWEEN(1,6))</f>
        <v>5</v>
      </c>
      <c r="G810">
        <f ca="1">IF(Tabla142[[#This Row],[frecuencia_new]]="Diaria","",IF(Tabla142[[#This Row],[frecuencia_new]]="Semanal","",IF(Tabla142[[#This Row],[frecuencia_new]]="Quincenal",RANDBETWEEN(1,2),RANDBETWEEN(1,4))))</f>
        <v>2</v>
      </c>
      <c r="H81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10" t="s">
        <v>61</v>
      </c>
      <c r="K810">
        <f>SUM(MID(Tabla142[[#This Row],[Duración]],1,2)*60,MID(Tabla142[[#This Row],[Duración]],6,2))</f>
        <v>60</v>
      </c>
      <c r="L810" s="4" t="s">
        <v>58</v>
      </c>
      <c r="M810" t="s">
        <v>239</v>
      </c>
      <c r="N810" t="s">
        <v>300</v>
      </c>
      <c r="O810" t="s">
        <v>392</v>
      </c>
      <c r="P810" t="s">
        <v>364</v>
      </c>
      <c r="Q810" s="20">
        <v>46032.649155092593</v>
      </c>
      <c r="R810" t="s">
        <v>1846</v>
      </c>
      <c r="T810" t="s">
        <v>517</v>
      </c>
    </row>
    <row r="811" spans="1:20" ht="15" customHeight="1" x14ac:dyDescent="0.25">
      <c r="A811">
        <f t="shared" si="12"/>
        <v>106</v>
      </c>
      <c r="B811" t="s">
        <v>1443</v>
      </c>
      <c r="C811" t="s">
        <v>47</v>
      </c>
      <c r="D811">
        <v>8</v>
      </c>
      <c r="E8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11">
        <f ca="1">IF(Tabla142[[#This Row],[frecuencia_new]]="Diaria"," ",RANDBETWEEN(1,6))</f>
        <v>3</v>
      </c>
      <c r="G811">
        <f ca="1">IF(Tabla142[[#This Row],[frecuencia_new]]="Diaria","",IF(Tabla142[[#This Row],[frecuencia_new]]="Semanal","",IF(Tabla142[[#This Row],[frecuencia_new]]="Quincenal",RANDBETWEEN(1,2),RANDBETWEEN(1,4))))</f>
        <v>4</v>
      </c>
      <c r="H8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11" t="s">
        <v>62</v>
      </c>
      <c r="K811">
        <f>SUM(MID(Tabla142[[#This Row],[Duración]],1,2)*60,MID(Tabla142[[#This Row],[Duración]],6,2))</f>
        <v>30</v>
      </c>
      <c r="L811" s="4" t="s">
        <v>48</v>
      </c>
      <c r="M811" t="s">
        <v>239</v>
      </c>
      <c r="N811" t="s">
        <v>300</v>
      </c>
      <c r="O811" t="s">
        <v>392</v>
      </c>
      <c r="P811" t="s">
        <v>363</v>
      </c>
      <c r="Q811" s="20">
        <v>46032.649155092593</v>
      </c>
      <c r="R811" t="s">
        <v>7</v>
      </c>
      <c r="T811" t="s">
        <v>517</v>
      </c>
    </row>
    <row r="812" spans="1:20" ht="15" customHeight="1" x14ac:dyDescent="0.25">
      <c r="A812">
        <f t="shared" si="12"/>
        <v>106</v>
      </c>
      <c r="B812" t="s">
        <v>1444</v>
      </c>
      <c r="C812" t="s">
        <v>47</v>
      </c>
      <c r="D812">
        <v>8</v>
      </c>
      <c r="E8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812">
        <f ca="1">IF(Tabla142[[#This Row],[frecuencia_new]]="Diaria"," ",RANDBETWEEN(1,6))</f>
        <v>5</v>
      </c>
      <c r="G812">
        <f ca="1">IF(Tabla142[[#This Row],[frecuencia_new]]="Diaria","",IF(Tabla142[[#This Row],[frecuencia_new]]="Semanal","",IF(Tabla142[[#This Row],[frecuencia_new]]="Quincenal",RANDBETWEEN(1,2),RANDBETWEEN(1,4))))</f>
        <v>1</v>
      </c>
      <c r="H81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12" t="s">
        <v>63</v>
      </c>
      <c r="K812">
        <f>SUM(MID(Tabla142[[#This Row],[Duración]],1,2)*60,MID(Tabla142[[#This Row],[Duración]],6,2))</f>
        <v>60</v>
      </c>
      <c r="L812" s="4" t="s">
        <v>58</v>
      </c>
      <c r="M812" t="s">
        <v>239</v>
      </c>
      <c r="N812" t="s">
        <v>300</v>
      </c>
      <c r="O812" t="s">
        <v>392</v>
      </c>
      <c r="P812" t="s">
        <v>364</v>
      </c>
      <c r="Q812" s="20">
        <v>46032.649155092593</v>
      </c>
      <c r="R812" t="s">
        <v>1846</v>
      </c>
      <c r="T812" t="s">
        <v>517</v>
      </c>
    </row>
    <row r="813" spans="1:20" ht="15" customHeight="1" x14ac:dyDescent="0.25">
      <c r="A813">
        <f t="shared" si="12"/>
        <v>106</v>
      </c>
      <c r="B813" t="s">
        <v>1445</v>
      </c>
      <c r="C813" t="s">
        <v>54</v>
      </c>
      <c r="D813">
        <v>8</v>
      </c>
      <c r="E8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13">
        <f ca="1">IF(Tabla142[[#This Row],[frecuencia_new]]="Diaria"," ",RANDBETWEEN(1,6))</f>
        <v>5</v>
      </c>
      <c r="G813" t="str">
        <f ca="1">IF(Tabla142[[#This Row],[frecuencia_new]]="Diaria","",IF(Tabla142[[#This Row],[frecuencia_new]]="Semanal","",IF(Tabla142[[#This Row],[frecuencia_new]]="Quincenal",RANDBETWEEN(1,2),RANDBETWEEN(1,4))))</f>
        <v/>
      </c>
      <c r="H8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13" t="s">
        <v>57</v>
      </c>
      <c r="K813">
        <f>SUM(MID(Tabla142[[#This Row],[Duración]],1,2)*60,MID(Tabla142[[#This Row],[Duración]],6,2))</f>
        <v>30</v>
      </c>
      <c r="L813" s="4" t="s">
        <v>48</v>
      </c>
      <c r="M813" t="s">
        <v>239</v>
      </c>
      <c r="N813" t="s">
        <v>300</v>
      </c>
      <c r="O813" t="s">
        <v>392</v>
      </c>
      <c r="P813" t="s">
        <v>363</v>
      </c>
      <c r="Q813" s="20">
        <v>46032.649155092593</v>
      </c>
      <c r="R813" t="s">
        <v>8</v>
      </c>
      <c r="T813" t="s">
        <v>517</v>
      </c>
    </row>
    <row r="814" spans="1:20" ht="15" customHeight="1" x14ac:dyDescent="0.25">
      <c r="A814">
        <f t="shared" si="12"/>
        <v>126</v>
      </c>
      <c r="B814" t="s">
        <v>1446</v>
      </c>
      <c r="C814" t="s">
        <v>47</v>
      </c>
      <c r="D814">
        <v>8</v>
      </c>
      <c r="E8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14">
        <f ca="1">IF(Tabla142[[#This Row],[frecuencia_new]]="Diaria"," ",RANDBETWEEN(1,6))</f>
        <v>1</v>
      </c>
      <c r="G814">
        <f ca="1">IF(Tabla142[[#This Row],[frecuencia_new]]="Diaria","",IF(Tabla142[[#This Row],[frecuencia_new]]="Semanal","",IF(Tabla142[[#This Row],[frecuencia_new]]="Quincenal",RANDBETWEEN(1,2),RANDBETWEEN(1,4))))</f>
        <v>1</v>
      </c>
      <c r="H814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814" t="s">
        <v>46</v>
      </c>
      <c r="K814">
        <f>SUM(MID(Tabla142[[#This Row],[Duración]],1,2)*60,MID(Tabla142[[#This Row],[Duración]],6,2))</f>
        <v>60</v>
      </c>
      <c r="L814" s="4" t="s">
        <v>58</v>
      </c>
      <c r="M814" t="s">
        <v>239</v>
      </c>
      <c r="N814" t="s">
        <v>300</v>
      </c>
      <c r="O814" t="s">
        <v>380</v>
      </c>
      <c r="P814" t="s">
        <v>360</v>
      </c>
      <c r="Q814" s="20">
        <v>46032.649155092593</v>
      </c>
      <c r="R814" t="s">
        <v>5</v>
      </c>
      <c r="T814" t="s">
        <v>537</v>
      </c>
    </row>
    <row r="815" spans="1:20" ht="15" customHeight="1" x14ac:dyDescent="0.25">
      <c r="A815">
        <f t="shared" si="12"/>
        <v>126</v>
      </c>
      <c r="B815" t="s">
        <v>1447</v>
      </c>
      <c r="C815" t="s">
        <v>47</v>
      </c>
      <c r="D815">
        <v>8</v>
      </c>
      <c r="E8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15">
        <f ca="1">IF(Tabla142[[#This Row],[frecuencia_new]]="Diaria"," ",RANDBETWEEN(1,6))</f>
        <v>4</v>
      </c>
      <c r="G815">
        <f ca="1">IF(Tabla142[[#This Row],[frecuencia_new]]="Diaria","",IF(Tabla142[[#This Row],[frecuencia_new]]="Semanal","",IF(Tabla142[[#This Row],[frecuencia_new]]="Quincenal",RANDBETWEEN(1,2),RANDBETWEEN(1,4))))</f>
        <v>4</v>
      </c>
      <c r="H815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15" t="s">
        <v>52</v>
      </c>
      <c r="K815">
        <f>SUM(MID(Tabla142[[#This Row],[Duración]],1,2)*60,MID(Tabla142[[#This Row],[Duración]],6,2))</f>
        <v>60</v>
      </c>
      <c r="L815" s="4" t="s">
        <v>58</v>
      </c>
      <c r="M815" t="s">
        <v>239</v>
      </c>
      <c r="N815" t="s">
        <v>300</v>
      </c>
      <c r="O815" t="s">
        <v>380</v>
      </c>
      <c r="P815" t="s">
        <v>365</v>
      </c>
      <c r="Q815" s="20">
        <v>46032.649155092593</v>
      </c>
      <c r="R815" t="s">
        <v>5</v>
      </c>
      <c r="T815" t="s">
        <v>537</v>
      </c>
    </row>
    <row r="816" spans="1:20" ht="15" customHeight="1" x14ac:dyDescent="0.25">
      <c r="A816">
        <f t="shared" si="12"/>
        <v>126</v>
      </c>
      <c r="B816" t="s">
        <v>1448</v>
      </c>
      <c r="C816" t="s">
        <v>54</v>
      </c>
      <c r="D816">
        <v>8</v>
      </c>
      <c r="E8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16">
        <f ca="1">IF(Tabla142[[#This Row],[frecuencia_new]]="Diaria"," ",RANDBETWEEN(1,6))</f>
        <v>6</v>
      </c>
      <c r="G816">
        <f ca="1">IF(Tabla142[[#This Row],[frecuencia_new]]="Diaria","",IF(Tabla142[[#This Row],[frecuencia_new]]="Semanal","",IF(Tabla142[[#This Row],[frecuencia_new]]="Quincenal",RANDBETWEEN(1,2),RANDBETWEEN(1,4))))</f>
        <v>2</v>
      </c>
      <c r="H816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816" t="s">
        <v>53</v>
      </c>
      <c r="K816">
        <f>SUM(MID(Tabla142[[#This Row],[Duración]],1,2)*60,MID(Tabla142[[#This Row],[Duración]],6,2))</f>
        <v>60</v>
      </c>
      <c r="L816" s="4" t="s">
        <v>58</v>
      </c>
      <c r="M816" t="s">
        <v>239</v>
      </c>
      <c r="N816" t="s">
        <v>300</v>
      </c>
      <c r="O816" t="s">
        <v>380</v>
      </c>
      <c r="P816" t="s">
        <v>360</v>
      </c>
      <c r="Q816" s="20">
        <v>46032.649155092593</v>
      </c>
      <c r="R816" t="s">
        <v>5</v>
      </c>
      <c r="T816" t="s">
        <v>537</v>
      </c>
    </row>
    <row r="817" spans="1:20" ht="15" customHeight="1" x14ac:dyDescent="0.25">
      <c r="A817">
        <f t="shared" si="12"/>
        <v>126</v>
      </c>
      <c r="B817" t="s">
        <v>1449</v>
      </c>
      <c r="C817" t="s">
        <v>47</v>
      </c>
      <c r="D817">
        <v>8</v>
      </c>
      <c r="E8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17">
        <f ca="1">IF(Tabla142[[#This Row],[frecuencia_new]]="Diaria"," ",RANDBETWEEN(1,6))</f>
        <v>1</v>
      </c>
      <c r="G817">
        <f ca="1">IF(Tabla142[[#This Row],[frecuencia_new]]="Diaria","",IF(Tabla142[[#This Row],[frecuencia_new]]="Semanal","",IF(Tabla142[[#This Row],[frecuencia_new]]="Quincenal",RANDBETWEEN(1,2),RANDBETWEEN(1,4))))</f>
        <v>4</v>
      </c>
      <c r="H817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817" t="s">
        <v>64</v>
      </c>
      <c r="K817">
        <f>SUM(MID(Tabla142[[#This Row],[Duración]],1,2)*60,MID(Tabla142[[#This Row],[Duración]],6,2))</f>
        <v>180</v>
      </c>
      <c r="L817" s="4" t="s">
        <v>65</v>
      </c>
      <c r="M817" t="s">
        <v>239</v>
      </c>
      <c r="N817" t="s">
        <v>300</v>
      </c>
      <c r="O817" t="s">
        <v>380</v>
      </c>
      <c r="P817" t="s">
        <v>360</v>
      </c>
      <c r="Q817" s="20">
        <v>46032.649155092593</v>
      </c>
      <c r="R817" t="s">
        <v>5</v>
      </c>
      <c r="T817" t="s">
        <v>537</v>
      </c>
    </row>
    <row r="818" spans="1:20" ht="15" customHeight="1" x14ac:dyDescent="0.25">
      <c r="A818">
        <f t="shared" si="12"/>
        <v>200</v>
      </c>
      <c r="B818" t="s">
        <v>1450</v>
      </c>
      <c r="C818" s="18" t="s">
        <v>47</v>
      </c>
      <c r="D818" s="18">
        <v>8</v>
      </c>
      <c r="E8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18" t="str">
        <f ca="1">IF(Tabla142[[#This Row],[frecuencia_new]]="Diaria"," ",RANDBETWEEN(1,6))</f>
        <v xml:space="preserve"> </v>
      </c>
      <c r="G818" t="str">
        <f ca="1">IF(Tabla142[[#This Row],[frecuencia_new]]="Diaria","",IF(Tabla142[[#This Row],[frecuencia_new]]="Semanal","",IF(Tabla142[[#This Row],[frecuencia_new]]="Quincenal",RANDBETWEEN(1,2),RANDBETWEEN(1,4))))</f>
        <v/>
      </c>
      <c r="H8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18" s="18" t="s">
        <v>59</v>
      </c>
      <c r="K818" s="18">
        <f>SUM(MID(Tabla142[[#This Row],[Duración]],1,2)*60,MID(Tabla142[[#This Row],[Duración]],6,2))</f>
        <v>2</v>
      </c>
      <c r="L818" s="19" t="s">
        <v>60</v>
      </c>
      <c r="M818" s="18" t="s">
        <v>239</v>
      </c>
      <c r="N818" t="s">
        <v>300</v>
      </c>
      <c r="O818" t="s">
        <v>398</v>
      </c>
      <c r="P818" t="s">
        <v>367</v>
      </c>
      <c r="Q818" s="20">
        <v>46032.649155092593</v>
      </c>
      <c r="R818" s="18" t="s">
        <v>6</v>
      </c>
      <c r="T818" t="s">
        <v>611</v>
      </c>
    </row>
    <row r="819" spans="1:20" ht="15" customHeight="1" x14ac:dyDescent="0.25">
      <c r="A819">
        <f t="shared" si="12"/>
        <v>79</v>
      </c>
      <c r="B819" t="s">
        <v>1451</v>
      </c>
      <c r="C819" t="s">
        <v>47</v>
      </c>
      <c r="D819">
        <v>16</v>
      </c>
      <c r="E8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19">
        <f ca="1">IF(Tabla142[[#This Row],[frecuencia_new]]="Diaria"," ",RANDBETWEEN(1,6))</f>
        <v>3</v>
      </c>
      <c r="G819">
        <f ca="1">IF(Tabla142[[#This Row],[frecuencia_new]]="Diaria","",IF(Tabla142[[#This Row],[frecuencia_new]]="Semanal","",IF(Tabla142[[#This Row],[frecuencia_new]]="Quincenal",RANDBETWEEN(1,2),RANDBETWEEN(1,4))))</f>
        <v>2</v>
      </c>
      <c r="H8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19" t="s">
        <v>66</v>
      </c>
      <c r="K819">
        <f>SUM(MID(Tabla142[[#This Row],[Duración]],1,2)*60,MID(Tabla142[[#This Row],[Duración]],6,2))</f>
        <v>60</v>
      </c>
      <c r="L819" s="4" t="s">
        <v>58</v>
      </c>
      <c r="M819" t="s">
        <v>239</v>
      </c>
      <c r="N819" t="s">
        <v>300</v>
      </c>
      <c r="O819" t="s">
        <v>382</v>
      </c>
      <c r="P819" t="s">
        <v>363</v>
      </c>
      <c r="Q819" s="20">
        <v>46032.649155092593</v>
      </c>
      <c r="R819" t="s">
        <v>7</v>
      </c>
      <c r="T819" t="s">
        <v>490</v>
      </c>
    </row>
    <row r="820" spans="1:20" ht="15" customHeight="1" x14ac:dyDescent="0.25">
      <c r="A820">
        <f t="shared" si="12"/>
        <v>79</v>
      </c>
      <c r="B820" t="s">
        <v>1452</v>
      </c>
      <c r="C820" t="s">
        <v>47</v>
      </c>
      <c r="D820">
        <v>16</v>
      </c>
      <c r="E8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20">
        <f ca="1">IF(Tabla142[[#This Row],[frecuencia_new]]="Diaria"," ",RANDBETWEEN(1,6))</f>
        <v>6</v>
      </c>
      <c r="G820" t="str">
        <f ca="1">IF(Tabla142[[#This Row],[frecuencia_new]]="Diaria","",IF(Tabla142[[#This Row],[frecuencia_new]]="Semanal","",IF(Tabla142[[#This Row],[frecuencia_new]]="Quincenal",RANDBETWEEN(1,2),RANDBETWEEN(1,4))))</f>
        <v/>
      </c>
      <c r="H8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20" t="s">
        <v>57</v>
      </c>
      <c r="K820">
        <f>SUM(MID(Tabla142[[#This Row],[Duración]],1,2)*60,MID(Tabla142[[#This Row],[Duración]],6,2))</f>
        <v>10</v>
      </c>
      <c r="L820" s="4" t="s">
        <v>71</v>
      </c>
      <c r="M820" t="s">
        <v>239</v>
      </c>
      <c r="N820" t="s">
        <v>300</v>
      </c>
      <c r="O820" t="s">
        <v>382</v>
      </c>
      <c r="P820" t="s">
        <v>363</v>
      </c>
      <c r="Q820" s="20">
        <v>46032.649155092593</v>
      </c>
      <c r="R820" t="s">
        <v>8</v>
      </c>
      <c r="T820" t="s">
        <v>490</v>
      </c>
    </row>
    <row r="821" spans="1:20" ht="15" customHeight="1" x14ac:dyDescent="0.25">
      <c r="A821">
        <f t="shared" si="12"/>
        <v>128</v>
      </c>
      <c r="B821" t="s">
        <v>1453</v>
      </c>
      <c r="C821" t="s">
        <v>47</v>
      </c>
      <c r="D821">
        <v>16</v>
      </c>
      <c r="E8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21">
        <f ca="1">IF(Tabla142[[#This Row],[frecuencia_new]]="Diaria"," ",RANDBETWEEN(1,6))</f>
        <v>5</v>
      </c>
      <c r="G821">
        <f ca="1">IF(Tabla142[[#This Row],[frecuencia_new]]="Diaria","",IF(Tabla142[[#This Row],[frecuencia_new]]="Semanal","",IF(Tabla142[[#This Row],[frecuencia_new]]="Quincenal",RANDBETWEEN(1,2),RANDBETWEEN(1,4))))</f>
        <v>1</v>
      </c>
      <c r="H821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821" t="s">
        <v>46</v>
      </c>
      <c r="K821">
        <f>SUM(MID(Tabla142[[#This Row],[Duración]],1,2)*60,MID(Tabla142[[#This Row],[Duración]],6,2))</f>
        <v>30</v>
      </c>
      <c r="L821" s="4" t="s">
        <v>48</v>
      </c>
      <c r="M821" t="s">
        <v>239</v>
      </c>
      <c r="N821" t="s">
        <v>300</v>
      </c>
      <c r="O821" t="s">
        <v>380</v>
      </c>
      <c r="P821" t="s">
        <v>360</v>
      </c>
      <c r="Q821" s="20">
        <v>46032.649155092593</v>
      </c>
      <c r="R821" t="s">
        <v>5</v>
      </c>
      <c r="T821" t="s">
        <v>539</v>
      </c>
    </row>
    <row r="822" spans="1:20" ht="15" customHeight="1" x14ac:dyDescent="0.25">
      <c r="A822">
        <f t="shared" si="12"/>
        <v>128</v>
      </c>
      <c r="B822" t="s">
        <v>1454</v>
      </c>
      <c r="C822" t="s">
        <v>47</v>
      </c>
      <c r="D822">
        <v>16</v>
      </c>
      <c r="E8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22">
        <f ca="1">IF(Tabla142[[#This Row],[frecuencia_new]]="Diaria"," ",RANDBETWEEN(1,6))</f>
        <v>2</v>
      </c>
      <c r="G822">
        <f ca="1">IF(Tabla142[[#This Row],[frecuencia_new]]="Diaria","",IF(Tabla142[[#This Row],[frecuencia_new]]="Semanal","",IF(Tabla142[[#This Row],[frecuencia_new]]="Quincenal",RANDBETWEEN(1,2),RANDBETWEEN(1,4))))</f>
        <v>1</v>
      </c>
      <c r="H822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822" t="s">
        <v>52</v>
      </c>
      <c r="K822">
        <f>SUM(MID(Tabla142[[#This Row],[Duración]],1,2)*60,MID(Tabla142[[#This Row],[Duración]],6,2))</f>
        <v>30</v>
      </c>
      <c r="L822" s="4" t="s">
        <v>48</v>
      </c>
      <c r="M822" t="s">
        <v>239</v>
      </c>
      <c r="N822" t="s">
        <v>300</v>
      </c>
      <c r="O822" t="s">
        <v>380</v>
      </c>
      <c r="P822" t="s">
        <v>365</v>
      </c>
      <c r="Q822" s="20">
        <v>46032.649155092593</v>
      </c>
      <c r="R822" t="s">
        <v>5</v>
      </c>
      <c r="T822" t="s">
        <v>539</v>
      </c>
    </row>
    <row r="823" spans="1:20" ht="15" customHeight="1" x14ac:dyDescent="0.25">
      <c r="A823">
        <f t="shared" si="12"/>
        <v>128</v>
      </c>
      <c r="B823" t="s">
        <v>1455</v>
      </c>
      <c r="C823" t="s">
        <v>54</v>
      </c>
      <c r="D823">
        <v>16</v>
      </c>
      <c r="E8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23">
        <f ca="1">IF(Tabla142[[#This Row],[frecuencia_new]]="Diaria"," ",RANDBETWEEN(1,6))</f>
        <v>3</v>
      </c>
      <c r="G823">
        <f ca="1">IF(Tabla142[[#This Row],[frecuencia_new]]="Diaria","",IF(Tabla142[[#This Row],[frecuencia_new]]="Semanal","",IF(Tabla142[[#This Row],[frecuencia_new]]="Quincenal",RANDBETWEEN(1,2),RANDBETWEEN(1,4))))</f>
        <v>4</v>
      </c>
      <c r="H823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823" t="s">
        <v>53</v>
      </c>
      <c r="K823">
        <f>SUM(MID(Tabla142[[#This Row],[Duración]],1,2)*60,MID(Tabla142[[#This Row],[Duración]],6,2))</f>
        <v>30</v>
      </c>
      <c r="L823" s="4" t="s">
        <v>48</v>
      </c>
      <c r="M823" t="s">
        <v>239</v>
      </c>
      <c r="N823" t="s">
        <v>300</v>
      </c>
      <c r="O823" t="s">
        <v>380</v>
      </c>
      <c r="P823" t="s">
        <v>365</v>
      </c>
      <c r="Q823" s="20">
        <v>46032.649155092593</v>
      </c>
      <c r="R823" t="s">
        <v>5</v>
      </c>
      <c r="T823" t="s">
        <v>539</v>
      </c>
    </row>
    <row r="824" spans="1:20" ht="15" customHeight="1" x14ac:dyDescent="0.25">
      <c r="A824">
        <f t="shared" si="12"/>
        <v>128</v>
      </c>
      <c r="B824" t="s">
        <v>1456</v>
      </c>
      <c r="C824" t="s">
        <v>47</v>
      </c>
      <c r="D824">
        <v>16</v>
      </c>
      <c r="E8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24">
        <f ca="1">IF(Tabla142[[#This Row],[frecuencia_new]]="Diaria"," ",RANDBETWEEN(1,6))</f>
        <v>1</v>
      </c>
      <c r="G824">
        <f ca="1">IF(Tabla142[[#This Row],[frecuencia_new]]="Diaria","",IF(Tabla142[[#This Row],[frecuencia_new]]="Semanal","",IF(Tabla142[[#This Row],[frecuencia_new]]="Quincenal",RANDBETWEEN(1,2),RANDBETWEEN(1,4))))</f>
        <v>1</v>
      </c>
      <c r="H824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824" t="s">
        <v>64</v>
      </c>
      <c r="K824">
        <f>SUM(MID(Tabla142[[#This Row],[Duración]],1,2)*60,MID(Tabla142[[#This Row],[Duración]],6,2))</f>
        <v>30</v>
      </c>
      <c r="L824" s="4" t="s">
        <v>48</v>
      </c>
      <c r="M824" t="s">
        <v>239</v>
      </c>
      <c r="N824" t="s">
        <v>300</v>
      </c>
      <c r="O824" t="s">
        <v>380</v>
      </c>
      <c r="P824" t="s">
        <v>360</v>
      </c>
      <c r="Q824" s="20">
        <v>46032.649155092593</v>
      </c>
      <c r="R824" t="s">
        <v>5</v>
      </c>
      <c r="T824" t="s">
        <v>539</v>
      </c>
    </row>
    <row r="825" spans="1:20" ht="15" customHeight="1" x14ac:dyDescent="0.25">
      <c r="A825">
        <f t="shared" si="12"/>
        <v>201</v>
      </c>
      <c r="B825" t="s">
        <v>1457</v>
      </c>
      <c r="C825" s="18" t="s">
        <v>47</v>
      </c>
      <c r="D825" s="18">
        <v>16</v>
      </c>
      <c r="E8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25" t="str">
        <f ca="1">IF(Tabla142[[#This Row],[frecuencia_new]]="Diaria"," ",RANDBETWEEN(1,6))</f>
        <v xml:space="preserve"> </v>
      </c>
      <c r="G825" t="str">
        <f ca="1">IF(Tabla142[[#This Row],[frecuencia_new]]="Diaria","",IF(Tabla142[[#This Row],[frecuencia_new]]="Semanal","",IF(Tabla142[[#This Row],[frecuencia_new]]="Quincenal",RANDBETWEEN(1,2),RANDBETWEEN(1,4))))</f>
        <v/>
      </c>
      <c r="H8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25" s="18" t="s">
        <v>67</v>
      </c>
      <c r="K825" s="18">
        <f>SUM(MID(Tabla142[[#This Row],[Duración]],1,2)*60,MID(Tabla142[[#This Row],[Duración]],6,2))</f>
        <v>5</v>
      </c>
      <c r="L825" s="19" t="s">
        <v>50</v>
      </c>
      <c r="M825" s="18" t="s">
        <v>239</v>
      </c>
      <c r="N825" t="s">
        <v>300</v>
      </c>
      <c r="O825" t="s">
        <v>398</v>
      </c>
      <c r="P825" t="s">
        <v>367</v>
      </c>
      <c r="Q825" s="20">
        <v>46032.649155092593</v>
      </c>
      <c r="R825" s="18" t="s">
        <v>6</v>
      </c>
      <c r="T825" t="s">
        <v>612</v>
      </c>
    </row>
    <row r="826" spans="1:20" ht="15" customHeight="1" x14ac:dyDescent="0.25">
      <c r="A826">
        <f t="shared" si="12"/>
        <v>201</v>
      </c>
      <c r="B826" t="s">
        <v>1458</v>
      </c>
      <c r="C826" s="18" t="s">
        <v>47</v>
      </c>
      <c r="D826" s="18">
        <v>16</v>
      </c>
      <c r="E8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26" t="str">
        <f ca="1">IF(Tabla142[[#This Row],[frecuencia_new]]="Diaria"," ",RANDBETWEEN(1,6))</f>
        <v xml:space="preserve"> </v>
      </c>
      <c r="G826" t="str">
        <f ca="1">IF(Tabla142[[#This Row],[frecuencia_new]]="Diaria","",IF(Tabla142[[#This Row],[frecuencia_new]]="Semanal","",IF(Tabla142[[#This Row],[frecuencia_new]]="Quincenal",RANDBETWEEN(1,2),RANDBETWEEN(1,4))))</f>
        <v/>
      </c>
      <c r="H8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26" s="18" t="s">
        <v>68</v>
      </c>
      <c r="K826" s="18">
        <f>SUM(MID(Tabla142[[#This Row],[Duración]],1,2)*60,MID(Tabla142[[#This Row],[Duración]],6,2))</f>
        <v>5</v>
      </c>
      <c r="L826" s="19" t="s">
        <v>50</v>
      </c>
      <c r="M826" s="18" t="s">
        <v>239</v>
      </c>
      <c r="N826" t="s">
        <v>300</v>
      </c>
      <c r="O826" t="s">
        <v>398</v>
      </c>
      <c r="P826" t="s">
        <v>367</v>
      </c>
      <c r="Q826" s="20">
        <v>46032.649155092593</v>
      </c>
      <c r="R826" s="18" t="s">
        <v>6</v>
      </c>
      <c r="T826" t="s">
        <v>612</v>
      </c>
    </row>
    <row r="827" spans="1:20" ht="15" customHeight="1" x14ac:dyDescent="0.25">
      <c r="A827">
        <f t="shared" si="12"/>
        <v>201</v>
      </c>
      <c r="B827" t="s">
        <v>1459</v>
      </c>
      <c r="C827" s="18" t="s">
        <v>47</v>
      </c>
      <c r="D827" s="18">
        <v>16</v>
      </c>
      <c r="E8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27">
        <f ca="1">IF(Tabla142[[#This Row],[frecuencia_new]]="Diaria"," ",RANDBETWEEN(1,6))</f>
        <v>1</v>
      </c>
      <c r="G827">
        <f ca="1">IF(Tabla142[[#This Row],[frecuencia_new]]="Diaria","",IF(Tabla142[[#This Row],[frecuencia_new]]="Semanal","",IF(Tabla142[[#This Row],[frecuencia_new]]="Quincenal",RANDBETWEEN(1,2),RANDBETWEEN(1,4))))</f>
        <v>3</v>
      </c>
      <c r="H8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27" s="18" t="s">
        <v>69</v>
      </c>
      <c r="K827" s="18">
        <f>SUM(MID(Tabla142[[#This Row],[Duración]],1,2)*60,MID(Tabla142[[#This Row],[Duración]],6,2))</f>
        <v>60</v>
      </c>
      <c r="L827" s="19" t="s">
        <v>58</v>
      </c>
      <c r="M827" s="18" t="s">
        <v>239</v>
      </c>
      <c r="N827" t="s">
        <v>300</v>
      </c>
      <c r="O827" t="s">
        <v>398</v>
      </c>
      <c r="P827" t="s">
        <v>367</v>
      </c>
      <c r="Q827" s="20">
        <v>46032.649155092593</v>
      </c>
      <c r="R827" s="18" t="s">
        <v>7</v>
      </c>
      <c r="T827" t="s">
        <v>612</v>
      </c>
    </row>
    <row r="828" spans="1:20" ht="15" customHeight="1" x14ac:dyDescent="0.25">
      <c r="A828">
        <f t="shared" si="12"/>
        <v>201</v>
      </c>
      <c r="B828" t="s">
        <v>1460</v>
      </c>
      <c r="C828" s="18" t="s">
        <v>47</v>
      </c>
      <c r="D828" s="18">
        <v>16</v>
      </c>
      <c r="E8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28">
        <f ca="1">IF(Tabla142[[#This Row],[frecuencia_new]]="Diaria"," ",RANDBETWEEN(1,6))</f>
        <v>1</v>
      </c>
      <c r="G828" t="str">
        <f ca="1">IF(Tabla142[[#This Row],[frecuencia_new]]="Diaria","",IF(Tabla142[[#This Row],[frecuencia_new]]="Semanal","",IF(Tabla142[[#This Row],[frecuencia_new]]="Quincenal",RANDBETWEEN(1,2),RANDBETWEEN(1,4))))</f>
        <v/>
      </c>
      <c r="H82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28" s="18" t="s">
        <v>70</v>
      </c>
      <c r="K828" s="18">
        <f>SUM(MID(Tabla142[[#This Row],[Duración]],1,2)*60,MID(Tabla142[[#This Row],[Duración]],6,2))</f>
        <v>30</v>
      </c>
      <c r="L828" s="19" t="s">
        <v>48</v>
      </c>
      <c r="M828" s="18" t="s">
        <v>239</v>
      </c>
      <c r="N828" t="s">
        <v>300</v>
      </c>
      <c r="O828" t="s">
        <v>398</v>
      </c>
      <c r="P828" t="s">
        <v>367</v>
      </c>
      <c r="Q828" s="20">
        <v>46032.649155092593</v>
      </c>
      <c r="R828" s="18" t="s">
        <v>8</v>
      </c>
      <c r="T828" t="s">
        <v>612</v>
      </c>
    </row>
    <row r="829" spans="1:20" ht="15" customHeight="1" x14ac:dyDescent="0.25">
      <c r="A829">
        <f t="shared" si="12"/>
        <v>109</v>
      </c>
      <c r="B829" t="s">
        <v>1461</v>
      </c>
      <c r="C829" t="s">
        <v>47</v>
      </c>
      <c r="D829">
        <v>51</v>
      </c>
      <c r="E8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29">
        <f ca="1">IF(Tabla142[[#This Row],[frecuencia_new]]="Diaria"," ",RANDBETWEEN(1,6))</f>
        <v>6</v>
      </c>
      <c r="G829">
        <f ca="1">IF(Tabla142[[#This Row],[frecuencia_new]]="Diaria","",IF(Tabla142[[#This Row],[frecuencia_new]]="Semanal","",IF(Tabla142[[#This Row],[frecuencia_new]]="Quincenal",RANDBETWEEN(1,2),RANDBETWEEN(1,4))))</f>
        <v>3</v>
      </c>
      <c r="H8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29" t="s">
        <v>92</v>
      </c>
      <c r="K829">
        <f>SUM(MID(Tabla142[[#This Row],[Duración]],1,2)*60,MID(Tabla142[[#This Row],[Duración]],6,2))</f>
        <v>30</v>
      </c>
      <c r="L829" s="4" t="s">
        <v>48</v>
      </c>
      <c r="M829" t="s">
        <v>239</v>
      </c>
      <c r="N829" t="s">
        <v>300</v>
      </c>
      <c r="O829" t="s">
        <v>392</v>
      </c>
      <c r="P829" t="s">
        <v>363</v>
      </c>
      <c r="Q829" s="20">
        <v>46032.649155092593</v>
      </c>
      <c r="R829" t="s">
        <v>7</v>
      </c>
      <c r="T829" t="s">
        <v>520</v>
      </c>
    </row>
    <row r="830" spans="1:20" ht="15" customHeight="1" x14ac:dyDescent="0.25">
      <c r="A830">
        <f t="shared" si="12"/>
        <v>109</v>
      </c>
      <c r="B830" t="s">
        <v>1462</v>
      </c>
      <c r="C830" t="s">
        <v>47</v>
      </c>
      <c r="D830">
        <v>51</v>
      </c>
      <c r="E8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30">
        <f ca="1">IF(Tabla142[[#This Row],[frecuencia_new]]="Diaria"," ",RANDBETWEEN(1,6))</f>
        <v>4</v>
      </c>
      <c r="G830">
        <f ca="1">IF(Tabla142[[#This Row],[frecuencia_new]]="Diaria","",IF(Tabla142[[#This Row],[frecuencia_new]]="Semanal","",IF(Tabla142[[#This Row],[frecuencia_new]]="Quincenal",RANDBETWEEN(1,2),RANDBETWEEN(1,4))))</f>
        <v>4</v>
      </c>
      <c r="H83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30" t="s">
        <v>93</v>
      </c>
      <c r="K830">
        <f>SUM(MID(Tabla142[[#This Row],[Duración]],1,2)*60,MID(Tabla142[[#This Row],[Duración]],6,2))</f>
        <v>30</v>
      </c>
      <c r="L830" s="4" t="s">
        <v>48</v>
      </c>
      <c r="M830" t="s">
        <v>239</v>
      </c>
      <c r="N830" t="s">
        <v>300</v>
      </c>
      <c r="O830" t="s">
        <v>392</v>
      </c>
      <c r="P830" t="s">
        <v>363</v>
      </c>
      <c r="Q830" s="20">
        <v>46032.649155092593</v>
      </c>
      <c r="R830" t="s">
        <v>7</v>
      </c>
      <c r="T830" t="s">
        <v>520</v>
      </c>
    </row>
    <row r="831" spans="1:20" ht="15" customHeight="1" x14ac:dyDescent="0.25">
      <c r="A831">
        <f t="shared" si="12"/>
        <v>109</v>
      </c>
      <c r="B831" t="s">
        <v>1463</v>
      </c>
      <c r="C831" t="s">
        <v>47</v>
      </c>
      <c r="D831">
        <v>51</v>
      </c>
      <c r="E8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31">
        <f ca="1">IF(Tabla142[[#This Row],[frecuencia_new]]="Diaria"," ",RANDBETWEEN(1,6))</f>
        <v>1</v>
      </c>
      <c r="G831">
        <f ca="1">IF(Tabla142[[#This Row],[frecuencia_new]]="Diaria","",IF(Tabla142[[#This Row],[frecuencia_new]]="Semanal","",IF(Tabla142[[#This Row],[frecuencia_new]]="Quincenal",RANDBETWEEN(1,2),RANDBETWEEN(1,4))))</f>
        <v>2</v>
      </c>
      <c r="H83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31" t="s">
        <v>94</v>
      </c>
      <c r="K831">
        <f>SUM(MID(Tabla142[[#This Row],[Duración]],1,2)*60,MID(Tabla142[[#This Row],[Duración]],6,2))</f>
        <v>30</v>
      </c>
      <c r="L831" s="4" t="s">
        <v>48</v>
      </c>
      <c r="M831" t="s">
        <v>239</v>
      </c>
      <c r="N831" t="s">
        <v>300</v>
      </c>
      <c r="O831" t="s">
        <v>392</v>
      </c>
      <c r="P831" t="s">
        <v>363</v>
      </c>
      <c r="Q831" s="20">
        <v>46032.649155092593</v>
      </c>
      <c r="R831" t="s">
        <v>7</v>
      </c>
      <c r="T831" t="s">
        <v>520</v>
      </c>
    </row>
    <row r="832" spans="1:20" ht="15" customHeight="1" x14ac:dyDescent="0.25">
      <c r="A832">
        <f t="shared" si="12"/>
        <v>109</v>
      </c>
      <c r="B832" t="s">
        <v>1464</v>
      </c>
      <c r="C832" t="s">
        <v>47</v>
      </c>
      <c r="D832">
        <v>51</v>
      </c>
      <c r="E8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32">
        <f ca="1">IF(Tabla142[[#This Row],[frecuencia_new]]="Diaria"," ",RANDBETWEEN(1,6))</f>
        <v>2</v>
      </c>
      <c r="G832">
        <f ca="1">IF(Tabla142[[#This Row],[frecuencia_new]]="Diaria","",IF(Tabla142[[#This Row],[frecuencia_new]]="Semanal","",IF(Tabla142[[#This Row],[frecuencia_new]]="Quincenal",RANDBETWEEN(1,2),RANDBETWEEN(1,4))))</f>
        <v>4</v>
      </c>
      <c r="H8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32" t="s">
        <v>95</v>
      </c>
      <c r="K832">
        <f>SUM(MID(Tabla142[[#This Row],[Duración]],1,2)*60,MID(Tabla142[[#This Row],[Duración]],6,2))</f>
        <v>90</v>
      </c>
      <c r="L832" s="4" t="s">
        <v>96</v>
      </c>
      <c r="M832" t="s">
        <v>239</v>
      </c>
      <c r="N832" t="s">
        <v>300</v>
      </c>
      <c r="O832" t="s">
        <v>392</v>
      </c>
      <c r="P832" t="s">
        <v>363</v>
      </c>
      <c r="Q832" s="20">
        <v>46032.649155092593</v>
      </c>
      <c r="R832" t="s">
        <v>7</v>
      </c>
      <c r="T832" t="s">
        <v>520</v>
      </c>
    </row>
    <row r="833" spans="1:20" ht="15" customHeight="1" x14ac:dyDescent="0.25">
      <c r="A833">
        <f t="shared" si="12"/>
        <v>109</v>
      </c>
      <c r="B833" t="s">
        <v>1465</v>
      </c>
      <c r="C833" t="s">
        <v>47</v>
      </c>
      <c r="D833">
        <v>51</v>
      </c>
      <c r="E8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33">
        <f ca="1">IF(Tabla142[[#This Row],[frecuencia_new]]="Diaria"," ",RANDBETWEEN(1,6))</f>
        <v>2</v>
      </c>
      <c r="G833">
        <f ca="1">IF(Tabla142[[#This Row],[frecuencia_new]]="Diaria","",IF(Tabla142[[#This Row],[frecuencia_new]]="Semanal","",IF(Tabla142[[#This Row],[frecuencia_new]]="Quincenal",RANDBETWEEN(1,2),RANDBETWEEN(1,4))))</f>
        <v>1</v>
      </c>
      <c r="H83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33" t="s">
        <v>97</v>
      </c>
      <c r="K833">
        <f>SUM(MID(Tabla142[[#This Row],[Duración]],1,2)*60,MID(Tabla142[[#This Row],[Duración]],6,2))</f>
        <v>30</v>
      </c>
      <c r="L833" s="4" t="s">
        <v>48</v>
      </c>
      <c r="M833" t="s">
        <v>239</v>
      </c>
      <c r="N833" t="s">
        <v>300</v>
      </c>
      <c r="O833" t="s">
        <v>392</v>
      </c>
      <c r="P833" t="s">
        <v>363</v>
      </c>
      <c r="Q833" s="20">
        <v>46032.649155092593</v>
      </c>
      <c r="R833" t="s">
        <v>18</v>
      </c>
      <c r="T833" t="s">
        <v>520</v>
      </c>
    </row>
    <row r="834" spans="1:20" ht="15" customHeight="1" x14ac:dyDescent="0.25">
      <c r="A834">
        <f t="shared" ref="A834:A897" si="13">VLOOKUP(T834,$V$2:$W$222,2,FALSE)</f>
        <v>109</v>
      </c>
      <c r="B834" t="s">
        <v>1466</v>
      </c>
      <c r="C834" t="s">
        <v>54</v>
      </c>
      <c r="D834">
        <v>51</v>
      </c>
      <c r="E8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34">
        <f ca="1">IF(Tabla142[[#This Row],[frecuencia_new]]="Diaria"," ",RANDBETWEEN(1,6))</f>
        <v>5</v>
      </c>
      <c r="G834" t="str">
        <f ca="1">IF(Tabla142[[#This Row],[frecuencia_new]]="Diaria","",IF(Tabla142[[#This Row],[frecuencia_new]]="Semanal","",IF(Tabla142[[#This Row],[frecuencia_new]]="Quincenal",RANDBETWEEN(1,2),RANDBETWEEN(1,4))))</f>
        <v/>
      </c>
      <c r="H8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34" t="s">
        <v>57</v>
      </c>
      <c r="K834">
        <f>SUM(MID(Tabla142[[#This Row],[Duración]],1,2)*60,MID(Tabla142[[#This Row],[Duración]],6,2))</f>
        <v>15</v>
      </c>
      <c r="L834" s="4" t="s">
        <v>77</v>
      </c>
      <c r="M834" t="s">
        <v>239</v>
      </c>
      <c r="N834" t="s">
        <v>300</v>
      </c>
      <c r="O834" t="s">
        <v>392</v>
      </c>
      <c r="P834" t="s">
        <v>363</v>
      </c>
      <c r="Q834" s="20">
        <v>46032.649155092593</v>
      </c>
      <c r="R834" t="s">
        <v>8</v>
      </c>
      <c r="T834" t="s">
        <v>520</v>
      </c>
    </row>
    <row r="835" spans="1:20" ht="15" customHeight="1" x14ac:dyDescent="0.25">
      <c r="A835">
        <f t="shared" si="13"/>
        <v>139</v>
      </c>
      <c r="B835" t="s">
        <v>1467</v>
      </c>
      <c r="C835" t="s">
        <v>47</v>
      </c>
      <c r="D835">
        <v>51</v>
      </c>
      <c r="E8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35">
        <f ca="1">IF(Tabla142[[#This Row],[frecuencia_new]]="Diaria"," ",RANDBETWEEN(1,6))</f>
        <v>6</v>
      </c>
      <c r="G835">
        <f ca="1">IF(Tabla142[[#This Row],[frecuencia_new]]="Diaria","",IF(Tabla142[[#This Row],[frecuencia_new]]="Semanal","",IF(Tabla142[[#This Row],[frecuencia_new]]="Quincenal",RANDBETWEEN(1,2),RANDBETWEEN(1,4))))</f>
        <v>4</v>
      </c>
      <c r="H835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835" t="s">
        <v>46</v>
      </c>
      <c r="K835">
        <f>SUM(MID(Tabla142[[#This Row],[Duración]],1,2)*60,MID(Tabla142[[#This Row],[Duración]],6,2))</f>
        <v>30</v>
      </c>
      <c r="L835" s="4" t="s">
        <v>48</v>
      </c>
      <c r="M835" t="s">
        <v>239</v>
      </c>
      <c r="N835" t="s">
        <v>300</v>
      </c>
      <c r="O835" t="s">
        <v>380</v>
      </c>
      <c r="P835" t="s">
        <v>360</v>
      </c>
      <c r="Q835" s="20">
        <v>46032.649155092593</v>
      </c>
      <c r="R835" t="s">
        <v>5</v>
      </c>
      <c r="T835" t="s">
        <v>550</v>
      </c>
    </row>
    <row r="836" spans="1:20" ht="15" customHeight="1" x14ac:dyDescent="0.25">
      <c r="A836">
        <f t="shared" si="13"/>
        <v>139</v>
      </c>
      <c r="B836" t="s">
        <v>1468</v>
      </c>
      <c r="C836" t="s">
        <v>47</v>
      </c>
      <c r="D836">
        <v>51</v>
      </c>
      <c r="E8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36">
        <f ca="1">IF(Tabla142[[#This Row],[frecuencia_new]]="Diaria"," ",RANDBETWEEN(1,6))</f>
        <v>3</v>
      </c>
      <c r="G836">
        <f ca="1">IF(Tabla142[[#This Row],[frecuencia_new]]="Diaria","",IF(Tabla142[[#This Row],[frecuencia_new]]="Semanal","",IF(Tabla142[[#This Row],[frecuencia_new]]="Quincenal",RANDBETWEEN(1,2),RANDBETWEEN(1,4))))</f>
        <v>2</v>
      </c>
      <c r="H836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836" t="s">
        <v>52</v>
      </c>
      <c r="K836">
        <f>SUM(MID(Tabla142[[#This Row],[Duración]],1,2)*60,MID(Tabla142[[#This Row],[Duración]],6,2))</f>
        <v>30</v>
      </c>
      <c r="L836" s="4" t="s">
        <v>48</v>
      </c>
      <c r="M836" t="s">
        <v>239</v>
      </c>
      <c r="N836" t="s">
        <v>300</v>
      </c>
      <c r="O836" t="s">
        <v>380</v>
      </c>
      <c r="P836" t="s">
        <v>360</v>
      </c>
      <c r="Q836" s="20">
        <v>46032.649155092593</v>
      </c>
      <c r="R836" t="s">
        <v>5</v>
      </c>
      <c r="T836" t="s">
        <v>550</v>
      </c>
    </row>
    <row r="837" spans="1:20" ht="15" customHeight="1" x14ac:dyDescent="0.25">
      <c r="A837">
        <f t="shared" si="13"/>
        <v>139</v>
      </c>
      <c r="B837" t="s">
        <v>1469</v>
      </c>
      <c r="C837" t="s">
        <v>54</v>
      </c>
      <c r="D837">
        <v>51</v>
      </c>
      <c r="E8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37">
        <f ca="1">IF(Tabla142[[#This Row],[frecuencia_new]]="Diaria"," ",RANDBETWEEN(1,6))</f>
        <v>2</v>
      </c>
      <c r="G837">
        <f ca="1">IF(Tabla142[[#This Row],[frecuencia_new]]="Diaria","",IF(Tabla142[[#This Row],[frecuencia_new]]="Semanal","",IF(Tabla142[[#This Row],[frecuencia_new]]="Quincenal",RANDBETWEEN(1,2),RANDBETWEEN(1,4))))</f>
        <v>3</v>
      </c>
      <c r="H837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837" t="s">
        <v>53</v>
      </c>
      <c r="K837">
        <f>SUM(MID(Tabla142[[#This Row],[Duración]],1,2)*60,MID(Tabla142[[#This Row],[Duración]],6,2))</f>
        <v>30</v>
      </c>
      <c r="L837" s="4" t="s">
        <v>48</v>
      </c>
      <c r="M837" t="s">
        <v>239</v>
      </c>
      <c r="N837" t="s">
        <v>300</v>
      </c>
      <c r="O837" t="s">
        <v>380</v>
      </c>
      <c r="P837" t="s">
        <v>360</v>
      </c>
      <c r="Q837" s="20">
        <v>46032.649155092593</v>
      </c>
      <c r="R837" t="s">
        <v>5</v>
      </c>
      <c r="T837" t="s">
        <v>550</v>
      </c>
    </row>
    <row r="838" spans="1:20" ht="15" customHeight="1" x14ac:dyDescent="0.25">
      <c r="A838">
        <f t="shared" si="13"/>
        <v>139</v>
      </c>
      <c r="B838" t="s">
        <v>1470</v>
      </c>
      <c r="C838" t="s">
        <v>47</v>
      </c>
      <c r="D838">
        <v>51</v>
      </c>
      <c r="E8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38">
        <f ca="1">IF(Tabla142[[#This Row],[frecuencia_new]]="Diaria"," ",RANDBETWEEN(1,6))</f>
        <v>6</v>
      </c>
      <c r="G838">
        <f ca="1">IF(Tabla142[[#This Row],[frecuencia_new]]="Diaria","",IF(Tabla142[[#This Row],[frecuencia_new]]="Semanal","",IF(Tabla142[[#This Row],[frecuencia_new]]="Quincenal",RANDBETWEEN(1,2),RANDBETWEEN(1,4))))</f>
        <v>2</v>
      </c>
      <c r="H838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38" t="s">
        <v>64</v>
      </c>
      <c r="K838">
        <f>SUM(MID(Tabla142[[#This Row],[Duración]],1,2)*60,MID(Tabla142[[#This Row],[Duración]],6,2))</f>
        <v>30</v>
      </c>
      <c r="L838" s="4" t="s">
        <v>48</v>
      </c>
      <c r="M838" t="s">
        <v>239</v>
      </c>
      <c r="N838" t="s">
        <v>300</v>
      </c>
      <c r="O838" t="s">
        <v>380</v>
      </c>
      <c r="P838" t="s">
        <v>360</v>
      </c>
      <c r="Q838" s="20">
        <v>46032.649155092593</v>
      </c>
      <c r="R838" t="s">
        <v>5</v>
      </c>
      <c r="T838" t="s">
        <v>550</v>
      </c>
    </row>
    <row r="839" spans="1:20" ht="15" customHeight="1" x14ac:dyDescent="0.25">
      <c r="A839">
        <f t="shared" si="13"/>
        <v>88</v>
      </c>
      <c r="B839" t="s">
        <v>1471</v>
      </c>
      <c r="C839" t="s">
        <v>47</v>
      </c>
      <c r="D839">
        <v>66</v>
      </c>
      <c r="E8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39">
        <f ca="1">IF(Tabla142[[#This Row],[frecuencia_new]]="Diaria"," ",RANDBETWEEN(1,6))</f>
        <v>5</v>
      </c>
      <c r="G839">
        <f ca="1">IF(Tabla142[[#This Row],[frecuencia_new]]="Diaria","",IF(Tabla142[[#This Row],[frecuencia_new]]="Semanal","",IF(Tabla142[[#This Row],[frecuencia_new]]="Quincenal",RANDBETWEEN(1,2),RANDBETWEEN(1,4))))</f>
        <v>2</v>
      </c>
      <c r="H8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39" t="s">
        <v>99</v>
      </c>
      <c r="K839">
        <f>SUM(MID(Tabla142[[#This Row],[Duración]],1,2)*60,MID(Tabla142[[#This Row],[Duración]],6,2))</f>
        <v>30</v>
      </c>
      <c r="L839" s="4" t="s">
        <v>48</v>
      </c>
      <c r="M839" t="s">
        <v>239</v>
      </c>
      <c r="N839" t="s">
        <v>300</v>
      </c>
      <c r="O839" t="s">
        <v>382</v>
      </c>
      <c r="P839" t="s">
        <v>363</v>
      </c>
      <c r="Q839" s="20">
        <v>46032.649155092593</v>
      </c>
      <c r="R839" t="s">
        <v>7</v>
      </c>
      <c r="T839" t="s">
        <v>499</v>
      </c>
    </row>
    <row r="840" spans="1:20" ht="15" customHeight="1" x14ac:dyDescent="0.25">
      <c r="A840">
        <f t="shared" si="13"/>
        <v>88</v>
      </c>
      <c r="B840" t="s">
        <v>1472</v>
      </c>
      <c r="C840" t="s">
        <v>47</v>
      </c>
      <c r="D840">
        <v>66</v>
      </c>
      <c r="E8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40">
        <f ca="1">IF(Tabla142[[#This Row],[frecuencia_new]]="Diaria"," ",RANDBETWEEN(1,6))</f>
        <v>4</v>
      </c>
      <c r="G840" t="str">
        <f ca="1">IF(Tabla142[[#This Row],[frecuencia_new]]="Diaria","",IF(Tabla142[[#This Row],[frecuencia_new]]="Semanal","",IF(Tabla142[[#This Row],[frecuencia_new]]="Quincenal",RANDBETWEEN(1,2),RANDBETWEEN(1,4))))</f>
        <v/>
      </c>
      <c r="H8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40" t="s">
        <v>100</v>
      </c>
      <c r="K840">
        <f>SUM(MID(Tabla142[[#This Row],[Duración]],1,2)*60,MID(Tabla142[[#This Row],[Duración]],6,2))</f>
        <v>20</v>
      </c>
      <c r="L840" s="4" t="s">
        <v>82</v>
      </c>
      <c r="M840" t="s">
        <v>239</v>
      </c>
      <c r="N840" t="s">
        <v>300</v>
      </c>
      <c r="O840" t="s">
        <v>382</v>
      </c>
      <c r="P840" t="s">
        <v>363</v>
      </c>
      <c r="Q840" s="20">
        <v>46032.649155092593</v>
      </c>
      <c r="R840" t="s">
        <v>8</v>
      </c>
      <c r="T840" t="s">
        <v>499</v>
      </c>
    </row>
    <row r="841" spans="1:20" ht="15" customHeight="1" x14ac:dyDescent="0.25">
      <c r="A841">
        <f t="shared" si="13"/>
        <v>88</v>
      </c>
      <c r="B841" t="s">
        <v>1473</v>
      </c>
      <c r="C841" t="s">
        <v>47</v>
      </c>
      <c r="D841">
        <v>66</v>
      </c>
      <c r="E8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41">
        <f ca="1">IF(Tabla142[[#This Row],[frecuencia_new]]="Diaria"," ",RANDBETWEEN(1,6))</f>
        <v>3</v>
      </c>
      <c r="G841">
        <f ca="1">IF(Tabla142[[#This Row],[frecuencia_new]]="Diaria","",IF(Tabla142[[#This Row],[frecuencia_new]]="Semanal","",IF(Tabla142[[#This Row],[frecuencia_new]]="Quincenal",RANDBETWEEN(1,2),RANDBETWEEN(1,4))))</f>
        <v>1</v>
      </c>
      <c r="H841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841" t="s">
        <v>102</v>
      </c>
      <c r="K841">
        <f>SUM(MID(Tabla142[[#This Row],[Duración]],1,2)*60,MID(Tabla142[[#This Row],[Duración]],6,2))</f>
        <v>180</v>
      </c>
      <c r="L841" s="4" t="s">
        <v>65</v>
      </c>
      <c r="M841" t="s">
        <v>239</v>
      </c>
      <c r="N841" t="s">
        <v>300</v>
      </c>
      <c r="O841" t="s">
        <v>382</v>
      </c>
      <c r="P841" t="s">
        <v>363</v>
      </c>
      <c r="Q841" s="20">
        <v>46032.649155092593</v>
      </c>
      <c r="R841" t="s">
        <v>5</v>
      </c>
      <c r="T841" t="s">
        <v>499</v>
      </c>
    </row>
    <row r="842" spans="1:20" ht="15" customHeight="1" x14ac:dyDescent="0.25">
      <c r="A842">
        <f t="shared" si="13"/>
        <v>88</v>
      </c>
      <c r="B842" t="s">
        <v>1474</v>
      </c>
      <c r="C842" t="s">
        <v>47</v>
      </c>
      <c r="D842">
        <v>66</v>
      </c>
      <c r="E8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42">
        <f ca="1">IF(Tabla142[[#This Row],[frecuencia_new]]="Diaria"," ",RANDBETWEEN(1,6))</f>
        <v>1</v>
      </c>
      <c r="G842" t="str">
        <f ca="1">IF(Tabla142[[#This Row],[frecuencia_new]]="Diaria","",IF(Tabla142[[#This Row],[frecuencia_new]]="Semanal","",IF(Tabla142[[#This Row],[frecuencia_new]]="Quincenal",RANDBETWEEN(1,2),RANDBETWEEN(1,4))))</f>
        <v/>
      </c>
      <c r="H8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42" t="s">
        <v>80</v>
      </c>
      <c r="K842">
        <f>SUM(MID(Tabla142[[#This Row],[Duración]],1,2)*60,MID(Tabla142[[#This Row],[Duración]],6,2))</f>
        <v>20</v>
      </c>
      <c r="L842" s="4" t="s">
        <v>82</v>
      </c>
      <c r="M842" t="s">
        <v>239</v>
      </c>
      <c r="N842" t="s">
        <v>300</v>
      </c>
      <c r="O842" t="s">
        <v>382</v>
      </c>
      <c r="P842" t="s">
        <v>363</v>
      </c>
      <c r="Q842" s="20">
        <v>46032.649155092593</v>
      </c>
      <c r="R842" t="s">
        <v>8</v>
      </c>
      <c r="T842" t="s">
        <v>499</v>
      </c>
    </row>
    <row r="843" spans="1:20" x14ac:dyDescent="0.25">
      <c r="A843">
        <f t="shared" si="13"/>
        <v>88</v>
      </c>
      <c r="B843" t="s">
        <v>1475</v>
      </c>
      <c r="C843" t="s">
        <v>47</v>
      </c>
      <c r="D843">
        <v>66</v>
      </c>
      <c r="E8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843">
        <f ca="1">IF(Tabla142[[#This Row],[frecuencia_new]]="Diaria"," ",RANDBETWEEN(1,6))</f>
        <v>2</v>
      </c>
      <c r="G843">
        <f ca="1">IF(Tabla142[[#This Row],[frecuencia_new]]="Diaria","",IF(Tabla142[[#This Row],[frecuencia_new]]="Semanal","",IF(Tabla142[[#This Row],[frecuencia_new]]="Quincenal",RANDBETWEEN(1,2),RANDBETWEEN(1,4))))</f>
        <v>3</v>
      </c>
      <c r="H84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43" t="s">
        <v>103</v>
      </c>
      <c r="K843">
        <f>SUM(MID(Tabla142[[#This Row],[Duración]],1,2)*60,MID(Tabla142[[#This Row],[Duración]],6,2))</f>
        <v>30</v>
      </c>
      <c r="L843" s="4" t="s">
        <v>48</v>
      </c>
      <c r="M843" t="s">
        <v>239</v>
      </c>
      <c r="N843" t="s">
        <v>300</v>
      </c>
      <c r="O843" t="s">
        <v>382</v>
      </c>
      <c r="P843" t="s">
        <v>363</v>
      </c>
      <c r="Q843" s="20">
        <v>46032.649155092593</v>
      </c>
      <c r="R843" t="s">
        <v>20</v>
      </c>
      <c r="T843" t="s">
        <v>499</v>
      </c>
    </row>
    <row r="844" spans="1:20" ht="15" customHeight="1" x14ac:dyDescent="0.25">
      <c r="A844">
        <f t="shared" si="13"/>
        <v>88</v>
      </c>
      <c r="B844" t="s">
        <v>1476</v>
      </c>
      <c r="C844" t="s">
        <v>47</v>
      </c>
      <c r="D844">
        <v>66</v>
      </c>
      <c r="E8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44">
        <f ca="1">IF(Tabla142[[#This Row],[frecuencia_new]]="Diaria"," ",RANDBETWEEN(1,6))</f>
        <v>5</v>
      </c>
      <c r="G844" t="str">
        <f ca="1">IF(Tabla142[[#This Row],[frecuencia_new]]="Diaria","",IF(Tabla142[[#This Row],[frecuencia_new]]="Semanal","",IF(Tabla142[[#This Row],[frecuencia_new]]="Quincenal",RANDBETWEEN(1,2),RANDBETWEEN(1,4))))</f>
        <v/>
      </c>
      <c r="H84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44" t="s">
        <v>57</v>
      </c>
      <c r="K844">
        <f>SUM(MID(Tabla142[[#This Row],[Duración]],1,2)*60,MID(Tabla142[[#This Row],[Duración]],6,2))</f>
        <v>20</v>
      </c>
      <c r="L844" s="4" t="s">
        <v>82</v>
      </c>
      <c r="M844" t="s">
        <v>239</v>
      </c>
      <c r="N844" t="s">
        <v>300</v>
      </c>
      <c r="O844" t="s">
        <v>382</v>
      </c>
      <c r="P844" t="s">
        <v>363</v>
      </c>
      <c r="Q844" s="20">
        <v>46032.649155092593</v>
      </c>
      <c r="R844" t="s">
        <v>8</v>
      </c>
      <c r="T844" t="s">
        <v>499</v>
      </c>
    </row>
    <row r="845" spans="1:20" ht="15" customHeight="1" x14ac:dyDescent="0.25">
      <c r="A845">
        <f t="shared" si="13"/>
        <v>88</v>
      </c>
      <c r="B845" t="s">
        <v>1477</v>
      </c>
      <c r="C845" t="s">
        <v>47</v>
      </c>
      <c r="D845">
        <v>66</v>
      </c>
      <c r="E8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45">
        <f ca="1">IF(Tabla142[[#This Row],[frecuencia_new]]="Diaria"," ",RANDBETWEEN(1,6))</f>
        <v>3</v>
      </c>
      <c r="G845">
        <f ca="1">IF(Tabla142[[#This Row],[frecuencia_new]]="Diaria","",IF(Tabla142[[#This Row],[frecuencia_new]]="Semanal","",IF(Tabla142[[#This Row],[frecuencia_new]]="Quincenal",RANDBETWEEN(1,2),RANDBETWEEN(1,4))))</f>
        <v>1</v>
      </c>
      <c r="H8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45" t="s">
        <v>104</v>
      </c>
      <c r="K845">
        <f>SUM(MID(Tabla142[[#This Row],[Duración]],1,2)*60,MID(Tabla142[[#This Row],[Duración]],6,2))</f>
        <v>30</v>
      </c>
      <c r="L845" s="4" t="s">
        <v>48</v>
      </c>
      <c r="M845" t="s">
        <v>239</v>
      </c>
      <c r="N845" t="s">
        <v>300</v>
      </c>
      <c r="O845" t="s">
        <v>382</v>
      </c>
      <c r="P845" t="s">
        <v>363</v>
      </c>
      <c r="Q845" s="20">
        <v>46032.649155092593</v>
      </c>
      <c r="R845" t="s">
        <v>7</v>
      </c>
      <c r="T845" t="s">
        <v>499</v>
      </c>
    </row>
    <row r="846" spans="1:20" ht="15" customHeight="1" x14ac:dyDescent="0.25">
      <c r="A846">
        <f t="shared" si="13"/>
        <v>146</v>
      </c>
      <c r="B846" t="s">
        <v>1478</v>
      </c>
      <c r="C846" t="s">
        <v>47</v>
      </c>
      <c r="D846">
        <v>66</v>
      </c>
      <c r="E8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46">
        <f ca="1">IF(Tabla142[[#This Row],[frecuencia_new]]="Diaria"," ",RANDBETWEEN(1,6))</f>
        <v>3</v>
      </c>
      <c r="G846">
        <f ca="1">IF(Tabla142[[#This Row],[frecuencia_new]]="Diaria","",IF(Tabla142[[#This Row],[frecuencia_new]]="Semanal","",IF(Tabla142[[#This Row],[frecuencia_new]]="Quincenal",RANDBETWEEN(1,2),RANDBETWEEN(1,4))))</f>
        <v>4</v>
      </c>
      <c r="H846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846" t="s">
        <v>46</v>
      </c>
      <c r="K846">
        <f>SUM(MID(Tabla142[[#This Row],[Duración]],1,2)*60,MID(Tabla142[[#This Row],[Duración]],6,2))</f>
        <v>30</v>
      </c>
      <c r="L846" s="4" t="s">
        <v>48</v>
      </c>
      <c r="M846" t="s">
        <v>239</v>
      </c>
      <c r="N846" t="s">
        <v>300</v>
      </c>
      <c r="O846" t="s">
        <v>380</v>
      </c>
      <c r="P846" t="s">
        <v>360</v>
      </c>
      <c r="Q846" s="20">
        <v>46032.649155092593</v>
      </c>
      <c r="R846" t="s">
        <v>5</v>
      </c>
      <c r="T846" t="s">
        <v>557</v>
      </c>
    </row>
    <row r="847" spans="1:20" ht="15" customHeight="1" x14ac:dyDescent="0.25">
      <c r="A847">
        <f t="shared" si="13"/>
        <v>146</v>
      </c>
      <c r="B847" t="s">
        <v>1479</v>
      </c>
      <c r="C847" t="s">
        <v>47</v>
      </c>
      <c r="D847">
        <v>66</v>
      </c>
      <c r="E8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47">
        <f ca="1">IF(Tabla142[[#This Row],[frecuencia_new]]="Diaria"," ",RANDBETWEEN(1,6))</f>
        <v>4</v>
      </c>
      <c r="G847">
        <f ca="1">IF(Tabla142[[#This Row],[frecuencia_new]]="Diaria","",IF(Tabla142[[#This Row],[frecuencia_new]]="Semanal","",IF(Tabla142[[#This Row],[frecuencia_new]]="Quincenal",RANDBETWEEN(1,2),RANDBETWEEN(1,4))))</f>
        <v>3</v>
      </c>
      <c r="H8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47" t="s">
        <v>98</v>
      </c>
      <c r="K847">
        <f>SUM(MID(Tabla142[[#This Row],[Duración]],1,2)*60,MID(Tabla142[[#This Row],[Duración]],6,2))</f>
        <v>30</v>
      </c>
      <c r="L847" s="4" t="s">
        <v>48</v>
      </c>
      <c r="M847" t="s">
        <v>239</v>
      </c>
      <c r="N847" t="s">
        <v>300</v>
      </c>
      <c r="O847" t="s">
        <v>380</v>
      </c>
      <c r="P847" t="s">
        <v>360</v>
      </c>
      <c r="Q847" s="20">
        <v>46032.649155092593</v>
      </c>
      <c r="R847" t="s">
        <v>7</v>
      </c>
      <c r="T847" t="s">
        <v>557</v>
      </c>
    </row>
    <row r="848" spans="1:20" ht="15" customHeight="1" x14ac:dyDescent="0.25">
      <c r="A848">
        <f t="shared" si="13"/>
        <v>146</v>
      </c>
      <c r="B848" t="s">
        <v>1480</v>
      </c>
      <c r="C848" t="s">
        <v>47</v>
      </c>
      <c r="D848">
        <v>66</v>
      </c>
      <c r="E8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48">
        <f ca="1">IF(Tabla142[[#This Row],[frecuencia_new]]="Diaria"," ",RANDBETWEEN(1,6))</f>
        <v>6</v>
      </c>
      <c r="G848">
        <f ca="1">IF(Tabla142[[#This Row],[frecuencia_new]]="Diaria","",IF(Tabla142[[#This Row],[frecuencia_new]]="Semanal","",IF(Tabla142[[#This Row],[frecuencia_new]]="Quincenal",RANDBETWEEN(1,2),RANDBETWEEN(1,4))))</f>
        <v>3</v>
      </c>
      <c r="H848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48" t="s">
        <v>52</v>
      </c>
      <c r="K848">
        <f>SUM(MID(Tabla142[[#This Row],[Duración]],1,2)*60,MID(Tabla142[[#This Row],[Duración]],6,2))</f>
        <v>30</v>
      </c>
      <c r="L848" s="4" t="s">
        <v>48</v>
      </c>
      <c r="M848" t="s">
        <v>239</v>
      </c>
      <c r="N848" t="s">
        <v>300</v>
      </c>
      <c r="O848" t="s">
        <v>380</v>
      </c>
      <c r="P848" t="s">
        <v>360</v>
      </c>
      <c r="Q848" s="20">
        <v>46032.649155092593</v>
      </c>
      <c r="R848" t="s">
        <v>5</v>
      </c>
      <c r="T848" t="s">
        <v>557</v>
      </c>
    </row>
    <row r="849" spans="1:20" ht="15" customHeight="1" x14ac:dyDescent="0.25">
      <c r="A849">
        <f t="shared" si="13"/>
        <v>146</v>
      </c>
      <c r="B849" t="s">
        <v>1481</v>
      </c>
      <c r="C849" t="s">
        <v>54</v>
      </c>
      <c r="D849">
        <v>66</v>
      </c>
      <c r="E8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49">
        <f ca="1">IF(Tabla142[[#This Row],[frecuencia_new]]="Diaria"," ",RANDBETWEEN(1,6))</f>
        <v>2</v>
      </c>
      <c r="G849">
        <f ca="1">IF(Tabla142[[#This Row],[frecuencia_new]]="Diaria","",IF(Tabla142[[#This Row],[frecuencia_new]]="Semanal","",IF(Tabla142[[#This Row],[frecuencia_new]]="Quincenal",RANDBETWEEN(1,2),RANDBETWEEN(1,4))))</f>
        <v>2</v>
      </c>
      <c r="H849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849" t="s">
        <v>53</v>
      </c>
      <c r="K849">
        <f>SUM(MID(Tabla142[[#This Row],[Duración]],1,2)*60,MID(Tabla142[[#This Row],[Duración]],6,2))</f>
        <v>30</v>
      </c>
      <c r="L849" s="4" t="s">
        <v>48</v>
      </c>
      <c r="M849" t="s">
        <v>239</v>
      </c>
      <c r="N849" t="s">
        <v>300</v>
      </c>
      <c r="O849" t="s">
        <v>380</v>
      </c>
      <c r="P849" t="s">
        <v>360</v>
      </c>
      <c r="Q849" s="20">
        <v>46032.649155092593</v>
      </c>
      <c r="R849" t="s">
        <v>5</v>
      </c>
      <c r="T849" t="s">
        <v>557</v>
      </c>
    </row>
    <row r="850" spans="1:20" ht="15" customHeight="1" x14ac:dyDescent="0.25">
      <c r="A850">
        <f t="shared" si="13"/>
        <v>146</v>
      </c>
      <c r="B850" t="s">
        <v>1482</v>
      </c>
      <c r="C850" t="s">
        <v>47</v>
      </c>
      <c r="D850">
        <v>66</v>
      </c>
      <c r="E8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50">
        <f ca="1">IF(Tabla142[[#This Row],[frecuencia_new]]="Diaria"," ",RANDBETWEEN(1,6))</f>
        <v>6</v>
      </c>
      <c r="G850">
        <f ca="1">IF(Tabla142[[#This Row],[frecuencia_new]]="Diaria","",IF(Tabla142[[#This Row],[frecuencia_new]]="Semanal","",IF(Tabla142[[#This Row],[frecuencia_new]]="Quincenal",RANDBETWEEN(1,2),RANDBETWEEN(1,4))))</f>
        <v>1</v>
      </c>
      <c r="H850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850" t="s">
        <v>56</v>
      </c>
      <c r="K850">
        <f>SUM(MID(Tabla142[[#This Row],[Duración]],1,2)*60,MID(Tabla142[[#This Row],[Duración]],6,2))</f>
        <v>30</v>
      </c>
      <c r="L850" s="4" t="s">
        <v>48</v>
      </c>
      <c r="M850" t="s">
        <v>239</v>
      </c>
      <c r="N850" t="s">
        <v>300</v>
      </c>
      <c r="O850" t="s">
        <v>380</v>
      </c>
      <c r="P850" t="s">
        <v>360</v>
      </c>
      <c r="Q850" s="20">
        <v>46032.649155092593</v>
      </c>
      <c r="R850" t="s">
        <v>5</v>
      </c>
      <c r="T850" t="s">
        <v>557</v>
      </c>
    </row>
    <row r="851" spans="1:20" ht="15" customHeight="1" x14ac:dyDescent="0.25">
      <c r="A851">
        <f t="shared" si="13"/>
        <v>204</v>
      </c>
      <c r="B851" t="s">
        <v>1483</v>
      </c>
      <c r="C851" s="18" t="s">
        <v>47</v>
      </c>
      <c r="D851" s="18">
        <v>66</v>
      </c>
      <c r="E8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851" t="str">
        <f ca="1">IF(Tabla142[[#This Row],[frecuencia_new]]="Diaria"," ",RANDBETWEEN(1,6))</f>
        <v xml:space="preserve"> </v>
      </c>
      <c r="G851" t="str">
        <f ca="1">IF(Tabla142[[#This Row],[frecuencia_new]]="Diaria","",IF(Tabla142[[#This Row],[frecuencia_new]]="Semanal","",IF(Tabla142[[#This Row],[frecuencia_new]]="Quincenal",RANDBETWEEN(1,2),RANDBETWEEN(1,4))))</f>
        <v/>
      </c>
      <c r="H85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1" s="18" t="s">
        <v>101</v>
      </c>
      <c r="K851" s="18">
        <f>SUM(MID(Tabla142[[#This Row],[Duración]],1,2)*60,MID(Tabla142[[#This Row],[Duración]],6,2))</f>
        <v>5</v>
      </c>
      <c r="L851" s="19" t="s">
        <v>50</v>
      </c>
      <c r="M851" s="18" t="s">
        <v>239</v>
      </c>
      <c r="N851" t="s">
        <v>300</v>
      </c>
      <c r="O851" t="s">
        <v>398</v>
      </c>
      <c r="P851" t="s">
        <v>361</v>
      </c>
      <c r="Q851" s="20">
        <v>46032.649155092593</v>
      </c>
      <c r="R851" s="18" t="s">
        <v>6</v>
      </c>
      <c r="T851" t="s">
        <v>615</v>
      </c>
    </row>
    <row r="852" spans="1:20" ht="15" customHeight="1" x14ac:dyDescent="0.25">
      <c r="A852">
        <f t="shared" si="13"/>
        <v>112</v>
      </c>
      <c r="B852" t="s">
        <v>1484</v>
      </c>
      <c r="C852" t="s">
        <v>47</v>
      </c>
      <c r="D852">
        <v>105</v>
      </c>
      <c r="E8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52">
        <f ca="1">IF(Tabla142[[#This Row],[frecuencia_new]]="Diaria"," ",RANDBETWEEN(1,6))</f>
        <v>5</v>
      </c>
      <c r="G852">
        <f ca="1">IF(Tabla142[[#This Row],[frecuencia_new]]="Diaria","",IF(Tabla142[[#This Row],[frecuencia_new]]="Semanal","",IF(Tabla142[[#This Row],[frecuencia_new]]="Quincenal",RANDBETWEEN(1,2),RANDBETWEEN(1,4))))</f>
        <v>1</v>
      </c>
      <c r="H85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852" t="s">
        <v>115</v>
      </c>
      <c r="K852">
        <f>SUM(MID(Tabla142[[#This Row],[Duración]],1,2)*60,MID(Tabla142[[#This Row],[Duración]],6,2))</f>
        <v>60</v>
      </c>
      <c r="L852" s="4" t="s">
        <v>58</v>
      </c>
      <c r="M852" t="s">
        <v>239</v>
      </c>
      <c r="N852" t="s">
        <v>300</v>
      </c>
      <c r="O852" t="s">
        <v>392</v>
      </c>
      <c r="P852" t="s">
        <v>363</v>
      </c>
      <c r="Q852" s="20">
        <v>46032.649155092593</v>
      </c>
      <c r="R852" t="s">
        <v>5</v>
      </c>
      <c r="T852" t="s">
        <v>523</v>
      </c>
    </row>
    <row r="853" spans="1:20" ht="15" customHeight="1" x14ac:dyDescent="0.25">
      <c r="A853">
        <f t="shared" si="13"/>
        <v>112</v>
      </c>
      <c r="B853" t="s">
        <v>1485</v>
      </c>
      <c r="C853" t="s">
        <v>47</v>
      </c>
      <c r="D853">
        <v>105</v>
      </c>
      <c r="E8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53">
        <f ca="1">IF(Tabla142[[#This Row],[frecuencia_new]]="Diaria"," ",RANDBETWEEN(1,6))</f>
        <v>1</v>
      </c>
      <c r="G853">
        <f ca="1">IF(Tabla142[[#This Row],[frecuencia_new]]="Diaria","",IF(Tabla142[[#This Row],[frecuencia_new]]="Semanal","",IF(Tabla142[[#This Row],[frecuencia_new]]="Quincenal",RANDBETWEEN(1,2),RANDBETWEEN(1,4))))</f>
        <v>1</v>
      </c>
      <c r="H853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853" t="s">
        <v>117</v>
      </c>
      <c r="K853">
        <f>SUM(MID(Tabla142[[#This Row],[Duración]],1,2)*60,MID(Tabla142[[#This Row],[Duración]],6,2))</f>
        <v>90</v>
      </c>
      <c r="L853" s="4" t="s">
        <v>96</v>
      </c>
      <c r="M853" t="s">
        <v>239</v>
      </c>
      <c r="N853" t="s">
        <v>300</v>
      </c>
      <c r="O853" t="s">
        <v>392</v>
      </c>
      <c r="P853" t="s">
        <v>363</v>
      </c>
      <c r="Q853" s="20">
        <v>46032.649155092593</v>
      </c>
      <c r="R853" t="s">
        <v>5</v>
      </c>
      <c r="T853" t="s">
        <v>523</v>
      </c>
    </row>
    <row r="854" spans="1:20" ht="15" customHeight="1" x14ac:dyDescent="0.25">
      <c r="A854">
        <f t="shared" si="13"/>
        <v>112</v>
      </c>
      <c r="B854" t="s">
        <v>1486</v>
      </c>
      <c r="C854" t="s">
        <v>47</v>
      </c>
      <c r="D854">
        <v>105</v>
      </c>
      <c r="E8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54">
        <f ca="1">IF(Tabla142[[#This Row],[frecuencia_new]]="Diaria"," ",RANDBETWEEN(1,6))</f>
        <v>4</v>
      </c>
      <c r="G854">
        <f ca="1">IF(Tabla142[[#This Row],[frecuencia_new]]="Diaria","",IF(Tabla142[[#This Row],[frecuencia_new]]="Semanal","",IF(Tabla142[[#This Row],[frecuencia_new]]="Quincenal",RANDBETWEEN(1,2),RANDBETWEEN(1,4))))</f>
        <v>2</v>
      </c>
      <c r="H8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4" t="s">
        <v>118</v>
      </c>
      <c r="K854">
        <f>SUM(MID(Tabla142[[#This Row],[Duración]],1,2)*60,MID(Tabla142[[#This Row],[Duración]],6,2))</f>
        <v>10</v>
      </c>
      <c r="L854" s="4" t="s">
        <v>71</v>
      </c>
      <c r="M854" t="s">
        <v>239</v>
      </c>
      <c r="N854" t="s">
        <v>300</v>
      </c>
      <c r="O854" t="s">
        <v>392</v>
      </c>
      <c r="P854" t="s">
        <v>363</v>
      </c>
      <c r="Q854" s="20">
        <v>46032.649155092593</v>
      </c>
      <c r="R854" t="s">
        <v>7</v>
      </c>
      <c r="T854" t="s">
        <v>523</v>
      </c>
    </row>
    <row r="855" spans="1:20" ht="15" customHeight="1" x14ac:dyDescent="0.25">
      <c r="A855">
        <f t="shared" si="13"/>
        <v>112</v>
      </c>
      <c r="B855" t="s">
        <v>1487</v>
      </c>
      <c r="C855" t="s">
        <v>47</v>
      </c>
      <c r="D855">
        <v>105</v>
      </c>
      <c r="E8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55">
        <f ca="1">IF(Tabla142[[#This Row],[frecuencia_new]]="Diaria"," ",RANDBETWEEN(1,6))</f>
        <v>1</v>
      </c>
      <c r="G855">
        <f ca="1">IF(Tabla142[[#This Row],[frecuencia_new]]="Diaria","",IF(Tabla142[[#This Row],[frecuencia_new]]="Semanal","",IF(Tabla142[[#This Row],[frecuencia_new]]="Quincenal",RANDBETWEEN(1,2),RANDBETWEEN(1,4))))</f>
        <v>2</v>
      </c>
      <c r="H8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5" t="s">
        <v>119</v>
      </c>
      <c r="K855">
        <f>SUM(MID(Tabla142[[#This Row],[Duración]],1,2)*60,MID(Tabla142[[#This Row],[Duración]],6,2))</f>
        <v>10</v>
      </c>
      <c r="L855" s="4" t="s">
        <v>71</v>
      </c>
      <c r="M855" t="s">
        <v>239</v>
      </c>
      <c r="N855" t="s">
        <v>300</v>
      </c>
      <c r="O855" t="s">
        <v>392</v>
      </c>
      <c r="P855" t="s">
        <v>363</v>
      </c>
      <c r="Q855" s="20">
        <v>46032.649155092593</v>
      </c>
      <c r="R855" t="s">
        <v>7</v>
      </c>
      <c r="T855" t="s">
        <v>523</v>
      </c>
    </row>
    <row r="856" spans="1:20" ht="15" customHeight="1" x14ac:dyDescent="0.25">
      <c r="A856">
        <f t="shared" si="13"/>
        <v>112</v>
      </c>
      <c r="B856" t="s">
        <v>1488</v>
      </c>
      <c r="C856" t="s">
        <v>47</v>
      </c>
      <c r="D856">
        <v>105</v>
      </c>
      <c r="E8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56">
        <f ca="1">IF(Tabla142[[#This Row],[frecuencia_new]]="Diaria"," ",RANDBETWEEN(1,6))</f>
        <v>4</v>
      </c>
      <c r="G856">
        <f ca="1">IF(Tabla142[[#This Row],[frecuencia_new]]="Diaria","",IF(Tabla142[[#This Row],[frecuencia_new]]="Semanal","",IF(Tabla142[[#This Row],[frecuencia_new]]="Quincenal",RANDBETWEEN(1,2),RANDBETWEEN(1,4))))</f>
        <v>3</v>
      </c>
      <c r="H8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6" t="s">
        <v>120</v>
      </c>
      <c r="K856">
        <f>SUM(MID(Tabla142[[#This Row],[Duración]],1,2)*60,MID(Tabla142[[#This Row],[Duración]],6,2))</f>
        <v>90</v>
      </c>
      <c r="L856" s="4" t="s">
        <v>96</v>
      </c>
      <c r="M856" t="s">
        <v>239</v>
      </c>
      <c r="N856" t="s">
        <v>300</v>
      </c>
      <c r="O856" t="s">
        <v>392</v>
      </c>
      <c r="P856" t="s">
        <v>363</v>
      </c>
      <c r="Q856" s="20">
        <v>46032.649155092593</v>
      </c>
      <c r="R856" t="s">
        <v>7</v>
      </c>
      <c r="T856" t="s">
        <v>523</v>
      </c>
    </row>
    <row r="857" spans="1:20" ht="15" customHeight="1" x14ac:dyDescent="0.25">
      <c r="A857">
        <f t="shared" si="13"/>
        <v>112</v>
      </c>
      <c r="B857" t="s">
        <v>1489</v>
      </c>
      <c r="C857" t="s">
        <v>47</v>
      </c>
      <c r="D857">
        <v>105</v>
      </c>
      <c r="E8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57">
        <f ca="1">IF(Tabla142[[#This Row],[frecuencia_new]]="Diaria"," ",RANDBETWEEN(1,6))</f>
        <v>6</v>
      </c>
      <c r="G857" t="str">
        <f ca="1">IF(Tabla142[[#This Row],[frecuencia_new]]="Diaria","",IF(Tabla142[[#This Row],[frecuencia_new]]="Semanal","",IF(Tabla142[[#This Row],[frecuencia_new]]="Quincenal",RANDBETWEEN(1,2),RANDBETWEEN(1,4))))</f>
        <v/>
      </c>
      <c r="H8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7" t="s">
        <v>121</v>
      </c>
      <c r="K857">
        <f>SUM(MID(Tabla142[[#This Row],[Duración]],1,2)*60,MID(Tabla142[[#This Row],[Duración]],6,2))</f>
        <v>5</v>
      </c>
      <c r="L857" s="4" t="s">
        <v>50</v>
      </c>
      <c r="M857" t="s">
        <v>239</v>
      </c>
      <c r="N857" t="s">
        <v>300</v>
      </c>
      <c r="O857" t="s">
        <v>392</v>
      </c>
      <c r="P857" t="s">
        <v>363</v>
      </c>
      <c r="Q857" s="20">
        <v>46032.649155092593</v>
      </c>
      <c r="R857" t="s">
        <v>8</v>
      </c>
      <c r="T857" t="s">
        <v>523</v>
      </c>
    </row>
    <row r="858" spans="1:20" ht="15" customHeight="1" x14ac:dyDescent="0.25">
      <c r="A858">
        <f t="shared" si="13"/>
        <v>112</v>
      </c>
      <c r="B858" t="s">
        <v>1490</v>
      </c>
      <c r="C858" t="s">
        <v>47</v>
      </c>
      <c r="D858">
        <v>105</v>
      </c>
      <c r="E8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58">
        <f ca="1">IF(Tabla142[[#This Row],[frecuencia_new]]="Diaria"," ",RANDBETWEEN(1,6))</f>
        <v>5</v>
      </c>
      <c r="G858">
        <f ca="1">IF(Tabla142[[#This Row],[frecuencia_new]]="Diaria","",IF(Tabla142[[#This Row],[frecuencia_new]]="Semanal","",IF(Tabla142[[#This Row],[frecuencia_new]]="Quincenal",RANDBETWEEN(1,2),RANDBETWEEN(1,4))))</f>
        <v>2</v>
      </c>
      <c r="H85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858" t="s">
        <v>122</v>
      </c>
      <c r="K858">
        <f>SUM(MID(Tabla142[[#This Row],[Duración]],1,2)*60,MID(Tabla142[[#This Row],[Duración]],6,2))</f>
        <v>30</v>
      </c>
      <c r="L858" s="4" t="s">
        <v>48</v>
      </c>
      <c r="M858" t="s">
        <v>239</v>
      </c>
      <c r="N858" t="s">
        <v>300</v>
      </c>
      <c r="O858" t="s">
        <v>392</v>
      </c>
      <c r="P858" t="s">
        <v>363</v>
      </c>
      <c r="Q858" s="20">
        <v>46032.649155092593</v>
      </c>
      <c r="R858" t="s">
        <v>18</v>
      </c>
      <c r="T858" t="s">
        <v>523</v>
      </c>
    </row>
    <row r="859" spans="1:20" ht="15" customHeight="1" x14ac:dyDescent="0.25">
      <c r="A859">
        <f t="shared" si="13"/>
        <v>112</v>
      </c>
      <c r="B859" t="s">
        <v>1491</v>
      </c>
      <c r="C859" t="s">
        <v>47</v>
      </c>
      <c r="D859">
        <v>105</v>
      </c>
      <c r="E8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59">
        <f ca="1">IF(Tabla142[[#This Row],[frecuencia_new]]="Diaria"," ",RANDBETWEEN(1,6))</f>
        <v>3</v>
      </c>
      <c r="G859" t="str">
        <f ca="1">IF(Tabla142[[#This Row],[frecuencia_new]]="Diaria","",IF(Tabla142[[#This Row],[frecuencia_new]]="Semanal","",IF(Tabla142[[#This Row],[frecuencia_new]]="Quincenal",RANDBETWEEN(1,2),RANDBETWEEN(1,4))))</f>
        <v/>
      </c>
      <c r="H85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59" t="s">
        <v>123</v>
      </c>
      <c r="K859">
        <f>SUM(MID(Tabla142[[#This Row],[Duración]],1,2)*60,MID(Tabla142[[#This Row],[Duración]],6,2))</f>
        <v>5</v>
      </c>
      <c r="L859" s="4" t="s">
        <v>50</v>
      </c>
      <c r="M859" t="s">
        <v>239</v>
      </c>
      <c r="N859" t="s">
        <v>300</v>
      </c>
      <c r="O859" t="s">
        <v>392</v>
      </c>
      <c r="P859" t="s">
        <v>363</v>
      </c>
      <c r="Q859" s="20">
        <v>46032.649155092593</v>
      </c>
      <c r="R859" t="s">
        <v>8</v>
      </c>
      <c r="T859" t="s">
        <v>523</v>
      </c>
    </row>
    <row r="860" spans="1:20" ht="15" customHeight="1" x14ac:dyDescent="0.25">
      <c r="A860">
        <f t="shared" si="13"/>
        <v>112</v>
      </c>
      <c r="B860" t="s">
        <v>1492</v>
      </c>
      <c r="C860" t="s">
        <v>47</v>
      </c>
      <c r="D860">
        <v>105</v>
      </c>
      <c r="E8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60">
        <f ca="1">IF(Tabla142[[#This Row],[frecuencia_new]]="Diaria"," ",RANDBETWEEN(1,6))</f>
        <v>2</v>
      </c>
      <c r="G860" t="str">
        <f ca="1">IF(Tabla142[[#This Row],[frecuencia_new]]="Diaria","",IF(Tabla142[[#This Row],[frecuencia_new]]="Semanal","",IF(Tabla142[[#This Row],[frecuencia_new]]="Quincenal",RANDBETWEEN(1,2),RANDBETWEEN(1,4))))</f>
        <v/>
      </c>
      <c r="H8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0" t="s">
        <v>124</v>
      </c>
      <c r="K860">
        <f>SUM(MID(Tabla142[[#This Row],[Duración]],1,2)*60,MID(Tabla142[[#This Row],[Duración]],6,2))</f>
        <v>5</v>
      </c>
      <c r="L860" s="4" t="s">
        <v>50</v>
      </c>
      <c r="M860" t="s">
        <v>239</v>
      </c>
      <c r="N860" t="s">
        <v>300</v>
      </c>
      <c r="O860" t="s">
        <v>392</v>
      </c>
      <c r="P860" t="s">
        <v>363</v>
      </c>
      <c r="Q860" s="20">
        <v>46032.649155092593</v>
      </c>
      <c r="R860" t="s">
        <v>8</v>
      </c>
      <c r="T860" t="s">
        <v>523</v>
      </c>
    </row>
    <row r="861" spans="1:20" ht="15" customHeight="1" x14ac:dyDescent="0.25">
      <c r="A861">
        <f t="shared" si="13"/>
        <v>112</v>
      </c>
      <c r="B861" t="s">
        <v>1493</v>
      </c>
      <c r="C861" t="s">
        <v>47</v>
      </c>
      <c r="D861">
        <v>105</v>
      </c>
      <c r="E8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61">
        <f ca="1">IF(Tabla142[[#This Row],[frecuencia_new]]="Diaria"," ",RANDBETWEEN(1,6))</f>
        <v>2</v>
      </c>
      <c r="G861" t="str">
        <f ca="1">IF(Tabla142[[#This Row],[frecuencia_new]]="Diaria","",IF(Tabla142[[#This Row],[frecuencia_new]]="Semanal","",IF(Tabla142[[#This Row],[frecuencia_new]]="Quincenal",RANDBETWEEN(1,2),RANDBETWEEN(1,4))))</f>
        <v/>
      </c>
      <c r="H86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1" t="s">
        <v>125</v>
      </c>
      <c r="K861">
        <f>SUM(MID(Tabla142[[#This Row],[Duración]],1,2)*60,MID(Tabla142[[#This Row],[Duración]],6,2))</f>
        <v>5</v>
      </c>
      <c r="L861" s="4" t="s">
        <v>50</v>
      </c>
      <c r="M861" t="s">
        <v>239</v>
      </c>
      <c r="N861" t="s">
        <v>300</v>
      </c>
      <c r="O861" t="s">
        <v>392</v>
      </c>
      <c r="P861" t="s">
        <v>363</v>
      </c>
      <c r="Q861" s="20">
        <v>46032.649155092593</v>
      </c>
      <c r="R861" t="s">
        <v>8</v>
      </c>
      <c r="T861" t="s">
        <v>523</v>
      </c>
    </row>
    <row r="862" spans="1:20" ht="15" customHeight="1" x14ac:dyDescent="0.25">
      <c r="A862">
        <f t="shared" si="13"/>
        <v>112</v>
      </c>
      <c r="B862" t="s">
        <v>1494</v>
      </c>
      <c r="C862" t="s">
        <v>47</v>
      </c>
      <c r="D862">
        <v>105</v>
      </c>
      <c r="E8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62">
        <f ca="1">IF(Tabla142[[#This Row],[frecuencia_new]]="Diaria"," ",RANDBETWEEN(1,6))</f>
        <v>2</v>
      </c>
      <c r="G862" t="str">
        <f ca="1">IF(Tabla142[[#This Row],[frecuencia_new]]="Diaria","",IF(Tabla142[[#This Row],[frecuencia_new]]="Semanal","",IF(Tabla142[[#This Row],[frecuencia_new]]="Quincenal",RANDBETWEEN(1,2),RANDBETWEEN(1,4))))</f>
        <v/>
      </c>
      <c r="H86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2" t="s">
        <v>126</v>
      </c>
      <c r="K862">
        <f>SUM(MID(Tabla142[[#This Row],[Duración]],1,2)*60,MID(Tabla142[[#This Row],[Duración]],6,2))</f>
        <v>5</v>
      </c>
      <c r="L862" s="4" t="s">
        <v>50</v>
      </c>
      <c r="M862" t="s">
        <v>239</v>
      </c>
      <c r="N862" t="s">
        <v>300</v>
      </c>
      <c r="O862" t="s">
        <v>392</v>
      </c>
      <c r="P862" t="s">
        <v>363</v>
      </c>
      <c r="Q862" s="20">
        <v>46032.649155092593</v>
      </c>
      <c r="R862" t="s">
        <v>8</v>
      </c>
      <c r="T862" t="s">
        <v>523</v>
      </c>
    </row>
    <row r="863" spans="1:20" ht="15" customHeight="1" x14ac:dyDescent="0.25">
      <c r="A863">
        <f t="shared" si="13"/>
        <v>112</v>
      </c>
      <c r="B863" t="s">
        <v>1495</v>
      </c>
      <c r="C863" t="s">
        <v>47</v>
      </c>
      <c r="D863">
        <v>105</v>
      </c>
      <c r="E8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63">
        <f ca="1">IF(Tabla142[[#This Row],[frecuencia_new]]="Diaria"," ",RANDBETWEEN(1,6))</f>
        <v>4</v>
      </c>
      <c r="G863" t="str">
        <f ca="1">IF(Tabla142[[#This Row],[frecuencia_new]]="Diaria","",IF(Tabla142[[#This Row],[frecuencia_new]]="Semanal","",IF(Tabla142[[#This Row],[frecuencia_new]]="Quincenal",RANDBETWEEN(1,2),RANDBETWEEN(1,4))))</f>
        <v/>
      </c>
      <c r="H86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3" t="s">
        <v>127</v>
      </c>
      <c r="K863">
        <f>SUM(MID(Tabla142[[#This Row],[Duración]],1,2)*60,MID(Tabla142[[#This Row],[Duración]],6,2))</f>
        <v>5</v>
      </c>
      <c r="L863" s="4" t="s">
        <v>50</v>
      </c>
      <c r="M863" t="s">
        <v>239</v>
      </c>
      <c r="N863" t="s">
        <v>300</v>
      </c>
      <c r="O863" t="s">
        <v>392</v>
      </c>
      <c r="P863" t="s">
        <v>363</v>
      </c>
      <c r="Q863" s="20">
        <v>46032.649155092593</v>
      </c>
      <c r="R863" t="s">
        <v>8</v>
      </c>
      <c r="T863" t="s">
        <v>523</v>
      </c>
    </row>
    <row r="864" spans="1:20" ht="15" customHeight="1" x14ac:dyDescent="0.25">
      <c r="A864">
        <f t="shared" si="13"/>
        <v>112</v>
      </c>
      <c r="B864" t="s">
        <v>1496</v>
      </c>
      <c r="C864" t="s">
        <v>47</v>
      </c>
      <c r="D864">
        <v>105</v>
      </c>
      <c r="E8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64">
        <f ca="1">IF(Tabla142[[#This Row],[frecuencia_new]]="Diaria"," ",RANDBETWEEN(1,6))</f>
        <v>5</v>
      </c>
      <c r="G864" t="str">
        <f ca="1">IF(Tabla142[[#This Row],[frecuencia_new]]="Diaria","",IF(Tabla142[[#This Row],[frecuencia_new]]="Semanal","",IF(Tabla142[[#This Row],[frecuencia_new]]="Quincenal",RANDBETWEEN(1,2),RANDBETWEEN(1,4))))</f>
        <v/>
      </c>
      <c r="H8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4" t="s">
        <v>128</v>
      </c>
      <c r="K864">
        <f>SUM(MID(Tabla142[[#This Row],[Duración]],1,2)*60,MID(Tabla142[[#This Row],[Duración]],6,2))</f>
        <v>5</v>
      </c>
      <c r="L864" s="4" t="s">
        <v>50</v>
      </c>
      <c r="M864" t="s">
        <v>239</v>
      </c>
      <c r="N864" t="s">
        <v>300</v>
      </c>
      <c r="O864" t="s">
        <v>392</v>
      </c>
      <c r="P864" t="s">
        <v>363</v>
      </c>
      <c r="Q864" s="20">
        <v>46032.649155092593</v>
      </c>
      <c r="R864" t="s">
        <v>8</v>
      </c>
      <c r="T864" t="s">
        <v>523</v>
      </c>
    </row>
    <row r="865" spans="1:20" ht="15" customHeight="1" x14ac:dyDescent="0.25">
      <c r="A865">
        <f t="shared" si="13"/>
        <v>112</v>
      </c>
      <c r="B865" t="s">
        <v>1497</v>
      </c>
      <c r="C865" t="s">
        <v>47</v>
      </c>
      <c r="D865">
        <v>105</v>
      </c>
      <c r="E8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65">
        <f ca="1">IF(Tabla142[[#This Row],[frecuencia_new]]="Diaria"," ",RANDBETWEEN(1,6))</f>
        <v>1</v>
      </c>
      <c r="G865">
        <f ca="1">IF(Tabla142[[#This Row],[frecuencia_new]]="Diaria","",IF(Tabla142[[#This Row],[frecuencia_new]]="Semanal","",IF(Tabla142[[#This Row],[frecuencia_new]]="Quincenal",RANDBETWEEN(1,2),RANDBETWEEN(1,4))))</f>
        <v>3</v>
      </c>
      <c r="H8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5" t="s">
        <v>129</v>
      </c>
      <c r="K865">
        <f>SUM(MID(Tabla142[[#This Row],[Duración]],1,2)*60,MID(Tabla142[[#This Row],[Duración]],6,2))</f>
        <v>10</v>
      </c>
      <c r="L865" s="4" t="s">
        <v>71</v>
      </c>
      <c r="M865" t="s">
        <v>239</v>
      </c>
      <c r="N865" t="s">
        <v>300</v>
      </c>
      <c r="O865" t="s">
        <v>392</v>
      </c>
      <c r="P865" t="s">
        <v>363</v>
      </c>
      <c r="Q865" s="20">
        <v>46032.649155092593</v>
      </c>
      <c r="R865" t="s">
        <v>7</v>
      </c>
      <c r="T865" t="s">
        <v>523</v>
      </c>
    </row>
    <row r="866" spans="1:20" ht="15" customHeight="1" x14ac:dyDescent="0.25">
      <c r="A866">
        <f t="shared" si="13"/>
        <v>112</v>
      </c>
      <c r="B866" t="s">
        <v>1498</v>
      </c>
      <c r="C866" t="s">
        <v>47</v>
      </c>
      <c r="D866">
        <v>105</v>
      </c>
      <c r="E8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66">
        <f ca="1">IF(Tabla142[[#This Row],[frecuencia_new]]="Diaria"," ",RANDBETWEEN(1,6))</f>
        <v>3</v>
      </c>
      <c r="G866">
        <f ca="1">IF(Tabla142[[#This Row],[frecuencia_new]]="Diaria","",IF(Tabla142[[#This Row],[frecuencia_new]]="Semanal","",IF(Tabla142[[#This Row],[frecuencia_new]]="Quincenal",RANDBETWEEN(1,2),RANDBETWEEN(1,4))))</f>
        <v>1</v>
      </c>
      <c r="H8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6" t="s">
        <v>130</v>
      </c>
      <c r="K866">
        <f>SUM(MID(Tabla142[[#This Row],[Duración]],1,2)*60,MID(Tabla142[[#This Row],[Duración]],6,2))</f>
        <v>10</v>
      </c>
      <c r="L866" s="4" t="s">
        <v>71</v>
      </c>
      <c r="M866" t="s">
        <v>239</v>
      </c>
      <c r="N866" t="s">
        <v>300</v>
      </c>
      <c r="O866" t="s">
        <v>392</v>
      </c>
      <c r="P866" t="s">
        <v>363</v>
      </c>
      <c r="Q866" s="20">
        <v>46032.649155092593</v>
      </c>
      <c r="R866" t="s">
        <v>7</v>
      </c>
      <c r="T866" t="s">
        <v>523</v>
      </c>
    </row>
    <row r="867" spans="1:20" ht="15" customHeight="1" x14ac:dyDescent="0.25">
      <c r="A867">
        <f t="shared" si="13"/>
        <v>112</v>
      </c>
      <c r="B867" t="s">
        <v>1499</v>
      </c>
      <c r="C867" t="s">
        <v>47</v>
      </c>
      <c r="D867">
        <v>105</v>
      </c>
      <c r="E8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67">
        <f ca="1">IF(Tabla142[[#This Row],[frecuencia_new]]="Diaria"," ",RANDBETWEEN(1,6))</f>
        <v>5</v>
      </c>
      <c r="G867">
        <f ca="1">IF(Tabla142[[#This Row],[frecuencia_new]]="Diaria","",IF(Tabla142[[#This Row],[frecuencia_new]]="Semanal","",IF(Tabla142[[#This Row],[frecuencia_new]]="Quincenal",RANDBETWEEN(1,2),RANDBETWEEN(1,4))))</f>
        <v>1</v>
      </c>
      <c r="H8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7" t="s">
        <v>131</v>
      </c>
      <c r="K867">
        <f>SUM(MID(Tabla142[[#This Row],[Duración]],1,2)*60,MID(Tabla142[[#This Row],[Duración]],6,2))</f>
        <v>10</v>
      </c>
      <c r="L867" s="4" t="s">
        <v>71</v>
      </c>
      <c r="M867" t="s">
        <v>239</v>
      </c>
      <c r="N867" t="s">
        <v>300</v>
      </c>
      <c r="O867" t="s">
        <v>392</v>
      </c>
      <c r="P867" t="s">
        <v>363</v>
      </c>
      <c r="Q867" s="20">
        <v>46032.649155092593</v>
      </c>
      <c r="R867" t="s">
        <v>7</v>
      </c>
      <c r="T867" t="s">
        <v>523</v>
      </c>
    </row>
    <row r="868" spans="1:20" ht="15" customHeight="1" x14ac:dyDescent="0.25">
      <c r="A868">
        <f t="shared" si="13"/>
        <v>112</v>
      </c>
      <c r="B868" t="s">
        <v>1500</v>
      </c>
      <c r="C868" t="s">
        <v>47</v>
      </c>
      <c r="D868">
        <v>105</v>
      </c>
      <c r="E8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68">
        <f ca="1">IF(Tabla142[[#This Row],[frecuencia_new]]="Diaria"," ",RANDBETWEEN(1,6))</f>
        <v>3</v>
      </c>
      <c r="G868">
        <f ca="1">IF(Tabla142[[#This Row],[frecuencia_new]]="Diaria","",IF(Tabla142[[#This Row],[frecuencia_new]]="Semanal","",IF(Tabla142[[#This Row],[frecuencia_new]]="Quincenal",RANDBETWEEN(1,2),RANDBETWEEN(1,4))))</f>
        <v>1</v>
      </c>
      <c r="H868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868" t="s">
        <v>132</v>
      </c>
      <c r="K868">
        <f>SUM(MID(Tabla142[[#This Row],[Duración]],1,2)*60,MID(Tabla142[[#This Row],[Duración]],6,2))</f>
        <v>30</v>
      </c>
      <c r="L868" s="4" t="s">
        <v>48</v>
      </c>
      <c r="M868" t="s">
        <v>239</v>
      </c>
      <c r="N868" t="s">
        <v>300</v>
      </c>
      <c r="O868" t="s">
        <v>392</v>
      </c>
      <c r="P868" t="s">
        <v>363</v>
      </c>
      <c r="Q868" s="20">
        <v>46032.649155092593</v>
      </c>
      <c r="R868" t="s">
        <v>18</v>
      </c>
      <c r="T868" t="s">
        <v>523</v>
      </c>
    </row>
    <row r="869" spans="1:20" ht="15" customHeight="1" x14ac:dyDescent="0.25">
      <c r="A869">
        <f t="shared" si="13"/>
        <v>112</v>
      </c>
      <c r="B869" t="s">
        <v>1501</v>
      </c>
      <c r="C869" t="s">
        <v>47</v>
      </c>
      <c r="D869">
        <v>105</v>
      </c>
      <c r="E8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69">
        <f ca="1">IF(Tabla142[[#This Row],[frecuencia_new]]="Diaria"," ",RANDBETWEEN(1,6))</f>
        <v>2</v>
      </c>
      <c r="G869">
        <f ca="1">IF(Tabla142[[#This Row],[frecuencia_new]]="Diaria","",IF(Tabla142[[#This Row],[frecuencia_new]]="Semanal","",IF(Tabla142[[#This Row],[frecuencia_new]]="Quincenal",RANDBETWEEN(1,2),RANDBETWEEN(1,4))))</f>
        <v>1</v>
      </c>
      <c r="H8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69" t="s">
        <v>133</v>
      </c>
      <c r="K869">
        <f>SUM(MID(Tabla142[[#This Row],[Duración]],1,2)*60,MID(Tabla142[[#This Row],[Duración]],6,2))</f>
        <v>10</v>
      </c>
      <c r="L869" s="4" t="s">
        <v>71</v>
      </c>
      <c r="M869" t="s">
        <v>239</v>
      </c>
      <c r="N869" t="s">
        <v>300</v>
      </c>
      <c r="O869" t="s">
        <v>392</v>
      </c>
      <c r="P869" t="s">
        <v>363</v>
      </c>
      <c r="Q869" s="20">
        <v>46032.649155092593</v>
      </c>
      <c r="R869" t="s">
        <v>7</v>
      </c>
      <c r="T869" t="s">
        <v>523</v>
      </c>
    </row>
    <row r="870" spans="1:20" ht="15" customHeight="1" x14ac:dyDescent="0.25">
      <c r="A870">
        <f t="shared" si="13"/>
        <v>112</v>
      </c>
      <c r="B870" t="s">
        <v>1502</v>
      </c>
      <c r="C870" t="s">
        <v>47</v>
      </c>
      <c r="D870">
        <v>105</v>
      </c>
      <c r="E8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70">
        <f ca="1">IF(Tabla142[[#This Row],[frecuencia_new]]="Diaria"," ",RANDBETWEEN(1,6))</f>
        <v>4</v>
      </c>
      <c r="G870">
        <f ca="1">IF(Tabla142[[#This Row],[frecuencia_new]]="Diaria","",IF(Tabla142[[#This Row],[frecuencia_new]]="Semanal","",IF(Tabla142[[#This Row],[frecuencia_new]]="Quincenal",RANDBETWEEN(1,2),RANDBETWEEN(1,4))))</f>
        <v>1</v>
      </c>
      <c r="H8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0" t="s">
        <v>134</v>
      </c>
      <c r="K870">
        <f>SUM(MID(Tabla142[[#This Row],[Duración]],1,2)*60,MID(Tabla142[[#This Row],[Duración]],6,2))</f>
        <v>10</v>
      </c>
      <c r="L870" s="4" t="s">
        <v>71</v>
      </c>
      <c r="M870" t="s">
        <v>239</v>
      </c>
      <c r="N870" t="s">
        <v>300</v>
      </c>
      <c r="O870" t="s">
        <v>392</v>
      </c>
      <c r="P870" t="s">
        <v>363</v>
      </c>
      <c r="Q870" s="20">
        <v>46032.649155092593</v>
      </c>
      <c r="R870" t="s">
        <v>7</v>
      </c>
      <c r="T870" t="s">
        <v>523</v>
      </c>
    </row>
    <row r="871" spans="1:20" ht="15" customHeight="1" x14ac:dyDescent="0.25">
      <c r="A871">
        <f t="shared" si="13"/>
        <v>112</v>
      </c>
      <c r="B871" t="s">
        <v>1503</v>
      </c>
      <c r="C871" t="s">
        <v>47</v>
      </c>
      <c r="D871">
        <v>105</v>
      </c>
      <c r="E8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71">
        <f ca="1">IF(Tabla142[[#This Row],[frecuencia_new]]="Diaria"," ",RANDBETWEEN(1,6))</f>
        <v>6</v>
      </c>
      <c r="G871" t="str">
        <f ca="1">IF(Tabla142[[#This Row],[frecuencia_new]]="Diaria","",IF(Tabla142[[#This Row],[frecuencia_new]]="Semanal","",IF(Tabla142[[#This Row],[frecuencia_new]]="Quincenal",RANDBETWEEN(1,2),RANDBETWEEN(1,4))))</f>
        <v/>
      </c>
      <c r="H8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1" t="s">
        <v>135</v>
      </c>
      <c r="K871">
        <f>SUM(MID(Tabla142[[#This Row],[Duración]],1,2)*60,MID(Tabla142[[#This Row],[Duración]],6,2))</f>
        <v>5</v>
      </c>
      <c r="L871" s="4" t="s">
        <v>50</v>
      </c>
      <c r="M871" t="s">
        <v>239</v>
      </c>
      <c r="N871" t="s">
        <v>300</v>
      </c>
      <c r="O871" t="s">
        <v>392</v>
      </c>
      <c r="P871" t="s">
        <v>363</v>
      </c>
      <c r="Q871" s="20">
        <v>46032.649155092593</v>
      </c>
      <c r="R871" t="s">
        <v>8</v>
      </c>
      <c r="T871" t="s">
        <v>523</v>
      </c>
    </row>
    <row r="872" spans="1:20" ht="15" customHeight="1" x14ac:dyDescent="0.25">
      <c r="A872">
        <f t="shared" si="13"/>
        <v>112</v>
      </c>
      <c r="B872" t="s">
        <v>1504</v>
      </c>
      <c r="C872" t="s">
        <v>47</v>
      </c>
      <c r="D872">
        <v>105</v>
      </c>
      <c r="E8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72">
        <f ca="1">IF(Tabla142[[#This Row],[frecuencia_new]]="Diaria"," ",RANDBETWEEN(1,6))</f>
        <v>6</v>
      </c>
      <c r="G872">
        <f ca="1">IF(Tabla142[[#This Row],[frecuencia_new]]="Diaria","",IF(Tabla142[[#This Row],[frecuencia_new]]="Semanal","",IF(Tabla142[[#This Row],[frecuencia_new]]="Quincenal",RANDBETWEEN(1,2),RANDBETWEEN(1,4))))</f>
        <v>3</v>
      </c>
      <c r="H8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2" t="s">
        <v>137</v>
      </c>
      <c r="K872">
        <f>SUM(MID(Tabla142[[#This Row],[Duración]],1,2)*60,MID(Tabla142[[#This Row],[Duración]],6,2))</f>
        <v>10</v>
      </c>
      <c r="L872" s="4" t="s">
        <v>71</v>
      </c>
      <c r="M872" t="s">
        <v>239</v>
      </c>
      <c r="N872" t="s">
        <v>300</v>
      </c>
      <c r="O872" t="s">
        <v>392</v>
      </c>
      <c r="P872" t="s">
        <v>363</v>
      </c>
      <c r="Q872" s="20">
        <v>46032.649155092593</v>
      </c>
      <c r="R872" t="s">
        <v>7</v>
      </c>
      <c r="T872" t="s">
        <v>523</v>
      </c>
    </row>
    <row r="873" spans="1:20" ht="15" customHeight="1" x14ac:dyDescent="0.25">
      <c r="A873">
        <f t="shared" si="13"/>
        <v>112</v>
      </c>
      <c r="B873" t="s">
        <v>1505</v>
      </c>
      <c r="C873" t="s">
        <v>47</v>
      </c>
      <c r="D873">
        <v>105</v>
      </c>
      <c r="E8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73">
        <f ca="1">IF(Tabla142[[#This Row],[frecuencia_new]]="Diaria"," ",RANDBETWEEN(1,6))</f>
        <v>6</v>
      </c>
      <c r="G873">
        <f ca="1">IF(Tabla142[[#This Row],[frecuencia_new]]="Diaria","",IF(Tabla142[[#This Row],[frecuencia_new]]="Semanal","",IF(Tabla142[[#This Row],[frecuencia_new]]="Quincenal",RANDBETWEEN(1,2),RANDBETWEEN(1,4))))</f>
        <v>4</v>
      </c>
      <c r="H87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73" t="s">
        <v>138</v>
      </c>
      <c r="K873">
        <f>SUM(MID(Tabla142[[#This Row],[Duración]],1,2)*60,MID(Tabla142[[#This Row],[Duración]],6,2))</f>
        <v>30</v>
      </c>
      <c r="L873" s="4" t="s">
        <v>48</v>
      </c>
      <c r="M873" t="s">
        <v>239</v>
      </c>
      <c r="N873" t="s">
        <v>300</v>
      </c>
      <c r="O873" t="s">
        <v>392</v>
      </c>
      <c r="P873" t="s">
        <v>363</v>
      </c>
      <c r="Q873" s="20">
        <v>46032.649155092593</v>
      </c>
      <c r="R873" t="s">
        <v>18</v>
      </c>
      <c r="T873" t="s">
        <v>523</v>
      </c>
    </row>
    <row r="874" spans="1:20" ht="15" customHeight="1" x14ac:dyDescent="0.25">
      <c r="A874">
        <f t="shared" si="13"/>
        <v>112</v>
      </c>
      <c r="B874" t="s">
        <v>1506</v>
      </c>
      <c r="C874" t="s">
        <v>47</v>
      </c>
      <c r="D874">
        <v>105</v>
      </c>
      <c r="E8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74">
        <f ca="1">IF(Tabla142[[#This Row],[frecuencia_new]]="Diaria"," ",RANDBETWEEN(1,6))</f>
        <v>3</v>
      </c>
      <c r="G874">
        <f ca="1">IF(Tabla142[[#This Row],[frecuencia_new]]="Diaria","",IF(Tabla142[[#This Row],[frecuencia_new]]="Semanal","",IF(Tabla142[[#This Row],[frecuencia_new]]="Quincenal",RANDBETWEEN(1,2),RANDBETWEEN(1,4))))</f>
        <v>4</v>
      </c>
      <c r="H874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874" t="s">
        <v>140</v>
      </c>
      <c r="K874">
        <f>SUM(MID(Tabla142[[#This Row],[Duración]],1,2)*60,MID(Tabla142[[#This Row],[Duración]],6,2))</f>
        <v>30</v>
      </c>
      <c r="L874" s="4" t="s">
        <v>48</v>
      </c>
      <c r="M874" t="s">
        <v>239</v>
      </c>
      <c r="N874" t="s">
        <v>300</v>
      </c>
      <c r="O874" t="s">
        <v>392</v>
      </c>
      <c r="P874" t="s">
        <v>363</v>
      </c>
      <c r="Q874" s="20">
        <v>46032.649155092593</v>
      </c>
      <c r="R874" t="s">
        <v>18</v>
      </c>
      <c r="T874" t="s">
        <v>523</v>
      </c>
    </row>
    <row r="875" spans="1:20" ht="15" customHeight="1" x14ac:dyDescent="0.25">
      <c r="A875">
        <f t="shared" si="13"/>
        <v>112</v>
      </c>
      <c r="B875" t="s">
        <v>1507</v>
      </c>
      <c r="C875" t="s">
        <v>47</v>
      </c>
      <c r="D875">
        <v>105</v>
      </c>
      <c r="E8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75">
        <f ca="1">IF(Tabla142[[#This Row],[frecuencia_new]]="Diaria"," ",RANDBETWEEN(1,6))</f>
        <v>6</v>
      </c>
      <c r="G875" t="str">
        <f ca="1">IF(Tabla142[[#This Row],[frecuencia_new]]="Diaria","",IF(Tabla142[[#This Row],[frecuencia_new]]="Semanal","",IF(Tabla142[[#This Row],[frecuencia_new]]="Quincenal",RANDBETWEEN(1,2),RANDBETWEEN(1,4))))</f>
        <v/>
      </c>
      <c r="H87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5" t="s">
        <v>141</v>
      </c>
      <c r="K875">
        <f>SUM(MID(Tabla142[[#This Row],[Duración]],1,2)*60,MID(Tabla142[[#This Row],[Duración]],6,2))</f>
        <v>5</v>
      </c>
      <c r="L875" s="4" t="s">
        <v>50</v>
      </c>
      <c r="M875" t="s">
        <v>239</v>
      </c>
      <c r="N875" t="s">
        <v>300</v>
      </c>
      <c r="O875" t="s">
        <v>392</v>
      </c>
      <c r="P875" t="s">
        <v>363</v>
      </c>
      <c r="Q875" s="20">
        <v>46032.649155092593</v>
      </c>
      <c r="R875" t="s">
        <v>8</v>
      </c>
      <c r="T875" t="s">
        <v>523</v>
      </c>
    </row>
    <row r="876" spans="1:20" ht="15" customHeight="1" x14ac:dyDescent="0.25">
      <c r="A876">
        <f t="shared" si="13"/>
        <v>112</v>
      </c>
      <c r="B876" t="s">
        <v>1508</v>
      </c>
      <c r="C876" t="s">
        <v>47</v>
      </c>
      <c r="D876">
        <v>105</v>
      </c>
      <c r="E8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76">
        <f ca="1">IF(Tabla142[[#This Row],[frecuencia_new]]="Diaria"," ",RANDBETWEEN(1,6))</f>
        <v>5</v>
      </c>
      <c r="G876">
        <f ca="1">IF(Tabla142[[#This Row],[frecuencia_new]]="Diaria","",IF(Tabla142[[#This Row],[frecuencia_new]]="Semanal","",IF(Tabla142[[#This Row],[frecuencia_new]]="Quincenal",RANDBETWEEN(1,2),RANDBETWEEN(1,4))))</f>
        <v>3</v>
      </c>
      <c r="H876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76" t="s">
        <v>142</v>
      </c>
      <c r="K876">
        <f>SUM(MID(Tabla142[[#This Row],[Duración]],1,2)*60,MID(Tabla142[[#This Row],[Duración]],6,2))</f>
        <v>30</v>
      </c>
      <c r="L876" s="4" t="s">
        <v>48</v>
      </c>
      <c r="M876" t="s">
        <v>239</v>
      </c>
      <c r="N876" t="s">
        <v>300</v>
      </c>
      <c r="O876" t="s">
        <v>392</v>
      </c>
      <c r="P876" t="s">
        <v>363</v>
      </c>
      <c r="Q876" s="20">
        <v>46032.649155092593</v>
      </c>
      <c r="R876" t="s">
        <v>18</v>
      </c>
      <c r="T876" t="s">
        <v>523</v>
      </c>
    </row>
    <row r="877" spans="1:20" ht="15" customHeight="1" x14ac:dyDescent="0.25">
      <c r="A877">
        <f t="shared" si="13"/>
        <v>112</v>
      </c>
      <c r="B877" t="s">
        <v>1509</v>
      </c>
      <c r="C877" t="s">
        <v>47</v>
      </c>
      <c r="D877">
        <v>105</v>
      </c>
      <c r="E8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77">
        <f ca="1">IF(Tabla142[[#This Row],[frecuencia_new]]="Diaria"," ",RANDBETWEEN(1,6))</f>
        <v>1</v>
      </c>
      <c r="G877">
        <f ca="1">IF(Tabla142[[#This Row],[frecuencia_new]]="Diaria","",IF(Tabla142[[#This Row],[frecuencia_new]]="Semanal","",IF(Tabla142[[#This Row],[frecuencia_new]]="Quincenal",RANDBETWEEN(1,2),RANDBETWEEN(1,4))))</f>
        <v>3</v>
      </c>
      <c r="H8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7" t="s">
        <v>143</v>
      </c>
      <c r="K877">
        <f>SUM(MID(Tabla142[[#This Row],[Duración]],1,2)*60,MID(Tabla142[[#This Row],[Duración]],6,2))</f>
        <v>10</v>
      </c>
      <c r="L877" s="4" t="s">
        <v>71</v>
      </c>
      <c r="M877" t="s">
        <v>239</v>
      </c>
      <c r="N877" t="s">
        <v>300</v>
      </c>
      <c r="O877" t="s">
        <v>392</v>
      </c>
      <c r="P877" t="s">
        <v>363</v>
      </c>
      <c r="Q877" s="20">
        <v>46032.649155092593</v>
      </c>
      <c r="R877" t="s">
        <v>7</v>
      </c>
      <c r="T877" t="s">
        <v>523</v>
      </c>
    </row>
    <row r="878" spans="1:20" ht="15" customHeight="1" x14ac:dyDescent="0.25">
      <c r="A878">
        <f t="shared" si="13"/>
        <v>112</v>
      </c>
      <c r="B878" t="s">
        <v>1510</v>
      </c>
      <c r="C878" t="s">
        <v>47</v>
      </c>
      <c r="D878">
        <v>105</v>
      </c>
      <c r="E8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78">
        <f ca="1">IF(Tabla142[[#This Row],[frecuencia_new]]="Diaria"," ",RANDBETWEEN(1,6))</f>
        <v>1</v>
      </c>
      <c r="G878">
        <f ca="1">IF(Tabla142[[#This Row],[frecuencia_new]]="Diaria","",IF(Tabla142[[#This Row],[frecuencia_new]]="Semanal","",IF(Tabla142[[#This Row],[frecuencia_new]]="Quincenal",RANDBETWEEN(1,2),RANDBETWEEN(1,4))))</f>
        <v>1</v>
      </c>
      <c r="H878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878" t="s">
        <v>145</v>
      </c>
      <c r="K878">
        <f>SUM(MID(Tabla142[[#This Row],[Duración]],1,2)*60,MID(Tabla142[[#This Row],[Duración]],6,2))</f>
        <v>30</v>
      </c>
      <c r="L878" s="4" t="s">
        <v>48</v>
      </c>
      <c r="M878" t="s">
        <v>239</v>
      </c>
      <c r="N878" t="s">
        <v>300</v>
      </c>
      <c r="O878" t="s">
        <v>392</v>
      </c>
      <c r="P878" t="s">
        <v>363</v>
      </c>
      <c r="Q878" s="20">
        <v>46032.649155092593</v>
      </c>
      <c r="R878" t="s">
        <v>18</v>
      </c>
      <c r="T878" t="s">
        <v>523</v>
      </c>
    </row>
    <row r="879" spans="1:20" ht="15" customHeight="1" x14ac:dyDescent="0.25">
      <c r="A879">
        <f t="shared" si="13"/>
        <v>112</v>
      </c>
      <c r="B879" t="s">
        <v>1511</v>
      </c>
      <c r="C879" t="s">
        <v>47</v>
      </c>
      <c r="D879">
        <v>105</v>
      </c>
      <c r="E8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79">
        <f ca="1">IF(Tabla142[[#This Row],[frecuencia_new]]="Diaria"," ",RANDBETWEEN(1,6))</f>
        <v>4</v>
      </c>
      <c r="G879">
        <f ca="1">IF(Tabla142[[#This Row],[frecuencia_new]]="Diaria","",IF(Tabla142[[#This Row],[frecuencia_new]]="Semanal","",IF(Tabla142[[#This Row],[frecuencia_new]]="Quincenal",RANDBETWEEN(1,2),RANDBETWEEN(1,4))))</f>
        <v>2</v>
      </c>
      <c r="H8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79" t="s">
        <v>146</v>
      </c>
      <c r="K879">
        <f>SUM(MID(Tabla142[[#This Row],[Duración]],1,2)*60,MID(Tabla142[[#This Row],[Duración]],6,2))</f>
        <v>20</v>
      </c>
      <c r="L879" s="4" t="s">
        <v>82</v>
      </c>
      <c r="M879" t="s">
        <v>239</v>
      </c>
      <c r="N879" t="s">
        <v>300</v>
      </c>
      <c r="O879" t="s">
        <v>392</v>
      </c>
      <c r="P879" t="s">
        <v>363</v>
      </c>
      <c r="Q879" s="20">
        <v>46032.649155092593</v>
      </c>
      <c r="R879" t="s">
        <v>7</v>
      </c>
      <c r="T879" t="s">
        <v>523</v>
      </c>
    </row>
    <row r="880" spans="1:20" ht="15" customHeight="1" x14ac:dyDescent="0.25">
      <c r="A880">
        <f t="shared" si="13"/>
        <v>112</v>
      </c>
      <c r="B880" t="s">
        <v>1512</v>
      </c>
      <c r="C880" t="s">
        <v>47</v>
      </c>
      <c r="D880">
        <v>105</v>
      </c>
      <c r="E8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80">
        <f ca="1">IF(Tabla142[[#This Row],[frecuencia_new]]="Diaria"," ",RANDBETWEEN(1,6))</f>
        <v>5</v>
      </c>
      <c r="G880">
        <f ca="1">IF(Tabla142[[#This Row],[frecuencia_new]]="Diaria","",IF(Tabla142[[#This Row],[frecuencia_new]]="Semanal","",IF(Tabla142[[#This Row],[frecuencia_new]]="Quincenal",RANDBETWEEN(1,2),RANDBETWEEN(1,4))))</f>
        <v>3</v>
      </c>
      <c r="H8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0" t="s">
        <v>148</v>
      </c>
      <c r="K880">
        <f>SUM(MID(Tabla142[[#This Row],[Duración]],1,2)*60,MID(Tabla142[[#This Row],[Duración]],6,2))</f>
        <v>30</v>
      </c>
      <c r="L880" s="4" t="s">
        <v>48</v>
      </c>
      <c r="M880" t="s">
        <v>239</v>
      </c>
      <c r="N880" t="s">
        <v>300</v>
      </c>
      <c r="O880" t="s">
        <v>392</v>
      </c>
      <c r="P880" t="s">
        <v>363</v>
      </c>
      <c r="Q880" s="20">
        <v>46032.649155092593</v>
      </c>
      <c r="R880" t="s">
        <v>7</v>
      </c>
      <c r="T880" t="s">
        <v>523</v>
      </c>
    </row>
    <row r="881" spans="1:20" ht="15" customHeight="1" x14ac:dyDescent="0.25">
      <c r="A881">
        <f t="shared" si="13"/>
        <v>112</v>
      </c>
      <c r="B881" t="s">
        <v>1513</v>
      </c>
      <c r="C881" t="s">
        <v>47</v>
      </c>
      <c r="D881">
        <v>105</v>
      </c>
      <c r="E8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81">
        <f ca="1">IF(Tabla142[[#This Row],[frecuencia_new]]="Diaria"," ",RANDBETWEEN(1,6))</f>
        <v>2</v>
      </c>
      <c r="G881" t="str">
        <f ca="1">IF(Tabla142[[#This Row],[frecuencia_new]]="Diaria","",IF(Tabla142[[#This Row],[frecuencia_new]]="Semanal","",IF(Tabla142[[#This Row],[frecuencia_new]]="Quincenal",RANDBETWEEN(1,2),RANDBETWEEN(1,4))))</f>
        <v/>
      </c>
      <c r="H88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1" t="s">
        <v>149</v>
      </c>
      <c r="K881">
        <f>SUM(MID(Tabla142[[#This Row],[Duración]],1,2)*60,MID(Tabla142[[#This Row],[Duración]],6,2))</f>
        <v>3</v>
      </c>
      <c r="L881" s="4" t="s">
        <v>150</v>
      </c>
      <c r="M881" t="s">
        <v>239</v>
      </c>
      <c r="N881" t="s">
        <v>300</v>
      </c>
      <c r="O881" t="s">
        <v>392</v>
      </c>
      <c r="P881" t="s">
        <v>363</v>
      </c>
      <c r="Q881" s="20">
        <v>46032.649155092593</v>
      </c>
      <c r="R881" t="s">
        <v>8</v>
      </c>
      <c r="T881" t="s">
        <v>523</v>
      </c>
    </row>
    <row r="882" spans="1:20" ht="15" customHeight="1" x14ac:dyDescent="0.25">
      <c r="A882">
        <f t="shared" si="13"/>
        <v>112</v>
      </c>
      <c r="B882" t="s">
        <v>1514</v>
      </c>
      <c r="C882" t="s">
        <v>47</v>
      </c>
      <c r="D882">
        <v>105</v>
      </c>
      <c r="E8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82">
        <f ca="1">IF(Tabla142[[#This Row],[frecuencia_new]]="Diaria"," ",RANDBETWEEN(1,6))</f>
        <v>4</v>
      </c>
      <c r="G882">
        <f ca="1">IF(Tabla142[[#This Row],[frecuencia_new]]="Diaria","",IF(Tabla142[[#This Row],[frecuencia_new]]="Semanal","",IF(Tabla142[[#This Row],[frecuencia_new]]="Quincenal",RANDBETWEEN(1,2),RANDBETWEEN(1,4))))</f>
        <v>4</v>
      </c>
      <c r="H882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882" t="s">
        <v>151</v>
      </c>
      <c r="K882">
        <f>SUM(MID(Tabla142[[#This Row],[Duración]],1,2)*60,MID(Tabla142[[#This Row],[Duración]],6,2))</f>
        <v>60</v>
      </c>
      <c r="L882" s="4" t="s">
        <v>58</v>
      </c>
      <c r="M882" t="s">
        <v>239</v>
      </c>
      <c r="N882" t="s">
        <v>300</v>
      </c>
      <c r="O882" t="s">
        <v>392</v>
      </c>
      <c r="P882" t="s">
        <v>363</v>
      </c>
      <c r="Q882" s="20">
        <v>46032.649155092593</v>
      </c>
      <c r="R882" t="s">
        <v>18</v>
      </c>
      <c r="T882" t="s">
        <v>523</v>
      </c>
    </row>
    <row r="883" spans="1:20" ht="15" customHeight="1" x14ac:dyDescent="0.25">
      <c r="A883">
        <f t="shared" si="13"/>
        <v>112</v>
      </c>
      <c r="B883" t="s">
        <v>1515</v>
      </c>
      <c r="C883" t="s">
        <v>47</v>
      </c>
      <c r="D883">
        <v>105</v>
      </c>
      <c r="E8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83">
        <f ca="1">IF(Tabla142[[#This Row],[frecuencia_new]]="Diaria"," ",RANDBETWEEN(1,6))</f>
        <v>1</v>
      </c>
      <c r="G883" t="str">
        <f ca="1">IF(Tabla142[[#This Row],[frecuencia_new]]="Diaria","",IF(Tabla142[[#This Row],[frecuencia_new]]="Semanal","",IF(Tabla142[[#This Row],[frecuencia_new]]="Quincenal",RANDBETWEEN(1,2),RANDBETWEEN(1,4))))</f>
        <v/>
      </c>
      <c r="H8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3" t="s">
        <v>152</v>
      </c>
      <c r="K883">
        <f>SUM(MID(Tabla142[[#This Row],[Duración]],1,2)*60,MID(Tabla142[[#This Row],[Duración]],6,2))</f>
        <v>3</v>
      </c>
      <c r="L883" s="4" t="s">
        <v>150</v>
      </c>
      <c r="M883" t="s">
        <v>239</v>
      </c>
      <c r="N883" t="s">
        <v>300</v>
      </c>
      <c r="O883" t="s">
        <v>392</v>
      </c>
      <c r="P883" t="s">
        <v>363</v>
      </c>
      <c r="Q883" s="20">
        <v>46032.649155092593</v>
      </c>
      <c r="R883" t="s">
        <v>8</v>
      </c>
      <c r="T883" t="s">
        <v>523</v>
      </c>
    </row>
    <row r="884" spans="1:20" ht="15" customHeight="1" x14ac:dyDescent="0.25">
      <c r="A884">
        <f t="shared" si="13"/>
        <v>112</v>
      </c>
      <c r="B884" t="s">
        <v>1516</v>
      </c>
      <c r="C884" t="s">
        <v>47</v>
      </c>
      <c r="D884">
        <v>105</v>
      </c>
      <c r="E8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84">
        <f ca="1">IF(Tabla142[[#This Row],[frecuencia_new]]="Diaria"," ",RANDBETWEEN(1,6))</f>
        <v>4</v>
      </c>
      <c r="G884" t="str">
        <f ca="1">IF(Tabla142[[#This Row],[frecuencia_new]]="Diaria","",IF(Tabla142[[#This Row],[frecuencia_new]]="Semanal","",IF(Tabla142[[#This Row],[frecuencia_new]]="Quincenal",RANDBETWEEN(1,2),RANDBETWEEN(1,4))))</f>
        <v/>
      </c>
      <c r="H8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4" t="s">
        <v>153</v>
      </c>
      <c r="K884">
        <f>SUM(MID(Tabla142[[#This Row],[Duración]],1,2)*60,MID(Tabla142[[#This Row],[Duración]],6,2))</f>
        <v>3</v>
      </c>
      <c r="L884" s="4" t="s">
        <v>150</v>
      </c>
      <c r="M884" t="s">
        <v>239</v>
      </c>
      <c r="N884" t="s">
        <v>300</v>
      </c>
      <c r="O884" t="s">
        <v>392</v>
      </c>
      <c r="P884" t="s">
        <v>363</v>
      </c>
      <c r="Q884" s="20">
        <v>46032.649155092593</v>
      </c>
      <c r="R884" t="s">
        <v>8</v>
      </c>
      <c r="T884" t="s">
        <v>523</v>
      </c>
    </row>
    <row r="885" spans="1:20" ht="15" customHeight="1" x14ac:dyDescent="0.25">
      <c r="A885">
        <f t="shared" si="13"/>
        <v>112</v>
      </c>
      <c r="B885" t="s">
        <v>1517</v>
      </c>
      <c r="C885" t="s">
        <v>47</v>
      </c>
      <c r="D885">
        <v>105</v>
      </c>
      <c r="E8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85">
        <f ca="1">IF(Tabla142[[#This Row],[frecuencia_new]]="Diaria"," ",RANDBETWEEN(1,6))</f>
        <v>4</v>
      </c>
      <c r="G885" t="str">
        <f ca="1">IF(Tabla142[[#This Row],[frecuencia_new]]="Diaria","",IF(Tabla142[[#This Row],[frecuencia_new]]="Semanal","",IF(Tabla142[[#This Row],[frecuencia_new]]="Quincenal",RANDBETWEEN(1,2),RANDBETWEEN(1,4))))</f>
        <v/>
      </c>
      <c r="H8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5" t="s">
        <v>154</v>
      </c>
      <c r="K885">
        <f>SUM(MID(Tabla142[[#This Row],[Duración]],1,2)*60,MID(Tabla142[[#This Row],[Duración]],6,2))</f>
        <v>3</v>
      </c>
      <c r="L885" s="4" t="s">
        <v>150</v>
      </c>
      <c r="M885" t="s">
        <v>239</v>
      </c>
      <c r="N885" t="s">
        <v>300</v>
      </c>
      <c r="O885" t="s">
        <v>392</v>
      </c>
      <c r="P885" t="s">
        <v>363</v>
      </c>
      <c r="Q885" s="20">
        <v>46032.649155092593</v>
      </c>
      <c r="R885" t="s">
        <v>8</v>
      </c>
      <c r="T885" t="s">
        <v>523</v>
      </c>
    </row>
    <row r="886" spans="1:20" ht="15" customHeight="1" x14ac:dyDescent="0.25">
      <c r="A886">
        <f t="shared" si="13"/>
        <v>112</v>
      </c>
      <c r="B886" t="s">
        <v>1518</v>
      </c>
      <c r="C886" t="s">
        <v>47</v>
      </c>
      <c r="D886">
        <v>105</v>
      </c>
      <c r="E8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86">
        <f ca="1">IF(Tabla142[[#This Row],[frecuencia_new]]="Diaria"," ",RANDBETWEEN(1,6))</f>
        <v>5</v>
      </c>
      <c r="G886" t="str">
        <f ca="1">IF(Tabla142[[#This Row],[frecuencia_new]]="Diaria","",IF(Tabla142[[#This Row],[frecuencia_new]]="Semanal","",IF(Tabla142[[#This Row],[frecuencia_new]]="Quincenal",RANDBETWEEN(1,2),RANDBETWEEN(1,4))))</f>
        <v/>
      </c>
      <c r="H88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6" t="s">
        <v>155</v>
      </c>
      <c r="K886">
        <f>SUM(MID(Tabla142[[#This Row],[Duración]],1,2)*60,MID(Tabla142[[#This Row],[Duración]],6,2))</f>
        <v>3</v>
      </c>
      <c r="L886" s="4" t="s">
        <v>150</v>
      </c>
      <c r="M886" t="s">
        <v>239</v>
      </c>
      <c r="N886" t="s">
        <v>300</v>
      </c>
      <c r="O886" t="s">
        <v>392</v>
      </c>
      <c r="P886" t="s">
        <v>363</v>
      </c>
      <c r="Q886" s="20">
        <v>46032.649155092593</v>
      </c>
      <c r="R886" t="s">
        <v>8</v>
      </c>
      <c r="T886" t="s">
        <v>523</v>
      </c>
    </row>
    <row r="887" spans="1:20" ht="15" customHeight="1" x14ac:dyDescent="0.25">
      <c r="A887">
        <f t="shared" si="13"/>
        <v>112</v>
      </c>
      <c r="B887" t="s">
        <v>1519</v>
      </c>
      <c r="C887" t="s">
        <v>47</v>
      </c>
      <c r="D887">
        <v>105</v>
      </c>
      <c r="E8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87">
        <f ca="1">IF(Tabla142[[#This Row],[frecuencia_new]]="Diaria"," ",RANDBETWEEN(1,6))</f>
        <v>4</v>
      </c>
      <c r="G887" t="str">
        <f ca="1">IF(Tabla142[[#This Row],[frecuencia_new]]="Diaria","",IF(Tabla142[[#This Row],[frecuencia_new]]="Semanal","",IF(Tabla142[[#This Row],[frecuencia_new]]="Quincenal",RANDBETWEEN(1,2),RANDBETWEEN(1,4))))</f>
        <v/>
      </c>
      <c r="H8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87" t="s">
        <v>156</v>
      </c>
      <c r="K887">
        <f>SUM(MID(Tabla142[[#This Row],[Duración]],1,2)*60,MID(Tabla142[[#This Row],[Duración]],6,2))</f>
        <v>3</v>
      </c>
      <c r="L887" s="4" t="s">
        <v>150</v>
      </c>
      <c r="M887" t="s">
        <v>239</v>
      </c>
      <c r="N887" t="s">
        <v>300</v>
      </c>
      <c r="O887" t="s">
        <v>392</v>
      </c>
      <c r="P887" t="s">
        <v>363</v>
      </c>
      <c r="Q887" s="20">
        <v>46032.649155092593</v>
      </c>
      <c r="R887" t="s">
        <v>8</v>
      </c>
      <c r="T887" t="s">
        <v>523</v>
      </c>
    </row>
    <row r="888" spans="1:20" x14ac:dyDescent="0.25">
      <c r="A888">
        <f t="shared" si="13"/>
        <v>112</v>
      </c>
      <c r="B888" t="s">
        <v>1520</v>
      </c>
      <c r="C888" t="s">
        <v>47</v>
      </c>
      <c r="D888">
        <v>105</v>
      </c>
      <c r="E8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888">
        <f ca="1">IF(Tabla142[[#This Row],[frecuencia_new]]="Diaria"," ",RANDBETWEEN(1,6))</f>
        <v>3</v>
      </c>
      <c r="G888">
        <f ca="1">IF(Tabla142[[#This Row],[frecuencia_new]]="Diaria","",IF(Tabla142[[#This Row],[frecuencia_new]]="Semanal","",IF(Tabla142[[#This Row],[frecuencia_new]]="Quincenal",RANDBETWEEN(1,2),RANDBETWEEN(1,4))))</f>
        <v>1</v>
      </c>
      <c r="H888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88" t="s">
        <v>157</v>
      </c>
      <c r="K888">
        <f>SUM(MID(Tabla142[[#This Row],[Duración]],1,2)*60,MID(Tabla142[[#This Row],[Duración]],6,2))</f>
        <v>60</v>
      </c>
      <c r="L888" s="4" t="s">
        <v>58</v>
      </c>
      <c r="M888" t="s">
        <v>239</v>
      </c>
      <c r="N888" t="s">
        <v>300</v>
      </c>
      <c r="O888" t="s">
        <v>392</v>
      </c>
      <c r="P888" t="s">
        <v>363</v>
      </c>
      <c r="Q888" s="20">
        <v>46032.649155092593</v>
      </c>
      <c r="R888" t="s">
        <v>20</v>
      </c>
      <c r="T888" t="s">
        <v>523</v>
      </c>
    </row>
    <row r="889" spans="1:20" ht="15" customHeight="1" x14ac:dyDescent="0.25">
      <c r="A889">
        <f t="shared" si="13"/>
        <v>112</v>
      </c>
      <c r="B889" t="s">
        <v>1521</v>
      </c>
      <c r="C889" t="s">
        <v>47</v>
      </c>
      <c r="D889">
        <v>105</v>
      </c>
      <c r="E8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889">
        <f ca="1">IF(Tabla142[[#This Row],[frecuencia_new]]="Diaria"," ",RANDBETWEEN(1,6))</f>
        <v>6</v>
      </c>
      <c r="G889">
        <f ca="1">IF(Tabla142[[#This Row],[frecuencia_new]]="Diaria","",IF(Tabla142[[#This Row],[frecuencia_new]]="Semanal","",IF(Tabla142[[#This Row],[frecuencia_new]]="Quincenal",RANDBETWEEN(1,2),RANDBETWEEN(1,4))))</f>
        <v>2</v>
      </c>
      <c r="H889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889" t="s">
        <v>158</v>
      </c>
      <c r="K889">
        <f>SUM(MID(Tabla142[[#This Row],[Duración]],1,2)*60,MID(Tabla142[[#This Row],[Duración]],6,2))</f>
        <v>60</v>
      </c>
      <c r="L889" s="4" t="s">
        <v>58</v>
      </c>
      <c r="M889" t="s">
        <v>239</v>
      </c>
      <c r="N889" t="s">
        <v>300</v>
      </c>
      <c r="O889" t="s">
        <v>392</v>
      </c>
      <c r="P889" t="s">
        <v>363</v>
      </c>
      <c r="Q889" s="20">
        <v>46032.649155092593</v>
      </c>
      <c r="R889" t="s">
        <v>18</v>
      </c>
      <c r="T889" t="s">
        <v>523</v>
      </c>
    </row>
    <row r="890" spans="1:20" ht="15" customHeight="1" x14ac:dyDescent="0.25">
      <c r="A890">
        <f t="shared" si="13"/>
        <v>112</v>
      </c>
      <c r="B890" t="s">
        <v>1522</v>
      </c>
      <c r="C890" t="s">
        <v>47</v>
      </c>
      <c r="D890">
        <v>105</v>
      </c>
      <c r="E8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0">
        <f ca="1">IF(Tabla142[[#This Row],[frecuencia_new]]="Diaria"," ",RANDBETWEEN(1,6))</f>
        <v>4</v>
      </c>
      <c r="G890">
        <f ca="1">IF(Tabla142[[#This Row],[frecuencia_new]]="Diaria","",IF(Tabla142[[#This Row],[frecuencia_new]]="Semanal","",IF(Tabla142[[#This Row],[frecuencia_new]]="Quincenal",RANDBETWEEN(1,2),RANDBETWEEN(1,4))))</f>
        <v>3</v>
      </c>
      <c r="H890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890" t="s">
        <v>159</v>
      </c>
      <c r="K890">
        <f>SUM(MID(Tabla142[[#This Row],[Duración]],1,2)*60,MID(Tabla142[[#This Row],[Duración]],6,2))</f>
        <v>90</v>
      </c>
      <c r="L890" s="4" t="s">
        <v>96</v>
      </c>
      <c r="M890" t="s">
        <v>239</v>
      </c>
      <c r="N890" t="s">
        <v>300</v>
      </c>
      <c r="O890" t="s">
        <v>392</v>
      </c>
      <c r="P890" t="s">
        <v>363</v>
      </c>
      <c r="Q890" s="20">
        <v>46032.649155092593</v>
      </c>
      <c r="R890" t="s">
        <v>5</v>
      </c>
      <c r="T890" t="s">
        <v>523</v>
      </c>
    </row>
    <row r="891" spans="1:20" ht="15" customHeight="1" x14ac:dyDescent="0.25">
      <c r="A891">
        <f t="shared" si="13"/>
        <v>112</v>
      </c>
      <c r="B891" t="s">
        <v>1523</v>
      </c>
      <c r="C891" t="s">
        <v>47</v>
      </c>
      <c r="D891">
        <v>105</v>
      </c>
      <c r="E8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891">
        <f ca="1">IF(Tabla142[[#This Row],[frecuencia_new]]="Diaria"," ",RANDBETWEEN(1,6))</f>
        <v>2</v>
      </c>
      <c r="G891" t="str">
        <f ca="1">IF(Tabla142[[#This Row],[frecuencia_new]]="Diaria","",IF(Tabla142[[#This Row],[frecuencia_new]]="Semanal","",IF(Tabla142[[#This Row],[frecuencia_new]]="Quincenal",RANDBETWEEN(1,2),RANDBETWEEN(1,4))))</f>
        <v/>
      </c>
      <c r="H8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91" t="s">
        <v>57</v>
      </c>
      <c r="K891">
        <f>SUM(MID(Tabla142[[#This Row],[Duración]],1,2)*60,MID(Tabla142[[#This Row],[Duración]],6,2))</f>
        <v>10</v>
      </c>
      <c r="L891" s="4" t="s">
        <v>71</v>
      </c>
      <c r="M891" t="s">
        <v>239</v>
      </c>
      <c r="N891" t="s">
        <v>300</v>
      </c>
      <c r="O891" t="s">
        <v>392</v>
      </c>
      <c r="P891" t="s">
        <v>363</v>
      </c>
      <c r="Q891" s="20">
        <v>46032.649155092593</v>
      </c>
      <c r="R891" t="s">
        <v>8</v>
      </c>
      <c r="T891" t="s">
        <v>523</v>
      </c>
    </row>
    <row r="892" spans="1:20" ht="15" customHeight="1" x14ac:dyDescent="0.25">
      <c r="A892">
        <f t="shared" si="13"/>
        <v>112</v>
      </c>
      <c r="B892" t="s">
        <v>1524</v>
      </c>
      <c r="C892" t="s">
        <v>47</v>
      </c>
      <c r="D892">
        <v>105</v>
      </c>
      <c r="E8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2">
        <f ca="1">IF(Tabla142[[#This Row],[frecuencia_new]]="Diaria"," ",RANDBETWEEN(1,6))</f>
        <v>6</v>
      </c>
      <c r="G892">
        <f ca="1">IF(Tabla142[[#This Row],[frecuencia_new]]="Diaria","",IF(Tabla142[[#This Row],[frecuencia_new]]="Semanal","",IF(Tabla142[[#This Row],[frecuencia_new]]="Quincenal",RANDBETWEEN(1,2),RANDBETWEEN(1,4))))</f>
        <v>2</v>
      </c>
      <c r="H89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892" t="s">
        <v>160</v>
      </c>
      <c r="K892">
        <f>SUM(MID(Tabla142[[#This Row],[Duración]],1,2)*60,MID(Tabla142[[#This Row],[Duración]],6,2))</f>
        <v>30</v>
      </c>
      <c r="L892" s="4" t="s">
        <v>48</v>
      </c>
      <c r="M892" t="s">
        <v>239</v>
      </c>
      <c r="N892" t="s">
        <v>300</v>
      </c>
      <c r="O892" t="s">
        <v>392</v>
      </c>
      <c r="P892" t="s">
        <v>363</v>
      </c>
      <c r="Q892" s="20">
        <v>46032.649155092593</v>
      </c>
      <c r="R892" t="s">
        <v>5</v>
      </c>
      <c r="T892" t="s">
        <v>523</v>
      </c>
    </row>
    <row r="893" spans="1:20" ht="15" customHeight="1" x14ac:dyDescent="0.25">
      <c r="A893">
        <f t="shared" si="13"/>
        <v>112</v>
      </c>
      <c r="B893" t="s">
        <v>1525</v>
      </c>
      <c r="C893" t="s">
        <v>54</v>
      </c>
      <c r="D893">
        <v>105</v>
      </c>
      <c r="E8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893">
        <f ca="1">IF(Tabla142[[#This Row],[frecuencia_new]]="Diaria"," ",RANDBETWEEN(1,6))</f>
        <v>4</v>
      </c>
      <c r="G893">
        <f ca="1">IF(Tabla142[[#This Row],[frecuencia_new]]="Diaria","",IF(Tabla142[[#This Row],[frecuencia_new]]="Semanal","",IF(Tabla142[[#This Row],[frecuencia_new]]="Quincenal",RANDBETWEEN(1,2),RANDBETWEEN(1,4))))</f>
        <v>4</v>
      </c>
      <c r="H8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893" t="s">
        <v>169</v>
      </c>
      <c r="K893">
        <f>SUM(MID(Tabla142[[#This Row],[Duración]],1,2)*60,MID(Tabla142[[#This Row],[Duración]],6,2))</f>
        <v>0</v>
      </c>
      <c r="L893" s="4" t="s">
        <v>89</v>
      </c>
      <c r="M893" t="s">
        <v>239</v>
      </c>
      <c r="N893" t="s">
        <v>300</v>
      </c>
      <c r="O893" t="s">
        <v>392</v>
      </c>
      <c r="P893" t="s">
        <v>363</v>
      </c>
      <c r="Q893" s="20">
        <v>46032.649155092593</v>
      </c>
      <c r="R893" t="s">
        <v>7</v>
      </c>
      <c r="T893" t="s">
        <v>523</v>
      </c>
    </row>
    <row r="894" spans="1:20" ht="15" customHeight="1" x14ac:dyDescent="0.25">
      <c r="A894">
        <f t="shared" si="13"/>
        <v>149</v>
      </c>
      <c r="B894" t="s">
        <v>1526</v>
      </c>
      <c r="C894" t="s">
        <v>47</v>
      </c>
      <c r="D894">
        <v>105</v>
      </c>
      <c r="E8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4">
        <f ca="1">IF(Tabla142[[#This Row],[frecuencia_new]]="Diaria"," ",RANDBETWEEN(1,6))</f>
        <v>6</v>
      </c>
      <c r="G894">
        <f ca="1">IF(Tabla142[[#This Row],[frecuencia_new]]="Diaria","",IF(Tabla142[[#This Row],[frecuencia_new]]="Semanal","",IF(Tabla142[[#This Row],[frecuencia_new]]="Quincenal",RANDBETWEEN(1,2),RANDBETWEEN(1,4))))</f>
        <v>1</v>
      </c>
      <c r="H894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894" t="s">
        <v>116</v>
      </c>
      <c r="K894">
        <f>SUM(MID(Tabla142[[#This Row],[Duración]],1,2)*60,MID(Tabla142[[#This Row],[Duración]],6,2))</f>
        <v>60</v>
      </c>
      <c r="L894" s="4" t="s">
        <v>58</v>
      </c>
      <c r="M894" t="s">
        <v>239</v>
      </c>
      <c r="N894" t="s">
        <v>300</v>
      </c>
      <c r="O894" t="s">
        <v>380</v>
      </c>
      <c r="P894" t="s">
        <v>360</v>
      </c>
      <c r="Q894" s="20">
        <v>46032.649155092593</v>
      </c>
      <c r="R894" t="s">
        <v>5</v>
      </c>
      <c r="T894" t="s">
        <v>560</v>
      </c>
    </row>
    <row r="895" spans="1:20" ht="15" customHeight="1" x14ac:dyDescent="0.25">
      <c r="A895">
        <f t="shared" si="13"/>
        <v>149</v>
      </c>
      <c r="B895" t="s">
        <v>1527</v>
      </c>
      <c r="C895" t="s">
        <v>47</v>
      </c>
      <c r="D895">
        <v>105</v>
      </c>
      <c r="E8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5">
        <f ca="1">IF(Tabla142[[#This Row],[frecuencia_new]]="Diaria"," ",RANDBETWEEN(1,6))</f>
        <v>2</v>
      </c>
      <c r="G895">
        <f ca="1">IF(Tabla142[[#This Row],[frecuencia_new]]="Diaria","",IF(Tabla142[[#This Row],[frecuencia_new]]="Semanal","",IF(Tabla142[[#This Row],[frecuencia_new]]="Quincenal",RANDBETWEEN(1,2),RANDBETWEEN(1,4))))</f>
        <v>3</v>
      </c>
      <c r="H895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895" t="s">
        <v>46</v>
      </c>
      <c r="K895">
        <f>SUM(MID(Tabla142[[#This Row],[Duración]],1,2)*60,MID(Tabla142[[#This Row],[Duración]],6,2))</f>
        <v>90</v>
      </c>
      <c r="L895" s="4" t="s">
        <v>96</v>
      </c>
      <c r="M895" t="s">
        <v>239</v>
      </c>
      <c r="N895" t="s">
        <v>300</v>
      </c>
      <c r="O895" t="s">
        <v>380</v>
      </c>
      <c r="P895" t="s">
        <v>360</v>
      </c>
      <c r="Q895" s="20">
        <v>46032.649155092593</v>
      </c>
      <c r="R895" t="s">
        <v>5</v>
      </c>
      <c r="T895" t="s">
        <v>560</v>
      </c>
    </row>
    <row r="896" spans="1:20" ht="15" customHeight="1" x14ac:dyDescent="0.25">
      <c r="A896">
        <f t="shared" si="13"/>
        <v>149</v>
      </c>
      <c r="B896" t="s">
        <v>1528</v>
      </c>
      <c r="C896" t="s">
        <v>47</v>
      </c>
      <c r="D896">
        <v>105</v>
      </c>
      <c r="E8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6">
        <f ca="1">IF(Tabla142[[#This Row],[frecuencia_new]]="Diaria"," ",RANDBETWEEN(1,6))</f>
        <v>6</v>
      </c>
      <c r="G896">
        <f ca="1">IF(Tabla142[[#This Row],[frecuencia_new]]="Diaria","",IF(Tabla142[[#This Row],[frecuencia_new]]="Semanal","",IF(Tabla142[[#This Row],[frecuencia_new]]="Quincenal",RANDBETWEEN(1,2),RANDBETWEEN(1,4))))</f>
        <v>4</v>
      </c>
      <c r="H89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896" t="s">
        <v>53</v>
      </c>
      <c r="K896">
        <f>SUM(MID(Tabla142[[#This Row],[Duración]],1,2)*60,MID(Tabla142[[#This Row],[Duración]],6,2))</f>
        <v>90</v>
      </c>
      <c r="L896" s="4" t="s">
        <v>96</v>
      </c>
      <c r="M896" t="s">
        <v>239</v>
      </c>
      <c r="N896" t="s">
        <v>300</v>
      </c>
      <c r="O896" t="s">
        <v>380</v>
      </c>
      <c r="P896" t="s">
        <v>360</v>
      </c>
      <c r="Q896" s="20">
        <v>46032.649155092593</v>
      </c>
      <c r="R896" t="s">
        <v>5</v>
      </c>
      <c r="T896" t="s">
        <v>560</v>
      </c>
    </row>
    <row r="897" spans="1:20" ht="15" customHeight="1" x14ac:dyDescent="0.25">
      <c r="A897">
        <f t="shared" si="13"/>
        <v>149</v>
      </c>
      <c r="B897" t="s">
        <v>1529</v>
      </c>
      <c r="C897" t="s">
        <v>47</v>
      </c>
      <c r="D897">
        <v>105</v>
      </c>
      <c r="E8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7">
        <f ca="1">IF(Tabla142[[#This Row],[frecuencia_new]]="Diaria"," ",RANDBETWEEN(1,6))</f>
        <v>5</v>
      </c>
      <c r="G897">
        <f ca="1">IF(Tabla142[[#This Row],[frecuencia_new]]="Diaria","",IF(Tabla142[[#This Row],[frecuencia_new]]="Semanal","",IF(Tabla142[[#This Row],[frecuencia_new]]="Quincenal",RANDBETWEEN(1,2),RANDBETWEEN(1,4))))</f>
        <v>3</v>
      </c>
      <c r="H897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897" t="s">
        <v>147</v>
      </c>
      <c r="K897">
        <f>SUM(MID(Tabla142[[#This Row],[Duración]],1,2)*60,MID(Tabla142[[#This Row],[Duración]],6,2))</f>
        <v>90</v>
      </c>
      <c r="L897" s="4" t="s">
        <v>96</v>
      </c>
      <c r="M897" t="s">
        <v>239</v>
      </c>
      <c r="N897" t="s">
        <v>300</v>
      </c>
      <c r="O897" t="s">
        <v>380</v>
      </c>
      <c r="P897" t="s">
        <v>360</v>
      </c>
      <c r="Q897" s="20">
        <v>46032.649155092593</v>
      </c>
      <c r="R897" t="s">
        <v>5</v>
      </c>
      <c r="T897" t="s">
        <v>560</v>
      </c>
    </row>
    <row r="898" spans="1:20" ht="15" customHeight="1" x14ac:dyDescent="0.25">
      <c r="A898">
        <f t="shared" ref="A898:A961" si="14">VLOOKUP(T898,$V$2:$W$222,2,FALSE)</f>
        <v>149</v>
      </c>
      <c r="B898" t="s">
        <v>1530</v>
      </c>
      <c r="C898" t="s">
        <v>47</v>
      </c>
      <c r="D898">
        <v>105</v>
      </c>
      <c r="E8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8">
        <f ca="1">IF(Tabla142[[#This Row],[frecuencia_new]]="Diaria"," ",RANDBETWEEN(1,6))</f>
        <v>1</v>
      </c>
      <c r="G898">
        <f ca="1">IF(Tabla142[[#This Row],[frecuencia_new]]="Diaria","",IF(Tabla142[[#This Row],[frecuencia_new]]="Semanal","",IF(Tabla142[[#This Row],[frecuencia_new]]="Quincenal",RANDBETWEEN(1,2),RANDBETWEEN(1,4))))</f>
        <v>4</v>
      </c>
      <c r="H898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898" t="s">
        <v>64</v>
      </c>
      <c r="K898">
        <f>SUM(MID(Tabla142[[#This Row],[Duración]],1,2)*60,MID(Tabla142[[#This Row],[Duración]],6,2))</f>
        <v>90</v>
      </c>
      <c r="L898" s="4" t="s">
        <v>96</v>
      </c>
      <c r="M898" t="s">
        <v>239</v>
      </c>
      <c r="N898" t="s">
        <v>300</v>
      </c>
      <c r="O898" t="s">
        <v>380</v>
      </c>
      <c r="P898" t="s">
        <v>360</v>
      </c>
      <c r="Q898" s="20">
        <v>46032.649155092593</v>
      </c>
      <c r="R898" t="s">
        <v>5</v>
      </c>
      <c r="T898" t="s">
        <v>560</v>
      </c>
    </row>
    <row r="899" spans="1:20" ht="15" customHeight="1" x14ac:dyDescent="0.25">
      <c r="A899">
        <f t="shared" si="14"/>
        <v>149</v>
      </c>
      <c r="B899" t="s">
        <v>1531</v>
      </c>
      <c r="C899" t="s">
        <v>47</v>
      </c>
      <c r="D899">
        <v>105</v>
      </c>
      <c r="E8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899">
        <f ca="1">IF(Tabla142[[#This Row],[frecuencia_new]]="Diaria"," ",RANDBETWEEN(1,6))</f>
        <v>2</v>
      </c>
      <c r="G899">
        <f ca="1">IF(Tabla142[[#This Row],[frecuencia_new]]="Diaria","",IF(Tabla142[[#This Row],[frecuencia_new]]="Semanal","",IF(Tabla142[[#This Row],[frecuencia_new]]="Quincenal",RANDBETWEEN(1,2),RANDBETWEEN(1,4))))</f>
        <v>3</v>
      </c>
      <c r="H899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899" t="s">
        <v>46</v>
      </c>
      <c r="K899">
        <f>SUM(MID(Tabla142[[#This Row],[Duración]],1,2)*60,MID(Tabla142[[#This Row],[Duración]],6,2))</f>
        <v>30</v>
      </c>
      <c r="L899" s="4" t="s">
        <v>48</v>
      </c>
      <c r="M899" t="s">
        <v>239</v>
      </c>
      <c r="N899" t="s">
        <v>300</v>
      </c>
      <c r="O899" t="s">
        <v>380</v>
      </c>
      <c r="P899" t="s">
        <v>360</v>
      </c>
      <c r="Q899" s="20">
        <v>46032.649155092593</v>
      </c>
      <c r="R899" t="s">
        <v>5</v>
      </c>
      <c r="T899" t="s">
        <v>560</v>
      </c>
    </row>
    <row r="900" spans="1:20" ht="15" customHeight="1" x14ac:dyDescent="0.25">
      <c r="A900">
        <f t="shared" si="14"/>
        <v>149</v>
      </c>
      <c r="B900" t="s">
        <v>1532</v>
      </c>
      <c r="C900" t="s">
        <v>47</v>
      </c>
      <c r="D900">
        <v>105</v>
      </c>
      <c r="E9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00">
        <f ca="1">IF(Tabla142[[#This Row],[frecuencia_new]]="Diaria"," ",RANDBETWEEN(1,6))</f>
        <v>3</v>
      </c>
      <c r="G900">
        <f ca="1">IF(Tabla142[[#This Row],[frecuencia_new]]="Diaria","",IF(Tabla142[[#This Row],[frecuencia_new]]="Semanal","",IF(Tabla142[[#This Row],[frecuencia_new]]="Quincenal",RANDBETWEEN(1,2),RANDBETWEEN(1,4))))</f>
        <v>4</v>
      </c>
      <c r="H900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900" t="s">
        <v>52</v>
      </c>
      <c r="K900">
        <f>SUM(MID(Tabla142[[#This Row],[Duración]],1,2)*60,MID(Tabla142[[#This Row],[Duración]],6,2))</f>
        <v>30</v>
      </c>
      <c r="L900" s="4" t="s">
        <v>48</v>
      </c>
      <c r="M900" t="s">
        <v>239</v>
      </c>
      <c r="N900" t="s">
        <v>300</v>
      </c>
      <c r="O900" t="s">
        <v>380</v>
      </c>
      <c r="P900" t="s">
        <v>360</v>
      </c>
      <c r="Q900" s="20">
        <v>46032.649155092593</v>
      </c>
      <c r="R900" t="s">
        <v>5</v>
      </c>
      <c r="T900" t="s">
        <v>560</v>
      </c>
    </row>
    <row r="901" spans="1:20" ht="15" customHeight="1" x14ac:dyDescent="0.25">
      <c r="A901">
        <f t="shared" si="14"/>
        <v>149</v>
      </c>
      <c r="B901" t="s">
        <v>1533</v>
      </c>
      <c r="C901" t="s">
        <v>54</v>
      </c>
      <c r="D901">
        <v>105</v>
      </c>
      <c r="E9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01">
        <f ca="1">IF(Tabla142[[#This Row],[frecuencia_new]]="Diaria"," ",RANDBETWEEN(1,6))</f>
        <v>2</v>
      </c>
      <c r="G901">
        <f ca="1">IF(Tabla142[[#This Row],[frecuencia_new]]="Diaria","",IF(Tabla142[[#This Row],[frecuencia_new]]="Semanal","",IF(Tabla142[[#This Row],[frecuencia_new]]="Quincenal",RANDBETWEEN(1,2),RANDBETWEEN(1,4))))</f>
        <v>2</v>
      </c>
      <c r="H901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901" t="s">
        <v>53</v>
      </c>
      <c r="K901">
        <f>SUM(MID(Tabla142[[#This Row],[Duración]],1,2)*60,MID(Tabla142[[#This Row],[Duración]],6,2))</f>
        <v>30</v>
      </c>
      <c r="L901" s="4" t="s">
        <v>48</v>
      </c>
      <c r="M901" t="s">
        <v>239</v>
      </c>
      <c r="N901" t="s">
        <v>300</v>
      </c>
      <c r="O901" t="s">
        <v>380</v>
      </c>
      <c r="P901" t="s">
        <v>360</v>
      </c>
      <c r="Q901" s="20">
        <v>46032.649155092593</v>
      </c>
      <c r="R901" t="s">
        <v>5</v>
      </c>
      <c r="T901" t="s">
        <v>560</v>
      </c>
    </row>
    <row r="902" spans="1:20" ht="15" customHeight="1" x14ac:dyDescent="0.25">
      <c r="A902">
        <f t="shared" si="14"/>
        <v>149</v>
      </c>
      <c r="B902" t="s">
        <v>1534</v>
      </c>
      <c r="C902" t="s">
        <v>47</v>
      </c>
      <c r="D902">
        <v>105</v>
      </c>
      <c r="E9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02">
        <f ca="1">IF(Tabla142[[#This Row],[frecuencia_new]]="Diaria"," ",RANDBETWEEN(1,6))</f>
        <v>2</v>
      </c>
      <c r="G902">
        <f ca="1">IF(Tabla142[[#This Row],[frecuencia_new]]="Diaria","",IF(Tabla142[[#This Row],[frecuencia_new]]="Semanal","",IF(Tabla142[[#This Row],[frecuencia_new]]="Quincenal",RANDBETWEEN(1,2),RANDBETWEEN(1,4))))</f>
        <v>1</v>
      </c>
      <c r="H902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902" t="s">
        <v>64</v>
      </c>
      <c r="K902">
        <f>SUM(MID(Tabla142[[#This Row],[Duración]],1,2)*60,MID(Tabla142[[#This Row],[Duración]],6,2))</f>
        <v>30</v>
      </c>
      <c r="L902" s="4" t="s">
        <v>48</v>
      </c>
      <c r="M902" t="s">
        <v>239</v>
      </c>
      <c r="N902" t="s">
        <v>300</v>
      </c>
      <c r="O902" t="s">
        <v>380</v>
      </c>
      <c r="P902" t="s">
        <v>360</v>
      </c>
      <c r="Q902" s="20">
        <v>46032.649155092593</v>
      </c>
      <c r="R902" t="s">
        <v>5</v>
      </c>
      <c r="T902" t="s">
        <v>560</v>
      </c>
    </row>
    <row r="903" spans="1:20" ht="15" customHeight="1" x14ac:dyDescent="0.25">
      <c r="A903">
        <f t="shared" si="14"/>
        <v>206</v>
      </c>
      <c r="B903" t="s">
        <v>1535</v>
      </c>
      <c r="C903" s="18" t="s">
        <v>47</v>
      </c>
      <c r="D903" s="18">
        <v>105</v>
      </c>
      <c r="E9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03" t="str">
        <f ca="1">IF(Tabla142[[#This Row],[frecuencia_new]]="Diaria"," ",RANDBETWEEN(1,6))</f>
        <v xml:space="preserve"> </v>
      </c>
      <c r="G903" t="str">
        <f ca="1">IF(Tabla142[[#This Row],[frecuencia_new]]="Diaria","",IF(Tabla142[[#This Row],[frecuencia_new]]="Semanal","",IF(Tabla142[[#This Row],[frecuencia_new]]="Quincenal",RANDBETWEEN(1,2),RANDBETWEEN(1,4))))</f>
        <v/>
      </c>
      <c r="H9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3" s="18" t="s">
        <v>136</v>
      </c>
      <c r="K903" s="18">
        <f>SUM(MID(Tabla142[[#This Row],[Duración]],1,2)*60,MID(Tabla142[[#This Row],[Duración]],6,2))</f>
        <v>2</v>
      </c>
      <c r="L903" s="19" t="s">
        <v>60</v>
      </c>
      <c r="M903" s="18" t="s">
        <v>239</v>
      </c>
      <c r="N903" t="s">
        <v>300</v>
      </c>
      <c r="O903" t="s">
        <v>398</v>
      </c>
      <c r="P903" t="s">
        <v>361</v>
      </c>
      <c r="Q903" s="20">
        <v>46032.649155092593</v>
      </c>
      <c r="R903" s="18" t="s">
        <v>6</v>
      </c>
      <c r="T903" t="s">
        <v>617</v>
      </c>
    </row>
    <row r="904" spans="1:20" ht="15" customHeight="1" x14ac:dyDescent="0.25">
      <c r="A904">
        <f t="shared" si="14"/>
        <v>206</v>
      </c>
      <c r="B904" t="s">
        <v>1536</v>
      </c>
      <c r="C904" s="18" t="s">
        <v>47</v>
      </c>
      <c r="D904" s="18">
        <v>105</v>
      </c>
      <c r="E9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04" t="str">
        <f ca="1">IF(Tabla142[[#This Row],[frecuencia_new]]="Diaria"," ",RANDBETWEEN(1,6))</f>
        <v xml:space="preserve"> </v>
      </c>
      <c r="G904" t="str">
        <f ca="1">IF(Tabla142[[#This Row],[frecuencia_new]]="Diaria","",IF(Tabla142[[#This Row],[frecuencia_new]]="Semanal","",IF(Tabla142[[#This Row],[frecuencia_new]]="Quincenal",RANDBETWEEN(1,2),RANDBETWEEN(1,4))))</f>
        <v/>
      </c>
      <c r="H9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4" s="18" t="s">
        <v>139</v>
      </c>
      <c r="K904" s="18">
        <f>SUM(MID(Tabla142[[#This Row],[Duración]],1,2)*60,MID(Tabla142[[#This Row],[Duración]],6,2))</f>
        <v>2</v>
      </c>
      <c r="L904" s="19" t="s">
        <v>60</v>
      </c>
      <c r="M904" s="18" t="s">
        <v>239</v>
      </c>
      <c r="N904" t="s">
        <v>300</v>
      </c>
      <c r="O904" t="s">
        <v>398</v>
      </c>
      <c r="P904" t="s">
        <v>361</v>
      </c>
      <c r="Q904" s="20">
        <v>46032.649155092593</v>
      </c>
      <c r="R904" s="18" t="s">
        <v>6</v>
      </c>
      <c r="T904" t="s">
        <v>617</v>
      </c>
    </row>
    <row r="905" spans="1:20" ht="15" customHeight="1" x14ac:dyDescent="0.25">
      <c r="A905">
        <f t="shared" si="14"/>
        <v>206</v>
      </c>
      <c r="B905" t="s">
        <v>1537</v>
      </c>
      <c r="C905" s="18" t="s">
        <v>47</v>
      </c>
      <c r="D905" s="18">
        <v>105</v>
      </c>
      <c r="E9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05" t="str">
        <f ca="1">IF(Tabla142[[#This Row],[frecuencia_new]]="Diaria"," ",RANDBETWEEN(1,6))</f>
        <v xml:space="preserve"> </v>
      </c>
      <c r="G905" t="str">
        <f ca="1">IF(Tabla142[[#This Row],[frecuencia_new]]="Diaria","",IF(Tabla142[[#This Row],[frecuencia_new]]="Semanal","",IF(Tabla142[[#This Row],[frecuencia_new]]="Quincenal",RANDBETWEEN(1,2),RANDBETWEEN(1,4))))</f>
        <v/>
      </c>
      <c r="H9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5" s="18" t="s">
        <v>372</v>
      </c>
      <c r="K905" s="18">
        <f>SUM(MID(Tabla142[[#This Row],[Duración]],1,2)*60,MID(Tabla142[[#This Row],[Duración]],6,2))</f>
        <v>2</v>
      </c>
      <c r="L905" s="19" t="s">
        <v>60</v>
      </c>
      <c r="M905" s="18" t="s">
        <v>239</v>
      </c>
      <c r="N905" t="s">
        <v>300</v>
      </c>
      <c r="O905" t="s">
        <v>398</v>
      </c>
      <c r="P905" t="s">
        <v>361</v>
      </c>
      <c r="Q905" s="20">
        <v>46032.649155092593</v>
      </c>
      <c r="R905" s="18" t="s">
        <v>6</v>
      </c>
      <c r="T905" t="s">
        <v>617</v>
      </c>
    </row>
    <row r="906" spans="1:20" ht="15" customHeight="1" x14ac:dyDescent="0.25">
      <c r="A906">
        <f t="shared" si="14"/>
        <v>94</v>
      </c>
      <c r="B906" t="s">
        <v>1538</v>
      </c>
      <c r="C906" t="s">
        <v>47</v>
      </c>
      <c r="D906">
        <v>134</v>
      </c>
      <c r="E9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906">
        <f ca="1">IF(Tabla142[[#This Row],[frecuencia_new]]="Diaria"," ",RANDBETWEEN(1,6))</f>
        <v>4</v>
      </c>
      <c r="G906">
        <f ca="1">IF(Tabla142[[#This Row],[frecuencia_new]]="Diaria","",IF(Tabla142[[#This Row],[frecuencia_new]]="Semanal","",IF(Tabla142[[#This Row],[frecuencia_new]]="Quincenal",RANDBETWEEN(1,2),RANDBETWEEN(1,4))))</f>
        <v>3</v>
      </c>
      <c r="H906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906" t="s">
        <v>187</v>
      </c>
      <c r="K906">
        <f>SUM(MID(Tabla142[[#This Row],[Duración]],1,2)*60,MID(Tabla142[[#This Row],[Duración]],6,2))</f>
        <v>30</v>
      </c>
      <c r="L906" s="4" t="s">
        <v>48</v>
      </c>
      <c r="M906" t="s">
        <v>239</v>
      </c>
      <c r="N906" t="s">
        <v>300</v>
      </c>
      <c r="O906" t="s">
        <v>382</v>
      </c>
      <c r="P906" t="s">
        <v>363</v>
      </c>
      <c r="Q906" s="20">
        <v>46032.649155092593</v>
      </c>
      <c r="R906" t="s">
        <v>18</v>
      </c>
      <c r="T906" t="s">
        <v>505</v>
      </c>
    </row>
    <row r="907" spans="1:20" ht="15" customHeight="1" x14ac:dyDescent="0.25">
      <c r="A907">
        <f t="shared" si="14"/>
        <v>94</v>
      </c>
      <c r="B907" t="s">
        <v>1539</v>
      </c>
      <c r="C907" t="s">
        <v>47</v>
      </c>
      <c r="D907">
        <v>134</v>
      </c>
      <c r="E9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07">
        <f ca="1">IF(Tabla142[[#This Row],[frecuencia_new]]="Diaria"," ",RANDBETWEEN(1,6))</f>
        <v>6</v>
      </c>
      <c r="G907" t="str">
        <f ca="1">IF(Tabla142[[#This Row],[frecuencia_new]]="Diaria","",IF(Tabla142[[#This Row],[frecuencia_new]]="Semanal","",IF(Tabla142[[#This Row],[frecuencia_new]]="Quincenal",RANDBETWEEN(1,2),RANDBETWEEN(1,4))))</f>
        <v/>
      </c>
      <c r="H9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7" t="s">
        <v>188</v>
      </c>
      <c r="K907">
        <f>SUM(MID(Tabla142[[#This Row],[Duración]],1,2)*60,MID(Tabla142[[#This Row],[Duración]],6,2))</f>
        <v>10</v>
      </c>
      <c r="L907" s="4" t="s">
        <v>71</v>
      </c>
      <c r="M907" t="s">
        <v>239</v>
      </c>
      <c r="N907" t="s">
        <v>300</v>
      </c>
      <c r="O907" t="s">
        <v>382</v>
      </c>
      <c r="P907" t="s">
        <v>363</v>
      </c>
      <c r="Q907" s="20">
        <v>46032.649155092593</v>
      </c>
      <c r="R907" t="s">
        <v>8</v>
      </c>
      <c r="T907" t="s">
        <v>505</v>
      </c>
    </row>
    <row r="908" spans="1:20" ht="15" customHeight="1" x14ac:dyDescent="0.25">
      <c r="A908">
        <f t="shared" si="14"/>
        <v>94</v>
      </c>
      <c r="B908" t="s">
        <v>1540</v>
      </c>
      <c r="C908" t="s">
        <v>47</v>
      </c>
      <c r="D908">
        <v>134</v>
      </c>
      <c r="E9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08">
        <f ca="1">IF(Tabla142[[#This Row],[frecuencia_new]]="Diaria"," ",RANDBETWEEN(1,6))</f>
        <v>6</v>
      </c>
      <c r="G908">
        <f ca="1">IF(Tabla142[[#This Row],[frecuencia_new]]="Diaria","",IF(Tabla142[[#This Row],[frecuencia_new]]="Semanal","",IF(Tabla142[[#This Row],[frecuencia_new]]="Quincenal",RANDBETWEEN(1,2),RANDBETWEEN(1,4))))</f>
        <v>2</v>
      </c>
      <c r="H9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8" t="s">
        <v>189</v>
      </c>
      <c r="K908">
        <f>SUM(MID(Tabla142[[#This Row],[Duración]],1,2)*60,MID(Tabla142[[#This Row],[Duración]],6,2))</f>
        <v>15</v>
      </c>
      <c r="L908" s="4" t="s">
        <v>77</v>
      </c>
      <c r="M908" t="s">
        <v>239</v>
      </c>
      <c r="N908" t="s">
        <v>300</v>
      </c>
      <c r="O908" t="s">
        <v>382</v>
      </c>
      <c r="P908" t="s">
        <v>363</v>
      </c>
      <c r="Q908" s="20">
        <v>46032.649155092593</v>
      </c>
      <c r="R908" t="s">
        <v>7</v>
      </c>
      <c r="T908" t="s">
        <v>505</v>
      </c>
    </row>
    <row r="909" spans="1:20" ht="15" customHeight="1" x14ac:dyDescent="0.25">
      <c r="A909">
        <f t="shared" si="14"/>
        <v>94</v>
      </c>
      <c r="B909" t="s">
        <v>1541</v>
      </c>
      <c r="C909" t="s">
        <v>47</v>
      </c>
      <c r="D909">
        <v>134</v>
      </c>
      <c r="E9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09">
        <f ca="1">IF(Tabla142[[#This Row],[frecuencia_new]]="Diaria"," ",RANDBETWEEN(1,6))</f>
        <v>6</v>
      </c>
      <c r="G909">
        <f ca="1">IF(Tabla142[[#This Row],[frecuencia_new]]="Diaria","",IF(Tabla142[[#This Row],[frecuencia_new]]="Semanal","",IF(Tabla142[[#This Row],[frecuencia_new]]="Quincenal",RANDBETWEEN(1,2),RANDBETWEEN(1,4))))</f>
        <v>1</v>
      </c>
      <c r="H90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09" t="s">
        <v>190</v>
      </c>
      <c r="K909">
        <f>SUM(MID(Tabla142[[#This Row],[Duración]],1,2)*60,MID(Tabla142[[#This Row],[Duración]],6,2))</f>
        <v>10</v>
      </c>
      <c r="L909" s="4" t="s">
        <v>71</v>
      </c>
      <c r="M909" t="s">
        <v>239</v>
      </c>
      <c r="N909" t="s">
        <v>300</v>
      </c>
      <c r="O909" t="s">
        <v>382</v>
      </c>
      <c r="P909" t="s">
        <v>363</v>
      </c>
      <c r="Q909" s="20">
        <v>46032.649155092593</v>
      </c>
      <c r="R909" t="s">
        <v>7</v>
      </c>
      <c r="T909" t="s">
        <v>505</v>
      </c>
    </row>
    <row r="910" spans="1:20" ht="15" customHeight="1" x14ac:dyDescent="0.25">
      <c r="A910">
        <f t="shared" si="14"/>
        <v>94</v>
      </c>
      <c r="B910" t="s">
        <v>1542</v>
      </c>
      <c r="C910" t="s">
        <v>47</v>
      </c>
      <c r="D910">
        <v>134</v>
      </c>
      <c r="E9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10">
        <f ca="1">IF(Tabla142[[#This Row],[frecuencia_new]]="Diaria"," ",RANDBETWEEN(1,6))</f>
        <v>5</v>
      </c>
      <c r="G910">
        <f ca="1">IF(Tabla142[[#This Row],[frecuencia_new]]="Diaria","",IF(Tabla142[[#This Row],[frecuencia_new]]="Semanal","",IF(Tabla142[[#This Row],[frecuencia_new]]="Quincenal",RANDBETWEEN(1,2),RANDBETWEEN(1,4))))</f>
        <v>1</v>
      </c>
      <c r="H91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10" t="s">
        <v>191</v>
      </c>
      <c r="K910">
        <f>SUM(MID(Tabla142[[#This Row],[Duración]],1,2)*60,MID(Tabla142[[#This Row],[Duración]],6,2))</f>
        <v>15</v>
      </c>
      <c r="L910" s="4" t="s">
        <v>77</v>
      </c>
      <c r="M910" t="s">
        <v>239</v>
      </c>
      <c r="N910" t="s">
        <v>300</v>
      </c>
      <c r="O910" t="s">
        <v>382</v>
      </c>
      <c r="P910" t="s">
        <v>363</v>
      </c>
      <c r="Q910" s="20">
        <v>46032.649155092593</v>
      </c>
      <c r="R910" t="s">
        <v>7</v>
      </c>
      <c r="T910" t="s">
        <v>505</v>
      </c>
    </row>
    <row r="911" spans="1:20" x14ac:dyDescent="0.25">
      <c r="A911">
        <f t="shared" si="14"/>
        <v>94</v>
      </c>
      <c r="B911" t="s">
        <v>1543</v>
      </c>
      <c r="C911" t="s">
        <v>47</v>
      </c>
      <c r="D911">
        <v>134</v>
      </c>
      <c r="E9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911">
        <f ca="1">IF(Tabla142[[#This Row],[frecuencia_new]]="Diaria"," ",RANDBETWEEN(1,6))</f>
        <v>1</v>
      </c>
      <c r="G911">
        <f ca="1">IF(Tabla142[[#This Row],[frecuencia_new]]="Diaria","",IF(Tabla142[[#This Row],[frecuencia_new]]="Semanal","",IF(Tabla142[[#This Row],[frecuencia_new]]="Quincenal",RANDBETWEEN(1,2),RANDBETWEEN(1,4))))</f>
        <v>4</v>
      </c>
      <c r="H91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911" t="s">
        <v>192</v>
      </c>
      <c r="K911">
        <f>SUM(MID(Tabla142[[#This Row],[Duración]],1,2)*60,MID(Tabla142[[#This Row],[Duración]],6,2))</f>
        <v>20</v>
      </c>
      <c r="L911" s="4" t="s">
        <v>82</v>
      </c>
      <c r="M911" t="s">
        <v>239</v>
      </c>
      <c r="N911" t="s">
        <v>300</v>
      </c>
      <c r="O911" t="s">
        <v>382</v>
      </c>
      <c r="P911" t="s">
        <v>363</v>
      </c>
      <c r="Q911" s="20">
        <v>46032.649155092593</v>
      </c>
      <c r="R911" t="s">
        <v>20</v>
      </c>
      <c r="T911" t="s">
        <v>505</v>
      </c>
    </row>
    <row r="912" spans="1:20" ht="15" customHeight="1" x14ac:dyDescent="0.25">
      <c r="A912">
        <f t="shared" si="14"/>
        <v>159</v>
      </c>
      <c r="B912" t="s">
        <v>1544</v>
      </c>
      <c r="C912" t="s">
        <v>47</v>
      </c>
      <c r="D912">
        <v>134</v>
      </c>
      <c r="E9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12">
        <f ca="1">IF(Tabla142[[#This Row],[frecuencia_new]]="Diaria"," ",RANDBETWEEN(1,6))</f>
        <v>2</v>
      </c>
      <c r="G912">
        <f ca="1">IF(Tabla142[[#This Row],[frecuencia_new]]="Diaria","",IF(Tabla142[[#This Row],[frecuencia_new]]="Semanal","",IF(Tabla142[[#This Row],[frecuencia_new]]="Quincenal",RANDBETWEEN(1,2),RANDBETWEEN(1,4))))</f>
        <v>1</v>
      </c>
      <c r="H912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12" t="s">
        <v>46</v>
      </c>
      <c r="K912">
        <f>SUM(MID(Tabla142[[#This Row],[Duración]],1,2)*60,MID(Tabla142[[#This Row],[Duración]],6,2))</f>
        <v>30</v>
      </c>
      <c r="L912" s="4" t="s">
        <v>48</v>
      </c>
      <c r="M912" t="s">
        <v>239</v>
      </c>
      <c r="N912" t="s">
        <v>300</v>
      </c>
      <c r="O912" t="s">
        <v>380</v>
      </c>
      <c r="P912" t="s">
        <v>360</v>
      </c>
      <c r="Q912" s="20">
        <v>46032.649155092593</v>
      </c>
      <c r="R912" t="s">
        <v>5</v>
      </c>
      <c r="T912" t="s">
        <v>570</v>
      </c>
    </row>
    <row r="913" spans="1:20" ht="15" customHeight="1" x14ac:dyDescent="0.25">
      <c r="A913">
        <f t="shared" si="14"/>
        <v>159</v>
      </c>
      <c r="B913" t="s">
        <v>1545</v>
      </c>
      <c r="C913" t="s">
        <v>47</v>
      </c>
      <c r="D913">
        <v>134</v>
      </c>
      <c r="E9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13">
        <f ca="1">IF(Tabla142[[#This Row],[frecuencia_new]]="Diaria"," ",RANDBETWEEN(1,6))</f>
        <v>5</v>
      </c>
      <c r="G913">
        <f ca="1">IF(Tabla142[[#This Row],[frecuencia_new]]="Diaria","",IF(Tabla142[[#This Row],[frecuencia_new]]="Semanal","",IF(Tabla142[[#This Row],[frecuencia_new]]="Quincenal",RANDBETWEEN(1,2),RANDBETWEEN(1,4))))</f>
        <v>4</v>
      </c>
      <c r="H913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913" t="s">
        <v>52</v>
      </c>
      <c r="K913">
        <f>SUM(MID(Tabla142[[#This Row],[Duración]],1,2)*60,MID(Tabla142[[#This Row],[Duración]],6,2))</f>
        <v>30</v>
      </c>
      <c r="L913" s="4" t="s">
        <v>48</v>
      </c>
      <c r="M913" t="s">
        <v>239</v>
      </c>
      <c r="N913" t="s">
        <v>300</v>
      </c>
      <c r="O913" t="s">
        <v>380</v>
      </c>
      <c r="P913" t="s">
        <v>360</v>
      </c>
      <c r="Q913" s="20">
        <v>46032.649155092593</v>
      </c>
      <c r="R913" t="s">
        <v>5</v>
      </c>
      <c r="T913" t="s">
        <v>570</v>
      </c>
    </row>
    <row r="914" spans="1:20" ht="15" customHeight="1" x14ac:dyDescent="0.25">
      <c r="A914">
        <f t="shared" si="14"/>
        <v>159</v>
      </c>
      <c r="B914" t="s">
        <v>1546</v>
      </c>
      <c r="C914" t="s">
        <v>54</v>
      </c>
      <c r="D914">
        <v>134</v>
      </c>
      <c r="E9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14">
        <f ca="1">IF(Tabla142[[#This Row],[frecuencia_new]]="Diaria"," ",RANDBETWEEN(1,6))</f>
        <v>6</v>
      </c>
      <c r="G914">
        <f ca="1">IF(Tabla142[[#This Row],[frecuencia_new]]="Diaria","",IF(Tabla142[[#This Row],[frecuencia_new]]="Semanal","",IF(Tabla142[[#This Row],[frecuencia_new]]="Quincenal",RANDBETWEEN(1,2),RANDBETWEEN(1,4))))</f>
        <v>4</v>
      </c>
      <c r="H914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914" t="s">
        <v>53</v>
      </c>
      <c r="K914">
        <f>SUM(MID(Tabla142[[#This Row],[Duración]],1,2)*60,MID(Tabla142[[#This Row],[Duración]],6,2))</f>
        <v>30</v>
      </c>
      <c r="L914" s="4" t="s">
        <v>48</v>
      </c>
      <c r="M914" t="s">
        <v>239</v>
      </c>
      <c r="N914" t="s">
        <v>300</v>
      </c>
      <c r="O914" t="s">
        <v>380</v>
      </c>
      <c r="P914" t="s">
        <v>360</v>
      </c>
      <c r="Q914" s="20">
        <v>46032.649155092593</v>
      </c>
      <c r="R914" t="s">
        <v>5</v>
      </c>
      <c r="T914" t="s">
        <v>570</v>
      </c>
    </row>
    <row r="915" spans="1:20" ht="15" customHeight="1" x14ac:dyDescent="0.25">
      <c r="A915">
        <f t="shared" si="14"/>
        <v>159</v>
      </c>
      <c r="B915" t="s">
        <v>1547</v>
      </c>
      <c r="C915" t="s">
        <v>47</v>
      </c>
      <c r="D915">
        <v>134</v>
      </c>
      <c r="E9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15">
        <f ca="1">IF(Tabla142[[#This Row],[frecuencia_new]]="Diaria"," ",RANDBETWEEN(1,6))</f>
        <v>1</v>
      </c>
      <c r="G915">
        <f ca="1">IF(Tabla142[[#This Row],[frecuencia_new]]="Diaria","",IF(Tabla142[[#This Row],[frecuencia_new]]="Semanal","",IF(Tabla142[[#This Row],[frecuencia_new]]="Quincenal",RANDBETWEEN(1,2),RANDBETWEEN(1,4))))</f>
        <v>4</v>
      </c>
      <c r="H91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915" t="s">
        <v>64</v>
      </c>
      <c r="K915">
        <f>SUM(MID(Tabla142[[#This Row],[Duración]],1,2)*60,MID(Tabla142[[#This Row],[Duración]],6,2))</f>
        <v>30</v>
      </c>
      <c r="L915" s="4" t="s">
        <v>48</v>
      </c>
      <c r="M915" t="s">
        <v>239</v>
      </c>
      <c r="N915" t="s">
        <v>300</v>
      </c>
      <c r="O915" t="s">
        <v>380</v>
      </c>
      <c r="P915" t="s">
        <v>360</v>
      </c>
      <c r="Q915" s="20">
        <v>46032.649155092593</v>
      </c>
      <c r="R915" t="s">
        <v>5</v>
      </c>
      <c r="T915" t="s">
        <v>570</v>
      </c>
    </row>
    <row r="916" spans="1:20" ht="15" customHeight="1" x14ac:dyDescent="0.25">
      <c r="A916">
        <f t="shared" si="14"/>
        <v>114</v>
      </c>
      <c r="B916" t="s">
        <v>1548</v>
      </c>
      <c r="C916" s="18" t="s">
        <v>47</v>
      </c>
      <c r="D916">
        <v>181</v>
      </c>
      <c r="E9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16">
        <f ca="1">IF(Tabla142[[#This Row],[frecuencia_new]]="Diaria"," ",RANDBETWEEN(1,6))</f>
        <v>6</v>
      </c>
      <c r="G916">
        <f ca="1">IF(Tabla142[[#This Row],[frecuencia_new]]="Diaria","",IF(Tabla142[[#This Row],[frecuencia_new]]="Semanal","",IF(Tabla142[[#This Row],[frecuencia_new]]="Quincenal",RANDBETWEEN(1,2),RANDBETWEEN(1,4))))</f>
        <v>4</v>
      </c>
      <c r="H9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16" t="s">
        <v>73</v>
      </c>
      <c r="K916">
        <f>SUM(MID(Tabla142[[#This Row],[Duración]],1,2)*60,MID(Tabla142[[#This Row],[Duración]],6,2))</f>
        <v>30</v>
      </c>
      <c r="L916" s="4" t="s">
        <v>48</v>
      </c>
      <c r="M916" s="18" t="s">
        <v>239</v>
      </c>
      <c r="N916" t="s">
        <v>300</v>
      </c>
      <c r="O916" t="s">
        <v>392</v>
      </c>
      <c r="P916" t="s">
        <v>363</v>
      </c>
      <c r="Q916" s="20">
        <v>46032.649155092593</v>
      </c>
      <c r="R916" t="s">
        <v>7</v>
      </c>
      <c r="T916" t="s">
        <v>525</v>
      </c>
    </row>
    <row r="917" spans="1:20" ht="15" customHeight="1" x14ac:dyDescent="0.25">
      <c r="A917">
        <f t="shared" si="14"/>
        <v>114</v>
      </c>
      <c r="B917" t="s">
        <v>1549</v>
      </c>
      <c r="C917" s="18" t="s">
        <v>47</v>
      </c>
      <c r="D917">
        <v>181</v>
      </c>
      <c r="E9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17">
        <f ca="1">IF(Tabla142[[#This Row],[frecuencia_new]]="Diaria"," ",RANDBETWEEN(1,6))</f>
        <v>5</v>
      </c>
      <c r="G917">
        <f ca="1">IF(Tabla142[[#This Row],[frecuencia_new]]="Diaria","",IF(Tabla142[[#This Row],[frecuencia_new]]="Semanal","",IF(Tabla142[[#This Row],[frecuencia_new]]="Quincenal",RANDBETWEEN(1,2),RANDBETWEEN(1,4))))</f>
        <v>2</v>
      </c>
      <c r="H9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17" t="s">
        <v>74</v>
      </c>
      <c r="K917">
        <f>SUM(MID(Tabla142[[#This Row],[Duración]],1,2)*60,MID(Tabla142[[#This Row],[Duración]],6,2))</f>
        <v>30</v>
      </c>
      <c r="L917" s="4" t="s">
        <v>48</v>
      </c>
      <c r="M917" s="18" t="s">
        <v>239</v>
      </c>
      <c r="N917" t="s">
        <v>300</v>
      </c>
      <c r="O917" t="s">
        <v>392</v>
      </c>
      <c r="P917" t="s">
        <v>363</v>
      </c>
      <c r="Q917" s="20">
        <v>46032.649155092593</v>
      </c>
      <c r="R917" t="s">
        <v>7</v>
      </c>
      <c r="T917" t="s">
        <v>525</v>
      </c>
    </row>
    <row r="918" spans="1:20" ht="15" customHeight="1" x14ac:dyDescent="0.25">
      <c r="A918">
        <f t="shared" si="14"/>
        <v>114</v>
      </c>
      <c r="B918" t="s">
        <v>1550</v>
      </c>
      <c r="C918" s="18" t="s">
        <v>47</v>
      </c>
      <c r="D918">
        <v>181</v>
      </c>
      <c r="E9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18">
        <f ca="1">IF(Tabla142[[#This Row],[frecuencia_new]]="Diaria"," ",RANDBETWEEN(1,6))</f>
        <v>4</v>
      </c>
      <c r="G918">
        <f ca="1">IF(Tabla142[[#This Row],[frecuencia_new]]="Diaria","",IF(Tabla142[[#This Row],[frecuencia_new]]="Semanal","",IF(Tabla142[[#This Row],[frecuencia_new]]="Quincenal",RANDBETWEEN(1,2),RANDBETWEEN(1,4))))</f>
        <v>4</v>
      </c>
      <c r="H9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18" t="s">
        <v>75</v>
      </c>
      <c r="K918">
        <f>SUM(MID(Tabla142[[#This Row],[Duración]],1,2)*60,MID(Tabla142[[#This Row],[Duración]],6,2))</f>
        <v>30</v>
      </c>
      <c r="L918" s="4" t="s">
        <v>48</v>
      </c>
      <c r="M918" s="18" t="s">
        <v>239</v>
      </c>
      <c r="N918" t="s">
        <v>300</v>
      </c>
      <c r="O918" t="s">
        <v>392</v>
      </c>
      <c r="P918" t="s">
        <v>363</v>
      </c>
      <c r="Q918" s="20">
        <v>46032.649155092593</v>
      </c>
      <c r="R918" t="s">
        <v>7</v>
      </c>
      <c r="T918" t="s">
        <v>525</v>
      </c>
    </row>
    <row r="919" spans="1:20" ht="15" customHeight="1" x14ac:dyDescent="0.25">
      <c r="A919">
        <f t="shared" si="14"/>
        <v>114</v>
      </c>
      <c r="B919" t="s">
        <v>1551</v>
      </c>
      <c r="C919" s="18" t="s">
        <v>47</v>
      </c>
      <c r="D919">
        <v>181</v>
      </c>
      <c r="E9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19">
        <f ca="1">IF(Tabla142[[#This Row],[frecuencia_new]]="Diaria"," ",RANDBETWEEN(1,6))</f>
        <v>4</v>
      </c>
      <c r="G919">
        <f ca="1">IF(Tabla142[[#This Row],[frecuencia_new]]="Diaria","",IF(Tabla142[[#This Row],[frecuencia_new]]="Semanal","",IF(Tabla142[[#This Row],[frecuencia_new]]="Quincenal",RANDBETWEEN(1,2),RANDBETWEEN(1,4))))</f>
        <v>1</v>
      </c>
      <c r="H9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19" t="s">
        <v>76</v>
      </c>
      <c r="K919">
        <f>SUM(MID(Tabla142[[#This Row],[Duración]],1,2)*60,MID(Tabla142[[#This Row],[Duración]],6,2))</f>
        <v>15</v>
      </c>
      <c r="L919" s="4" t="s">
        <v>77</v>
      </c>
      <c r="M919" s="18" t="s">
        <v>239</v>
      </c>
      <c r="N919" t="s">
        <v>300</v>
      </c>
      <c r="O919" t="s">
        <v>392</v>
      </c>
      <c r="P919" t="s">
        <v>363</v>
      </c>
      <c r="Q919" s="20">
        <v>46032.649155092593</v>
      </c>
      <c r="R919" t="s">
        <v>7</v>
      </c>
      <c r="T919" t="s">
        <v>525</v>
      </c>
    </row>
    <row r="920" spans="1:20" ht="15" customHeight="1" x14ac:dyDescent="0.25">
      <c r="A920">
        <f t="shared" si="14"/>
        <v>162</v>
      </c>
      <c r="B920" t="s">
        <v>1552</v>
      </c>
      <c r="C920" s="18" t="s">
        <v>47</v>
      </c>
      <c r="D920">
        <v>181</v>
      </c>
      <c r="E9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20">
        <f ca="1">IF(Tabla142[[#This Row],[frecuencia_new]]="Diaria"," ",RANDBETWEEN(1,6))</f>
        <v>4</v>
      </c>
      <c r="G920">
        <f ca="1">IF(Tabla142[[#This Row],[frecuencia_new]]="Diaria","",IF(Tabla142[[#This Row],[frecuencia_new]]="Semanal","",IF(Tabla142[[#This Row],[frecuencia_new]]="Quincenal",RANDBETWEEN(1,2),RANDBETWEEN(1,4))))</f>
        <v>4</v>
      </c>
      <c r="H920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920" t="s">
        <v>46</v>
      </c>
      <c r="K920">
        <f>SUM(MID(Tabla142[[#This Row],[Duración]],1,2)*60,MID(Tabla142[[#This Row],[Duración]],6,2))</f>
        <v>30</v>
      </c>
      <c r="L920" s="4" t="s">
        <v>48</v>
      </c>
      <c r="M920" s="18" t="s">
        <v>239</v>
      </c>
      <c r="N920" t="s">
        <v>300</v>
      </c>
      <c r="O920" t="s">
        <v>380</v>
      </c>
      <c r="P920" t="s">
        <v>360</v>
      </c>
      <c r="Q920" s="20">
        <v>46032.649155092593</v>
      </c>
      <c r="R920" t="s">
        <v>5</v>
      </c>
      <c r="T920" t="s">
        <v>573</v>
      </c>
    </row>
    <row r="921" spans="1:20" ht="15" customHeight="1" x14ac:dyDescent="0.25">
      <c r="A921">
        <f t="shared" si="14"/>
        <v>162</v>
      </c>
      <c r="B921" t="s">
        <v>1553</v>
      </c>
      <c r="C921" s="18" t="s">
        <v>47</v>
      </c>
      <c r="D921">
        <v>181</v>
      </c>
      <c r="E9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21">
        <f ca="1">IF(Tabla142[[#This Row],[frecuencia_new]]="Diaria"," ",RANDBETWEEN(1,6))</f>
        <v>3</v>
      </c>
      <c r="G921">
        <f ca="1">IF(Tabla142[[#This Row],[frecuencia_new]]="Diaria","",IF(Tabla142[[#This Row],[frecuencia_new]]="Semanal","",IF(Tabla142[[#This Row],[frecuencia_new]]="Quincenal",RANDBETWEEN(1,2),RANDBETWEEN(1,4))))</f>
        <v>1</v>
      </c>
      <c r="H921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921" t="s">
        <v>52</v>
      </c>
      <c r="K921">
        <f>SUM(MID(Tabla142[[#This Row],[Duración]],1,2)*60,MID(Tabla142[[#This Row],[Duración]],6,2))</f>
        <v>30</v>
      </c>
      <c r="L921" s="4" t="s">
        <v>48</v>
      </c>
      <c r="M921" s="18" t="s">
        <v>239</v>
      </c>
      <c r="N921" t="s">
        <v>300</v>
      </c>
      <c r="O921" t="s">
        <v>380</v>
      </c>
      <c r="P921" t="s">
        <v>360</v>
      </c>
      <c r="Q921" s="20">
        <v>46032.649155092593</v>
      </c>
      <c r="R921" t="s">
        <v>5</v>
      </c>
      <c r="T921" t="s">
        <v>573</v>
      </c>
    </row>
    <row r="922" spans="1:20" ht="15" customHeight="1" x14ac:dyDescent="0.25">
      <c r="A922">
        <f t="shared" si="14"/>
        <v>162</v>
      </c>
      <c r="B922" t="s">
        <v>1554</v>
      </c>
      <c r="C922" s="18" t="s">
        <v>54</v>
      </c>
      <c r="D922">
        <v>181</v>
      </c>
      <c r="E9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22">
        <f ca="1">IF(Tabla142[[#This Row],[frecuencia_new]]="Diaria"," ",RANDBETWEEN(1,6))</f>
        <v>2</v>
      </c>
      <c r="G922">
        <f ca="1">IF(Tabla142[[#This Row],[frecuencia_new]]="Diaria","",IF(Tabla142[[#This Row],[frecuencia_new]]="Semanal","",IF(Tabla142[[#This Row],[frecuencia_new]]="Quincenal",RANDBETWEEN(1,2),RANDBETWEEN(1,4))))</f>
        <v>4</v>
      </c>
      <c r="H92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922" t="s">
        <v>53</v>
      </c>
      <c r="K922">
        <f>SUM(MID(Tabla142[[#This Row],[Duración]],1,2)*60,MID(Tabla142[[#This Row],[Duración]],6,2))</f>
        <v>30</v>
      </c>
      <c r="L922" s="4" t="s">
        <v>48</v>
      </c>
      <c r="M922" s="18" t="s">
        <v>239</v>
      </c>
      <c r="N922" t="s">
        <v>300</v>
      </c>
      <c r="O922" t="s">
        <v>380</v>
      </c>
      <c r="P922" t="s">
        <v>360</v>
      </c>
      <c r="Q922" s="20">
        <v>46032.649155092593</v>
      </c>
      <c r="R922" t="s">
        <v>5</v>
      </c>
      <c r="T922" t="s">
        <v>573</v>
      </c>
    </row>
    <row r="923" spans="1:20" ht="15" customHeight="1" x14ac:dyDescent="0.25">
      <c r="A923">
        <f t="shared" si="14"/>
        <v>162</v>
      </c>
      <c r="B923" t="s">
        <v>1555</v>
      </c>
      <c r="C923" s="18" t="s">
        <v>47</v>
      </c>
      <c r="D923">
        <v>181</v>
      </c>
      <c r="E9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23">
        <f ca="1">IF(Tabla142[[#This Row],[frecuencia_new]]="Diaria"," ",RANDBETWEEN(1,6))</f>
        <v>6</v>
      </c>
      <c r="G923">
        <f ca="1">IF(Tabla142[[#This Row],[frecuencia_new]]="Diaria","",IF(Tabla142[[#This Row],[frecuencia_new]]="Semanal","",IF(Tabla142[[#This Row],[frecuencia_new]]="Quincenal",RANDBETWEEN(1,2),RANDBETWEEN(1,4))))</f>
        <v>3</v>
      </c>
      <c r="H923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23" t="s">
        <v>64</v>
      </c>
      <c r="K923">
        <f>SUM(MID(Tabla142[[#This Row],[Duración]],1,2)*60,MID(Tabla142[[#This Row],[Duración]],6,2))</f>
        <v>30</v>
      </c>
      <c r="L923" s="4" t="s">
        <v>48</v>
      </c>
      <c r="M923" s="18" t="s">
        <v>239</v>
      </c>
      <c r="N923" t="s">
        <v>300</v>
      </c>
      <c r="O923" t="s">
        <v>380</v>
      </c>
      <c r="P923" t="s">
        <v>360</v>
      </c>
      <c r="Q923" s="20">
        <v>46032.649155092593</v>
      </c>
      <c r="R923" t="s">
        <v>5</v>
      </c>
      <c r="T923" t="s">
        <v>573</v>
      </c>
    </row>
    <row r="924" spans="1:20" ht="15" customHeight="1" x14ac:dyDescent="0.25">
      <c r="A924">
        <f t="shared" si="14"/>
        <v>1</v>
      </c>
      <c r="B924" t="s">
        <v>1556</v>
      </c>
      <c r="C924" t="s">
        <v>47</v>
      </c>
      <c r="D924">
        <v>1</v>
      </c>
      <c r="E9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24" t="str">
        <f ca="1">IF(Tabla142[[#This Row],[frecuencia_new]]="Diaria"," ",RANDBETWEEN(1,6))</f>
        <v xml:space="preserve"> </v>
      </c>
      <c r="G924" t="str">
        <f ca="1">IF(Tabla142[[#This Row],[frecuencia_new]]="Diaria","",IF(Tabla142[[#This Row],[frecuencia_new]]="Semanal","",IF(Tabla142[[#This Row],[frecuencia_new]]="Quincenal",RANDBETWEEN(1,2),RANDBETWEEN(1,4))))</f>
        <v/>
      </c>
      <c r="H9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24" t="s">
        <v>49</v>
      </c>
      <c r="K924">
        <f>SUM(MID(Tabla142[[#This Row],[Duración]],1,2)*60,MID(Tabla142[[#This Row],[Duración]],6,2))</f>
        <v>5</v>
      </c>
      <c r="L924" s="4" t="s">
        <v>50</v>
      </c>
      <c r="M924" t="s">
        <v>239</v>
      </c>
      <c r="N924" t="s">
        <v>240</v>
      </c>
      <c r="O924" t="s">
        <v>381</v>
      </c>
      <c r="P924" t="s">
        <v>361</v>
      </c>
      <c r="Q924" s="20">
        <v>46032.649155092593</v>
      </c>
      <c r="R924" t="s">
        <v>6</v>
      </c>
      <c r="T924" t="s">
        <v>412</v>
      </c>
    </row>
    <row r="925" spans="1:20" ht="15" customHeight="1" x14ac:dyDescent="0.25">
      <c r="A925">
        <f t="shared" si="14"/>
        <v>74</v>
      </c>
      <c r="B925" t="s">
        <v>1557</v>
      </c>
      <c r="C925" t="s">
        <v>47</v>
      </c>
      <c r="D925">
        <v>1</v>
      </c>
      <c r="E9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25">
        <f ca="1">IF(Tabla142[[#This Row],[frecuencia_new]]="Diaria"," ",RANDBETWEEN(1,6))</f>
        <v>6</v>
      </c>
      <c r="G925">
        <f ca="1">IF(Tabla142[[#This Row],[frecuencia_new]]="Diaria","",IF(Tabla142[[#This Row],[frecuencia_new]]="Semanal","",IF(Tabla142[[#This Row],[frecuencia_new]]="Quincenal",RANDBETWEEN(1,2),RANDBETWEEN(1,4))))</f>
        <v>2</v>
      </c>
      <c r="H9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25" t="s">
        <v>51</v>
      </c>
      <c r="K925">
        <f>SUM(MID(Tabla142[[#This Row],[Duración]],1,2)*60,MID(Tabla142[[#This Row],[Duración]],6,2))</f>
        <v>5</v>
      </c>
      <c r="L925" s="4" t="s">
        <v>50</v>
      </c>
      <c r="M925" t="s">
        <v>239</v>
      </c>
      <c r="N925" t="s">
        <v>240</v>
      </c>
      <c r="O925" t="s">
        <v>382</v>
      </c>
      <c r="P925" t="s">
        <v>363</v>
      </c>
      <c r="Q925" s="20">
        <v>46032.649155092593</v>
      </c>
      <c r="R925" t="s">
        <v>7</v>
      </c>
      <c r="T925" t="s">
        <v>485</v>
      </c>
    </row>
    <row r="926" spans="1:20" ht="15" customHeight="1" x14ac:dyDescent="0.25">
      <c r="A926">
        <f t="shared" si="14"/>
        <v>74</v>
      </c>
      <c r="B926" t="s">
        <v>1558</v>
      </c>
      <c r="C926" t="s">
        <v>47</v>
      </c>
      <c r="D926">
        <v>1</v>
      </c>
      <c r="E9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26">
        <f ca="1">IF(Tabla142[[#This Row],[frecuencia_new]]="Diaria"," ",RANDBETWEEN(1,6))</f>
        <v>2</v>
      </c>
      <c r="G926" t="str">
        <f ca="1">IF(Tabla142[[#This Row],[frecuencia_new]]="Diaria","",IF(Tabla142[[#This Row],[frecuencia_new]]="Semanal","",IF(Tabla142[[#This Row],[frecuencia_new]]="Quincenal",RANDBETWEEN(1,2),RANDBETWEEN(1,4))))</f>
        <v/>
      </c>
      <c r="H9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26" t="s">
        <v>55</v>
      </c>
      <c r="K926">
        <f>SUM(MID(Tabla142[[#This Row],[Duración]],1,2)*60,MID(Tabla142[[#This Row],[Duración]],6,2))</f>
        <v>5</v>
      </c>
      <c r="L926" s="4" t="s">
        <v>50</v>
      </c>
      <c r="M926" t="s">
        <v>239</v>
      </c>
      <c r="N926" t="s">
        <v>240</v>
      </c>
      <c r="O926" t="s">
        <v>382</v>
      </c>
      <c r="P926" t="s">
        <v>363</v>
      </c>
      <c r="Q926" s="20">
        <v>46032.649155092593</v>
      </c>
      <c r="R926" t="s">
        <v>8</v>
      </c>
      <c r="T926" t="s">
        <v>485</v>
      </c>
    </row>
    <row r="927" spans="1:20" ht="15" customHeight="1" x14ac:dyDescent="0.25">
      <c r="A927">
        <f t="shared" si="14"/>
        <v>74</v>
      </c>
      <c r="B927" t="s">
        <v>1559</v>
      </c>
      <c r="C927" t="s">
        <v>54</v>
      </c>
      <c r="D927">
        <v>1</v>
      </c>
      <c r="E9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27">
        <f ca="1">IF(Tabla142[[#This Row],[frecuencia_new]]="Diaria"," ",RANDBETWEEN(1,6))</f>
        <v>1</v>
      </c>
      <c r="G927" t="str">
        <f ca="1">IF(Tabla142[[#This Row],[frecuencia_new]]="Diaria","",IF(Tabla142[[#This Row],[frecuencia_new]]="Semanal","",IF(Tabla142[[#This Row],[frecuencia_new]]="Quincenal",RANDBETWEEN(1,2),RANDBETWEEN(1,4))))</f>
        <v/>
      </c>
      <c r="H9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27" t="s">
        <v>57</v>
      </c>
      <c r="K927">
        <f>SUM(MID(Tabla142[[#This Row],[Duración]],1,2)*60,MID(Tabla142[[#This Row],[Duración]],6,2))</f>
        <v>5</v>
      </c>
      <c r="L927" s="4" t="s">
        <v>50</v>
      </c>
      <c r="M927" t="s">
        <v>239</v>
      </c>
      <c r="N927" t="s">
        <v>240</v>
      </c>
      <c r="O927" t="s">
        <v>382</v>
      </c>
      <c r="P927" t="s">
        <v>363</v>
      </c>
      <c r="Q927" s="20">
        <v>46032.649155092593</v>
      </c>
      <c r="R927" t="s">
        <v>8</v>
      </c>
      <c r="T927" t="s">
        <v>485</v>
      </c>
    </row>
    <row r="928" spans="1:20" ht="15" customHeight="1" x14ac:dyDescent="0.25">
      <c r="A928">
        <f t="shared" si="14"/>
        <v>121</v>
      </c>
      <c r="B928" t="s">
        <v>1560</v>
      </c>
      <c r="C928" t="s">
        <v>47</v>
      </c>
      <c r="D928">
        <v>1</v>
      </c>
      <c r="E9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28">
        <f ca="1">IF(Tabla142[[#This Row],[frecuencia_new]]="Diaria"," ",RANDBETWEEN(1,6))</f>
        <v>6</v>
      </c>
      <c r="G928">
        <f ca="1">IF(Tabla142[[#This Row],[frecuencia_new]]="Diaria","",IF(Tabla142[[#This Row],[frecuencia_new]]="Semanal","",IF(Tabla142[[#This Row],[frecuencia_new]]="Quincenal",RANDBETWEEN(1,2),RANDBETWEEN(1,4))))</f>
        <v>2</v>
      </c>
      <c r="H928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928" t="s">
        <v>46</v>
      </c>
      <c r="K928">
        <f>SUM(MID(Tabla142[[#This Row],[Duración]],1,2)*60,MID(Tabla142[[#This Row],[Duración]],6,2))</f>
        <v>30</v>
      </c>
      <c r="L928" s="4" t="s">
        <v>48</v>
      </c>
      <c r="M928" t="s">
        <v>239</v>
      </c>
      <c r="N928" t="s">
        <v>240</v>
      </c>
      <c r="O928" t="s">
        <v>380</v>
      </c>
      <c r="P928" t="s">
        <v>360</v>
      </c>
      <c r="Q928" s="20">
        <v>46032.649155092593</v>
      </c>
      <c r="R928" t="s">
        <v>5</v>
      </c>
      <c r="T928" t="s">
        <v>532</v>
      </c>
    </row>
    <row r="929" spans="1:20" ht="15" customHeight="1" x14ac:dyDescent="0.25">
      <c r="A929">
        <f t="shared" si="14"/>
        <v>121</v>
      </c>
      <c r="B929" t="s">
        <v>1561</v>
      </c>
      <c r="C929" t="s">
        <v>47</v>
      </c>
      <c r="D929">
        <v>1</v>
      </c>
      <c r="E9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29">
        <f ca="1">IF(Tabla142[[#This Row],[frecuencia_new]]="Diaria"," ",RANDBETWEEN(1,6))</f>
        <v>5</v>
      </c>
      <c r="G929">
        <f ca="1">IF(Tabla142[[#This Row],[frecuencia_new]]="Diaria","",IF(Tabla142[[#This Row],[frecuencia_new]]="Semanal","",IF(Tabla142[[#This Row],[frecuencia_new]]="Quincenal",RANDBETWEEN(1,2),RANDBETWEEN(1,4))))</f>
        <v>1</v>
      </c>
      <c r="H929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929" t="s">
        <v>52</v>
      </c>
      <c r="K929">
        <f>SUM(MID(Tabla142[[#This Row],[Duración]],1,2)*60,MID(Tabla142[[#This Row],[Duración]],6,2))</f>
        <v>30</v>
      </c>
      <c r="L929" s="4" t="s">
        <v>48</v>
      </c>
      <c r="M929" t="s">
        <v>239</v>
      </c>
      <c r="N929" t="s">
        <v>240</v>
      </c>
      <c r="O929" t="s">
        <v>380</v>
      </c>
      <c r="P929" t="s">
        <v>360</v>
      </c>
      <c r="Q929" s="20">
        <v>46032.649155092593</v>
      </c>
      <c r="R929" t="s">
        <v>5</v>
      </c>
      <c r="T929" t="s">
        <v>532</v>
      </c>
    </row>
    <row r="930" spans="1:20" ht="15" customHeight="1" x14ac:dyDescent="0.25">
      <c r="A930">
        <f t="shared" si="14"/>
        <v>121</v>
      </c>
      <c r="B930" t="s">
        <v>1562</v>
      </c>
      <c r="C930" t="s">
        <v>54</v>
      </c>
      <c r="D930">
        <v>1</v>
      </c>
      <c r="E9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30">
        <f ca="1">IF(Tabla142[[#This Row],[frecuencia_new]]="Diaria"," ",RANDBETWEEN(1,6))</f>
        <v>6</v>
      </c>
      <c r="G930">
        <f ca="1">IF(Tabla142[[#This Row],[frecuencia_new]]="Diaria","",IF(Tabla142[[#This Row],[frecuencia_new]]="Semanal","",IF(Tabla142[[#This Row],[frecuencia_new]]="Quincenal",RANDBETWEEN(1,2),RANDBETWEEN(1,4))))</f>
        <v>1</v>
      </c>
      <c r="H930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930" t="s">
        <v>53</v>
      </c>
      <c r="K930">
        <f>SUM(MID(Tabla142[[#This Row],[Duración]],1,2)*60,MID(Tabla142[[#This Row],[Duración]],6,2))</f>
        <v>30</v>
      </c>
      <c r="L930" s="4" t="s">
        <v>48</v>
      </c>
      <c r="M930" t="s">
        <v>239</v>
      </c>
      <c r="N930" t="s">
        <v>240</v>
      </c>
      <c r="O930" t="s">
        <v>380</v>
      </c>
      <c r="P930" t="s">
        <v>360</v>
      </c>
      <c r="Q930" s="20">
        <v>46032.649155092593</v>
      </c>
      <c r="R930" t="s">
        <v>5</v>
      </c>
      <c r="T930" t="s">
        <v>532</v>
      </c>
    </row>
    <row r="931" spans="1:20" ht="15" customHeight="1" x14ac:dyDescent="0.25">
      <c r="A931">
        <f t="shared" si="14"/>
        <v>121</v>
      </c>
      <c r="B931" t="s">
        <v>1563</v>
      </c>
      <c r="C931" t="s">
        <v>47</v>
      </c>
      <c r="D931">
        <v>1</v>
      </c>
      <c r="E9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31">
        <f ca="1">IF(Tabla142[[#This Row],[frecuencia_new]]="Diaria"," ",RANDBETWEEN(1,6))</f>
        <v>5</v>
      </c>
      <c r="G931">
        <f ca="1">IF(Tabla142[[#This Row],[frecuencia_new]]="Diaria","",IF(Tabla142[[#This Row],[frecuencia_new]]="Semanal","",IF(Tabla142[[#This Row],[frecuencia_new]]="Quincenal",RANDBETWEEN(1,2),RANDBETWEEN(1,4))))</f>
        <v>1</v>
      </c>
      <c r="H93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931" t="s">
        <v>56</v>
      </c>
      <c r="K931">
        <f>SUM(MID(Tabla142[[#This Row],[Duración]],1,2)*60,MID(Tabla142[[#This Row],[Duración]],6,2))</f>
        <v>30</v>
      </c>
      <c r="L931" s="4" t="s">
        <v>48</v>
      </c>
      <c r="M931" t="s">
        <v>239</v>
      </c>
      <c r="N931" t="s">
        <v>240</v>
      </c>
      <c r="O931" t="s">
        <v>380</v>
      </c>
      <c r="P931" t="s">
        <v>360</v>
      </c>
      <c r="Q931" s="20">
        <v>46032.649155092593</v>
      </c>
      <c r="R931" t="s">
        <v>5</v>
      </c>
      <c r="T931" t="s">
        <v>532</v>
      </c>
    </row>
    <row r="932" spans="1:20" ht="15" customHeight="1" x14ac:dyDescent="0.25">
      <c r="A932">
        <f t="shared" si="14"/>
        <v>2</v>
      </c>
      <c r="B932" t="s">
        <v>1564</v>
      </c>
      <c r="C932" t="s">
        <v>47</v>
      </c>
      <c r="D932">
        <v>6</v>
      </c>
      <c r="E9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32" t="str">
        <f ca="1">IF(Tabla142[[#This Row],[frecuencia_new]]="Diaria"," ",RANDBETWEEN(1,6))</f>
        <v xml:space="preserve"> </v>
      </c>
      <c r="G932" t="str">
        <f ca="1">IF(Tabla142[[#This Row],[frecuencia_new]]="Diaria","",IF(Tabla142[[#This Row],[frecuencia_new]]="Semanal","",IF(Tabla142[[#This Row],[frecuencia_new]]="Quincenal",RANDBETWEEN(1,2),RANDBETWEEN(1,4))))</f>
        <v/>
      </c>
      <c r="H9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32" t="s">
        <v>59</v>
      </c>
      <c r="K932">
        <f>SUM(MID(Tabla142[[#This Row],[Duración]],1,2)*60,MID(Tabla142[[#This Row],[Duración]],6,2))</f>
        <v>2</v>
      </c>
      <c r="L932" s="4" t="s">
        <v>60</v>
      </c>
      <c r="M932" t="s">
        <v>239</v>
      </c>
      <c r="N932" t="s">
        <v>240</v>
      </c>
      <c r="O932" t="s">
        <v>381</v>
      </c>
      <c r="P932" t="s">
        <v>361</v>
      </c>
      <c r="Q932" s="20">
        <v>46032.649155092593</v>
      </c>
      <c r="R932" t="s">
        <v>6</v>
      </c>
      <c r="T932" t="s">
        <v>413</v>
      </c>
    </row>
    <row r="933" spans="1:20" ht="15" customHeight="1" x14ac:dyDescent="0.25">
      <c r="A933">
        <f t="shared" si="14"/>
        <v>76</v>
      </c>
      <c r="B933" t="s">
        <v>1565</v>
      </c>
      <c r="C933" t="s">
        <v>47</v>
      </c>
      <c r="D933">
        <v>6</v>
      </c>
      <c r="E9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933">
        <f ca="1">IF(Tabla142[[#This Row],[frecuencia_new]]="Diaria"," ",RANDBETWEEN(1,6))</f>
        <v>5</v>
      </c>
      <c r="G933">
        <f ca="1">IF(Tabla142[[#This Row],[frecuencia_new]]="Diaria","",IF(Tabla142[[#This Row],[frecuencia_new]]="Semanal","",IF(Tabla142[[#This Row],[frecuencia_new]]="Quincenal",RANDBETWEEN(1,2),RANDBETWEEN(1,4))))</f>
        <v>2</v>
      </c>
      <c r="H9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33" t="s">
        <v>61</v>
      </c>
      <c r="K933">
        <f>SUM(MID(Tabla142[[#This Row],[Duración]],1,2)*60,MID(Tabla142[[#This Row],[Duración]],6,2))</f>
        <v>60</v>
      </c>
      <c r="L933" s="4" t="s">
        <v>58</v>
      </c>
      <c r="M933" t="s">
        <v>239</v>
      </c>
      <c r="N933" t="s">
        <v>240</v>
      </c>
      <c r="O933" t="s">
        <v>382</v>
      </c>
      <c r="P933" t="s">
        <v>363</v>
      </c>
      <c r="Q933" s="20">
        <v>46032.649155092593</v>
      </c>
      <c r="R933" t="s">
        <v>1846</v>
      </c>
      <c r="T933" t="s">
        <v>487</v>
      </c>
    </row>
    <row r="934" spans="1:20" ht="15" customHeight="1" x14ac:dyDescent="0.25">
      <c r="A934">
        <f t="shared" si="14"/>
        <v>76</v>
      </c>
      <c r="B934" t="s">
        <v>1566</v>
      </c>
      <c r="C934" t="s">
        <v>47</v>
      </c>
      <c r="D934">
        <v>6</v>
      </c>
      <c r="E9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34">
        <f ca="1">IF(Tabla142[[#This Row],[frecuencia_new]]="Diaria"," ",RANDBETWEEN(1,6))</f>
        <v>1</v>
      </c>
      <c r="G934">
        <f ca="1">IF(Tabla142[[#This Row],[frecuencia_new]]="Diaria","",IF(Tabla142[[#This Row],[frecuencia_new]]="Semanal","",IF(Tabla142[[#This Row],[frecuencia_new]]="Quincenal",RANDBETWEEN(1,2),RANDBETWEEN(1,4))))</f>
        <v>1</v>
      </c>
      <c r="H9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34" t="s">
        <v>62</v>
      </c>
      <c r="K934">
        <f>SUM(MID(Tabla142[[#This Row],[Duración]],1,2)*60,MID(Tabla142[[#This Row],[Duración]],6,2))</f>
        <v>30</v>
      </c>
      <c r="L934" s="4" t="s">
        <v>48</v>
      </c>
      <c r="M934" t="s">
        <v>239</v>
      </c>
      <c r="N934" t="s">
        <v>240</v>
      </c>
      <c r="O934" t="s">
        <v>382</v>
      </c>
      <c r="P934" t="s">
        <v>363</v>
      </c>
      <c r="Q934" s="20">
        <v>46032.649155092593</v>
      </c>
      <c r="R934" t="s">
        <v>7</v>
      </c>
      <c r="T934" t="s">
        <v>487</v>
      </c>
    </row>
    <row r="935" spans="1:20" ht="15" customHeight="1" x14ac:dyDescent="0.25">
      <c r="A935">
        <f t="shared" si="14"/>
        <v>76</v>
      </c>
      <c r="B935" t="s">
        <v>1567</v>
      </c>
      <c r="C935" t="s">
        <v>47</v>
      </c>
      <c r="D935">
        <v>6</v>
      </c>
      <c r="E9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935">
        <f ca="1">IF(Tabla142[[#This Row],[frecuencia_new]]="Diaria"," ",RANDBETWEEN(1,6))</f>
        <v>6</v>
      </c>
      <c r="G935">
        <f ca="1">IF(Tabla142[[#This Row],[frecuencia_new]]="Diaria","",IF(Tabla142[[#This Row],[frecuencia_new]]="Semanal","",IF(Tabla142[[#This Row],[frecuencia_new]]="Quincenal",RANDBETWEEN(1,2),RANDBETWEEN(1,4))))</f>
        <v>2</v>
      </c>
      <c r="H9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35" t="s">
        <v>63</v>
      </c>
      <c r="K935">
        <f>SUM(MID(Tabla142[[#This Row],[Duración]],1,2)*60,MID(Tabla142[[#This Row],[Duración]],6,2))</f>
        <v>60</v>
      </c>
      <c r="L935" s="4" t="s">
        <v>58</v>
      </c>
      <c r="M935" t="s">
        <v>239</v>
      </c>
      <c r="N935" t="s">
        <v>240</v>
      </c>
      <c r="O935" t="s">
        <v>382</v>
      </c>
      <c r="P935" t="s">
        <v>363</v>
      </c>
      <c r="Q935" s="20">
        <v>46032.649155092593</v>
      </c>
      <c r="R935" t="s">
        <v>1846</v>
      </c>
      <c r="T935" t="s">
        <v>487</v>
      </c>
    </row>
    <row r="936" spans="1:20" ht="15" customHeight="1" x14ac:dyDescent="0.25">
      <c r="A936">
        <f t="shared" si="14"/>
        <v>76</v>
      </c>
      <c r="B936" t="s">
        <v>1568</v>
      </c>
      <c r="C936" t="s">
        <v>54</v>
      </c>
      <c r="D936">
        <v>6</v>
      </c>
      <c r="E9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36">
        <f ca="1">IF(Tabla142[[#This Row],[frecuencia_new]]="Diaria"," ",RANDBETWEEN(1,6))</f>
        <v>5</v>
      </c>
      <c r="G936" t="str">
        <f ca="1">IF(Tabla142[[#This Row],[frecuencia_new]]="Diaria","",IF(Tabla142[[#This Row],[frecuencia_new]]="Semanal","",IF(Tabla142[[#This Row],[frecuencia_new]]="Quincenal",RANDBETWEEN(1,2),RANDBETWEEN(1,4))))</f>
        <v/>
      </c>
      <c r="H93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36" t="s">
        <v>57</v>
      </c>
      <c r="K936">
        <f>SUM(MID(Tabla142[[#This Row],[Duración]],1,2)*60,MID(Tabla142[[#This Row],[Duración]],6,2))</f>
        <v>30</v>
      </c>
      <c r="L936" s="4" t="s">
        <v>48</v>
      </c>
      <c r="M936" t="s">
        <v>239</v>
      </c>
      <c r="N936" t="s">
        <v>240</v>
      </c>
      <c r="O936" t="s">
        <v>382</v>
      </c>
      <c r="P936" t="s">
        <v>363</v>
      </c>
      <c r="Q936" s="20">
        <v>46032.649155092593</v>
      </c>
      <c r="R936" t="s">
        <v>8</v>
      </c>
      <c r="T936" t="s">
        <v>487</v>
      </c>
    </row>
    <row r="937" spans="1:20" ht="15" customHeight="1" x14ac:dyDescent="0.25">
      <c r="A937">
        <f t="shared" si="14"/>
        <v>124</v>
      </c>
      <c r="B937" t="s">
        <v>1569</v>
      </c>
      <c r="C937" t="s">
        <v>47</v>
      </c>
      <c r="D937">
        <v>6</v>
      </c>
      <c r="E9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37">
        <f ca="1">IF(Tabla142[[#This Row],[frecuencia_new]]="Diaria"," ",RANDBETWEEN(1,6))</f>
        <v>4</v>
      </c>
      <c r="G937">
        <f ca="1">IF(Tabla142[[#This Row],[frecuencia_new]]="Diaria","",IF(Tabla142[[#This Row],[frecuencia_new]]="Semanal","",IF(Tabla142[[#This Row],[frecuencia_new]]="Quincenal",RANDBETWEEN(1,2),RANDBETWEEN(1,4))))</f>
        <v>3</v>
      </c>
      <c r="H937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937" t="s">
        <v>46</v>
      </c>
      <c r="K937">
        <f>SUM(MID(Tabla142[[#This Row],[Duración]],1,2)*60,MID(Tabla142[[#This Row],[Duración]],6,2))</f>
        <v>60</v>
      </c>
      <c r="L937" s="4" t="s">
        <v>58</v>
      </c>
      <c r="M937" t="s">
        <v>239</v>
      </c>
      <c r="N937" t="s">
        <v>240</v>
      </c>
      <c r="O937" t="s">
        <v>380</v>
      </c>
      <c r="P937" t="s">
        <v>360</v>
      </c>
      <c r="Q937" s="20">
        <v>46032.649155092593</v>
      </c>
      <c r="R937" t="s">
        <v>5</v>
      </c>
      <c r="T937" t="s">
        <v>535</v>
      </c>
    </row>
    <row r="938" spans="1:20" ht="15" customHeight="1" x14ac:dyDescent="0.25">
      <c r="A938">
        <f t="shared" si="14"/>
        <v>124</v>
      </c>
      <c r="B938" t="s">
        <v>1570</v>
      </c>
      <c r="C938" t="s">
        <v>47</v>
      </c>
      <c r="D938">
        <v>6</v>
      </c>
      <c r="E9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38">
        <f ca="1">IF(Tabla142[[#This Row],[frecuencia_new]]="Diaria"," ",RANDBETWEEN(1,6))</f>
        <v>4</v>
      </c>
      <c r="G938">
        <f ca="1">IF(Tabla142[[#This Row],[frecuencia_new]]="Diaria","",IF(Tabla142[[#This Row],[frecuencia_new]]="Semanal","",IF(Tabla142[[#This Row],[frecuencia_new]]="Quincenal",RANDBETWEEN(1,2),RANDBETWEEN(1,4))))</f>
        <v>4</v>
      </c>
      <c r="H93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38" t="s">
        <v>52</v>
      </c>
      <c r="K938">
        <f>SUM(MID(Tabla142[[#This Row],[Duración]],1,2)*60,MID(Tabla142[[#This Row],[Duración]],6,2))</f>
        <v>60</v>
      </c>
      <c r="L938" s="4" t="s">
        <v>58</v>
      </c>
      <c r="M938" t="s">
        <v>239</v>
      </c>
      <c r="N938" t="s">
        <v>240</v>
      </c>
      <c r="O938" t="s">
        <v>380</v>
      </c>
      <c r="P938" t="s">
        <v>360</v>
      </c>
      <c r="Q938" s="20">
        <v>46032.649155092593</v>
      </c>
      <c r="R938" t="s">
        <v>5</v>
      </c>
      <c r="T938" t="s">
        <v>535</v>
      </c>
    </row>
    <row r="939" spans="1:20" ht="15" customHeight="1" x14ac:dyDescent="0.25">
      <c r="A939">
        <f t="shared" si="14"/>
        <v>124</v>
      </c>
      <c r="B939" t="s">
        <v>1571</v>
      </c>
      <c r="C939" t="s">
        <v>54</v>
      </c>
      <c r="D939">
        <v>6</v>
      </c>
      <c r="E9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39">
        <f ca="1">IF(Tabla142[[#This Row],[frecuencia_new]]="Diaria"," ",RANDBETWEEN(1,6))</f>
        <v>1</v>
      </c>
      <c r="G939">
        <f ca="1">IF(Tabla142[[#This Row],[frecuencia_new]]="Diaria","",IF(Tabla142[[#This Row],[frecuencia_new]]="Semanal","",IF(Tabla142[[#This Row],[frecuencia_new]]="Quincenal",RANDBETWEEN(1,2),RANDBETWEEN(1,4))))</f>
        <v>3</v>
      </c>
      <c r="H939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939" t="s">
        <v>53</v>
      </c>
      <c r="K939">
        <f>SUM(MID(Tabla142[[#This Row],[Duración]],1,2)*60,MID(Tabla142[[#This Row],[Duración]],6,2))</f>
        <v>60</v>
      </c>
      <c r="L939" s="4" t="s">
        <v>58</v>
      </c>
      <c r="M939" t="s">
        <v>239</v>
      </c>
      <c r="N939" t="s">
        <v>240</v>
      </c>
      <c r="O939" t="s">
        <v>380</v>
      </c>
      <c r="P939" t="s">
        <v>360</v>
      </c>
      <c r="Q939" s="20">
        <v>46032.649155092593</v>
      </c>
      <c r="R939" t="s">
        <v>5</v>
      </c>
      <c r="T939" t="s">
        <v>535</v>
      </c>
    </row>
    <row r="940" spans="1:20" ht="15" customHeight="1" x14ac:dyDescent="0.25">
      <c r="A940">
        <f t="shared" si="14"/>
        <v>124</v>
      </c>
      <c r="B940" t="s">
        <v>1572</v>
      </c>
      <c r="C940" t="s">
        <v>47</v>
      </c>
      <c r="D940">
        <v>6</v>
      </c>
      <c r="E9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40">
        <f ca="1">IF(Tabla142[[#This Row],[frecuencia_new]]="Diaria"," ",RANDBETWEEN(1,6))</f>
        <v>6</v>
      </c>
      <c r="G940">
        <f ca="1">IF(Tabla142[[#This Row],[frecuencia_new]]="Diaria","",IF(Tabla142[[#This Row],[frecuencia_new]]="Semanal","",IF(Tabla142[[#This Row],[frecuencia_new]]="Quincenal",RANDBETWEEN(1,2),RANDBETWEEN(1,4))))</f>
        <v>1</v>
      </c>
      <c r="H940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940" t="s">
        <v>64</v>
      </c>
      <c r="K940">
        <f>SUM(MID(Tabla142[[#This Row],[Duración]],1,2)*60,MID(Tabla142[[#This Row],[Duración]],6,2))</f>
        <v>180</v>
      </c>
      <c r="L940" s="4" t="s">
        <v>65</v>
      </c>
      <c r="M940" t="s">
        <v>239</v>
      </c>
      <c r="N940" t="s">
        <v>240</v>
      </c>
      <c r="O940" t="s">
        <v>380</v>
      </c>
      <c r="P940" t="s">
        <v>360</v>
      </c>
      <c r="Q940" s="20">
        <v>46032.649155092593</v>
      </c>
      <c r="R940" t="s">
        <v>5</v>
      </c>
      <c r="T940" t="s">
        <v>535</v>
      </c>
    </row>
    <row r="941" spans="1:20" ht="15" customHeight="1" x14ac:dyDescent="0.25">
      <c r="A941">
        <f t="shared" si="14"/>
        <v>78</v>
      </c>
      <c r="B941" t="s">
        <v>1573</v>
      </c>
      <c r="C941" t="s">
        <v>47</v>
      </c>
      <c r="D941">
        <v>12</v>
      </c>
      <c r="E9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41">
        <f ca="1">IF(Tabla142[[#This Row],[frecuencia_new]]="Diaria"," ",RANDBETWEEN(1,6))</f>
        <v>5</v>
      </c>
      <c r="G941">
        <f ca="1">IF(Tabla142[[#This Row],[frecuencia_new]]="Diaria","",IF(Tabla142[[#This Row],[frecuencia_new]]="Semanal","",IF(Tabla142[[#This Row],[frecuencia_new]]="Quincenal",RANDBETWEEN(1,2),RANDBETWEEN(1,4))))</f>
        <v>4</v>
      </c>
      <c r="H9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41" t="s">
        <v>66</v>
      </c>
      <c r="K941">
        <f>SUM(MID(Tabla142[[#This Row],[Duración]],1,2)*60,MID(Tabla142[[#This Row],[Duración]],6,2))</f>
        <v>60</v>
      </c>
      <c r="L941" s="4" t="s">
        <v>58</v>
      </c>
      <c r="M941" t="s">
        <v>239</v>
      </c>
      <c r="N941" t="s">
        <v>240</v>
      </c>
      <c r="O941" t="s">
        <v>382</v>
      </c>
      <c r="P941" t="s">
        <v>363</v>
      </c>
      <c r="Q941" s="20">
        <v>46032.649155092593</v>
      </c>
      <c r="R941" t="s">
        <v>7</v>
      </c>
      <c r="T941" t="s">
        <v>489</v>
      </c>
    </row>
    <row r="942" spans="1:20" ht="15" customHeight="1" x14ac:dyDescent="0.25">
      <c r="A942">
        <f t="shared" si="14"/>
        <v>78</v>
      </c>
      <c r="B942" t="s">
        <v>1574</v>
      </c>
      <c r="C942" t="s">
        <v>47</v>
      </c>
      <c r="D942">
        <v>12</v>
      </c>
      <c r="E9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42">
        <f ca="1">IF(Tabla142[[#This Row],[frecuencia_new]]="Diaria"," ",RANDBETWEEN(1,6))</f>
        <v>4</v>
      </c>
      <c r="G942" t="str">
        <f ca="1">IF(Tabla142[[#This Row],[frecuencia_new]]="Diaria","",IF(Tabla142[[#This Row],[frecuencia_new]]="Semanal","",IF(Tabla142[[#This Row],[frecuencia_new]]="Quincenal",RANDBETWEEN(1,2),RANDBETWEEN(1,4))))</f>
        <v/>
      </c>
      <c r="H9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42" t="s">
        <v>57</v>
      </c>
      <c r="K942">
        <f>SUM(MID(Tabla142[[#This Row],[Duración]],1,2)*60,MID(Tabla142[[#This Row],[Duración]],6,2))</f>
        <v>10</v>
      </c>
      <c r="L942" s="4" t="s">
        <v>71</v>
      </c>
      <c r="M942" t="s">
        <v>239</v>
      </c>
      <c r="N942" t="s">
        <v>240</v>
      </c>
      <c r="O942" t="s">
        <v>382</v>
      </c>
      <c r="P942" t="s">
        <v>363</v>
      </c>
      <c r="Q942" s="20">
        <v>46032.649155092593</v>
      </c>
      <c r="R942" t="s">
        <v>8</v>
      </c>
      <c r="T942" t="s">
        <v>489</v>
      </c>
    </row>
    <row r="943" spans="1:20" ht="15" customHeight="1" x14ac:dyDescent="0.25">
      <c r="A943">
        <f t="shared" si="14"/>
        <v>127</v>
      </c>
      <c r="B943" t="s">
        <v>1575</v>
      </c>
      <c r="C943" t="s">
        <v>47</v>
      </c>
      <c r="D943">
        <v>12</v>
      </c>
      <c r="E9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43">
        <f ca="1">IF(Tabla142[[#This Row],[frecuencia_new]]="Diaria"," ",RANDBETWEEN(1,6))</f>
        <v>3</v>
      </c>
      <c r="G943">
        <f ca="1">IF(Tabla142[[#This Row],[frecuencia_new]]="Diaria","",IF(Tabla142[[#This Row],[frecuencia_new]]="Semanal","",IF(Tabla142[[#This Row],[frecuencia_new]]="Quincenal",RANDBETWEEN(1,2),RANDBETWEEN(1,4))))</f>
        <v>1</v>
      </c>
      <c r="H943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943" t="s">
        <v>46</v>
      </c>
      <c r="K943">
        <f>SUM(MID(Tabla142[[#This Row],[Duración]],1,2)*60,MID(Tabla142[[#This Row],[Duración]],6,2))</f>
        <v>30</v>
      </c>
      <c r="L943" s="4" t="s">
        <v>48</v>
      </c>
      <c r="M943" t="s">
        <v>239</v>
      </c>
      <c r="N943" t="s">
        <v>240</v>
      </c>
      <c r="O943" t="s">
        <v>380</v>
      </c>
      <c r="P943" t="s">
        <v>360</v>
      </c>
      <c r="Q943" s="20">
        <v>46032.649155092593</v>
      </c>
      <c r="R943" t="s">
        <v>5</v>
      </c>
      <c r="T943" t="s">
        <v>538</v>
      </c>
    </row>
    <row r="944" spans="1:20" ht="15" customHeight="1" x14ac:dyDescent="0.25">
      <c r="A944">
        <f t="shared" si="14"/>
        <v>127</v>
      </c>
      <c r="B944" t="s">
        <v>1576</v>
      </c>
      <c r="C944" t="s">
        <v>47</v>
      </c>
      <c r="D944">
        <v>12</v>
      </c>
      <c r="E9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44">
        <f ca="1">IF(Tabla142[[#This Row],[frecuencia_new]]="Diaria"," ",RANDBETWEEN(1,6))</f>
        <v>5</v>
      </c>
      <c r="G944">
        <f ca="1">IF(Tabla142[[#This Row],[frecuencia_new]]="Diaria","",IF(Tabla142[[#This Row],[frecuencia_new]]="Semanal","",IF(Tabla142[[#This Row],[frecuencia_new]]="Quincenal",RANDBETWEEN(1,2),RANDBETWEEN(1,4))))</f>
        <v>2</v>
      </c>
      <c r="H944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944" t="s">
        <v>52</v>
      </c>
      <c r="K944">
        <f>SUM(MID(Tabla142[[#This Row],[Duración]],1,2)*60,MID(Tabla142[[#This Row],[Duración]],6,2))</f>
        <v>30</v>
      </c>
      <c r="L944" s="4" t="s">
        <v>48</v>
      </c>
      <c r="M944" t="s">
        <v>239</v>
      </c>
      <c r="N944" t="s">
        <v>240</v>
      </c>
      <c r="O944" t="s">
        <v>380</v>
      </c>
      <c r="P944" t="s">
        <v>360</v>
      </c>
      <c r="Q944" s="20">
        <v>46032.649155092593</v>
      </c>
      <c r="R944" t="s">
        <v>5</v>
      </c>
      <c r="T944" t="s">
        <v>538</v>
      </c>
    </row>
    <row r="945" spans="1:20" ht="15" customHeight="1" x14ac:dyDescent="0.25">
      <c r="A945">
        <f t="shared" si="14"/>
        <v>127</v>
      </c>
      <c r="B945" t="s">
        <v>1577</v>
      </c>
      <c r="C945" t="s">
        <v>54</v>
      </c>
      <c r="D945">
        <v>12</v>
      </c>
      <c r="E9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45">
        <f ca="1">IF(Tabla142[[#This Row],[frecuencia_new]]="Diaria"," ",RANDBETWEEN(1,6))</f>
        <v>3</v>
      </c>
      <c r="G945">
        <f ca="1">IF(Tabla142[[#This Row],[frecuencia_new]]="Diaria","",IF(Tabla142[[#This Row],[frecuencia_new]]="Semanal","",IF(Tabla142[[#This Row],[frecuencia_new]]="Quincenal",RANDBETWEEN(1,2),RANDBETWEEN(1,4))))</f>
        <v>1</v>
      </c>
      <c r="H945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945" t="s">
        <v>53</v>
      </c>
      <c r="K945">
        <f>SUM(MID(Tabla142[[#This Row],[Duración]],1,2)*60,MID(Tabla142[[#This Row],[Duración]],6,2))</f>
        <v>30</v>
      </c>
      <c r="L945" s="4" t="s">
        <v>48</v>
      </c>
      <c r="M945" t="s">
        <v>239</v>
      </c>
      <c r="N945" t="s">
        <v>240</v>
      </c>
      <c r="O945" t="s">
        <v>380</v>
      </c>
      <c r="P945" t="s">
        <v>360</v>
      </c>
      <c r="Q945" s="20">
        <v>46032.649155092593</v>
      </c>
      <c r="R945" t="s">
        <v>5</v>
      </c>
      <c r="T945" t="s">
        <v>538</v>
      </c>
    </row>
    <row r="946" spans="1:20" ht="15" customHeight="1" x14ac:dyDescent="0.25">
      <c r="A946">
        <f t="shared" si="14"/>
        <v>127</v>
      </c>
      <c r="B946" t="s">
        <v>1578</v>
      </c>
      <c r="C946" t="s">
        <v>47</v>
      </c>
      <c r="D946">
        <v>12</v>
      </c>
      <c r="E9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46">
        <f ca="1">IF(Tabla142[[#This Row],[frecuencia_new]]="Diaria"," ",RANDBETWEEN(1,6))</f>
        <v>5</v>
      </c>
      <c r="G946">
        <f ca="1">IF(Tabla142[[#This Row],[frecuencia_new]]="Diaria","",IF(Tabla142[[#This Row],[frecuencia_new]]="Semanal","",IF(Tabla142[[#This Row],[frecuencia_new]]="Quincenal",RANDBETWEEN(1,2),RANDBETWEEN(1,4))))</f>
        <v>4</v>
      </c>
      <c r="H946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946" t="s">
        <v>64</v>
      </c>
      <c r="K946">
        <f>SUM(MID(Tabla142[[#This Row],[Duración]],1,2)*60,MID(Tabla142[[#This Row],[Duración]],6,2))</f>
        <v>30</v>
      </c>
      <c r="L946" s="4" t="s">
        <v>48</v>
      </c>
      <c r="M946" t="s">
        <v>239</v>
      </c>
      <c r="N946" t="s">
        <v>240</v>
      </c>
      <c r="O946" t="s">
        <v>380</v>
      </c>
      <c r="P946" t="s">
        <v>360</v>
      </c>
      <c r="Q946" s="20">
        <v>46032.649155092593</v>
      </c>
      <c r="R946" t="s">
        <v>5</v>
      </c>
      <c r="T946" t="s">
        <v>538</v>
      </c>
    </row>
    <row r="947" spans="1:20" ht="15" customHeight="1" x14ac:dyDescent="0.25">
      <c r="A947">
        <f t="shared" si="14"/>
        <v>163</v>
      </c>
      <c r="B947" t="s">
        <v>1579</v>
      </c>
      <c r="C947" t="s">
        <v>47</v>
      </c>
      <c r="D947">
        <v>12</v>
      </c>
      <c r="E9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47" t="str">
        <f ca="1">IF(Tabla142[[#This Row],[frecuencia_new]]="Diaria"," ",RANDBETWEEN(1,6))</f>
        <v xml:space="preserve"> </v>
      </c>
      <c r="G947" t="str">
        <f ca="1">IF(Tabla142[[#This Row],[frecuencia_new]]="Diaria","",IF(Tabla142[[#This Row],[frecuencia_new]]="Semanal","",IF(Tabla142[[#This Row],[frecuencia_new]]="Quincenal",RANDBETWEEN(1,2),RANDBETWEEN(1,4))))</f>
        <v/>
      </c>
      <c r="H9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47" t="s">
        <v>67</v>
      </c>
      <c r="K947">
        <f>SUM(MID(Tabla142[[#This Row],[Duración]],1,2)*60,MID(Tabla142[[#This Row],[Duración]],6,2))</f>
        <v>5</v>
      </c>
      <c r="L947" s="4" t="s">
        <v>50</v>
      </c>
      <c r="M947" t="s">
        <v>239</v>
      </c>
      <c r="N947" t="s">
        <v>240</v>
      </c>
      <c r="O947" t="s">
        <v>383</v>
      </c>
      <c r="P947" t="s">
        <v>361</v>
      </c>
      <c r="Q947" s="20">
        <v>46032.649155092593</v>
      </c>
      <c r="R947" t="s">
        <v>6</v>
      </c>
      <c r="T947" t="s">
        <v>574</v>
      </c>
    </row>
    <row r="948" spans="1:20" ht="15" customHeight="1" x14ac:dyDescent="0.25">
      <c r="A948">
        <f t="shared" si="14"/>
        <v>163</v>
      </c>
      <c r="B948" t="s">
        <v>1580</v>
      </c>
      <c r="C948" t="s">
        <v>47</v>
      </c>
      <c r="D948">
        <v>12</v>
      </c>
      <c r="E9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48" t="str">
        <f ca="1">IF(Tabla142[[#This Row],[frecuencia_new]]="Diaria"," ",RANDBETWEEN(1,6))</f>
        <v xml:space="preserve"> </v>
      </c>
      <c r="G948" t="str">
        <f ca="1">IF(Tabla142[[#This Row],[frecuencia_new]]="Diaria","",IF(Tabla142[[#This Row],[frecuencia_new]]="Semanal","",IF(Tabla142[[#This Row],[frecuencia_new]]="Quincenal",RANDBETWEEN(1,2),RANDBETWEEN(1,4))))</f>
        <v/>
      </c>
      <c r="H9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48" t="s">
        <v>68</v>
      </c>
      <c r="K948">
        <f>SUM(MID(Tabla142[[#This Row],[Duración]],1,2)*60,MID(Tabla142[[#This Row],[Duración]],6,2))</f>
        <v>5</v>
      </c>
      <c r="L948" s="4" t="s">
        <v>50</v>
      </c>
      <c r="M948" t="s">
        <v>239</v>
      </c>
      <c r="N948" t="s">
        <v>240</v>
      </c>
      <c r="O948" t="s">
        <v>383</v>
      </c>
      <c r="P948" t="s">
        <v>361</v>
      </c>
      <c r="Q948" s="20">
        <v>46032.649155092593</v>
      </c>
      <c r="R948" t="s">
        <v>6</v>
      </c>
      <c r="T948" t="s">
        <v>574</v>
      </c>
    </row>
    <row r="949" spans="1:20" ht="15" customHeight="1" x14ac:dyDescent="0.25">
      <c r="A949">
        <f t="shared" si="14"/>
        <v>163</v>
      </c>
      <c r="B949" t="s">
        <v>1581</v>
      </c>
      <c r="C949" t="s">
        <v>47</v>
      </c>
      <c r="D949">
        <v>12</v>
      </c>
      <c r="E9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49">
        <f ca="1">IF(Tabla142[[#This Row],[frecuencia_new]]="Diaria"," ",RANDBETWEEN(1,6))</f>
        <v>1</v>
      </c>
      <c r="G949">
        <f ca="1">IF(Tabla142[[#This Row],[frecuencia_new]]="Diaria","",IF(Tabla142[[#This Row],[frecuencia_new]]="Semanal","",IF(Tabla142[[#This Row],[frecuencia_new]]="Quincenal",RANDBETWEEN(1,2),RANDBETWEEN(1,4))))</f>
        <v>3</v>
      </c>
      <c r="H9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49" t="s">
        <v>69</v>
      </c>
      <c r="K949">
        <f>SUM(MID(Tabla142[[#This Row],[Duración]],1,2)*60,MID(Tabla142[[#This Row],[Duración]],6,2))</f>
        <v>60</v>
      </c>
      <c r="L949" s="4" t="s">
        <v>58</v>
      </c>
      <c r="M949" t="s">
        <v>239</v>
      </c>
      <c r="N949" t="s">
        <v>240</v>
      </c>
      <c r="O949" t="s">
        <v>383</v>
      </c>
      <c r="P949" t="s">
        <v>361</v>
      </c>
      <c r="Q949" s="20">
        <v>46032.649155092593</v>
      </c>
      <c r="R949" t="s">
        <v>7</v>
      </c>
      <c r="T949" t="s">
        <v>574</v>
      </c>
    </row>
    <row r="950" spans="1:20" ht="15" customHeight="1" x14ac:dyDescent="0.25">
      <c r="A950">
        <f t="shared" si="14"/>
        <v>163</v>
      </c>
      <c r="B950" t="s">
        <v>1582</v>
      </c>
      <c r="C950" t="s">
        <v>47</v>
      </c>
      <c r="D950">
        <v>12</v>
      </c>
      <c r="E9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50">
        <f ca="1">IF(Tabla142[[#This Row],[frecuencia_new]]="Diaria"," ",RANDBETWEEN(1,6))</f>
        <v>4</v>
      </c>
      <c r="G950" t="str">
        <f ca="1">IF(Tabla142[[#This Row],[frecuencia_new]]="Diaria","",IF(Tabla142[[#This Row],[frecuencia_new]]="Semanal","",IF(Tabla142[[#This Row],[frecuencia_new]]="Quincenal",RANDBETWEEN(1,2),RANDBETWEEN(1,4))))</f>
        <v/>
      </c>
      <c r="H95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0" t="s">
        <v>70</v>
      </c>
      <c r="K950">
        <f>SUM(MID(Tabla142[[#This Row],[Duración]],1,2)*60,MID(Tabla142[[#This Row],[Duración]],6,2))</f>
        <v>30</v>
      </c>
      <c r="L950" s="4" t="s">
        <v>48</v>
      </c>
      <c r="M950" t="s">
        <v>239</v>
      </c>
      <c r="N950" t="s">
        <v>240</v>
      </c>
      <c r="O950" t="s">
        <v>383</v>
      </c>
      <c r="P950" t="s">
        <v>361</v>
      </c>
      <c r="Q950" s="20">
        <v>46032.649155092593</v>
      </c>
      <c r="R950" t="s">
        <v>8</v>
      </c>
      <c r="T950" t="s">
        <v>574</v>
      </c>
    </row>
    <row r="951" spans="1:20" ht="15" customHeight="1" x14ac:dyDescent="0.25">
      <c r="A951">
        <f t="shared" si="14"/>
        <v>80</v>
      </c>
      <c r="B951" t="s">
        <v>1583</v>
      </c>
      <c r="C951" t="s">
        <v>47</v>
      </c>
      <c r="D951">
        <v>42</v>
      </c>
      <c r="E9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51">
        <f ca="1">IF(Tabla142[[#This Row],[frecuencia_new]]="Diaria"," ",RANDBETWEEN(1,6))</f>
        <v>5</v>
      </c>
      <c r="G951">
        <f ca="1">IF(Tabla142[[#This Row],[frecuencia_new]]="Diaria","",IF(Tabla142[[#This Row],[frecuencia_new]]="Semanal","",IF(Tabla142[[#This Row],[frecuencia_new]]="Quincenal",RANDBETWEEN(1,2),RANDBETWEEN(1,4))))</f>
        <v>4</v>
      </c>
      <c r="H95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1" t="s">
        <v>66</v>
      </c>
      <c r="K951">
        <f>SUM(MID(Tabla142[[#This Row],[Duración]],1,2)*60,MID(Tabla142[[#This Row],[Duración]],6,2))</f>
        <v>15</v>
      </c>
      <c r="L951" s="4" t="s">
        <v>77</v>
      </c>
      <c r="M951" t="s">
        <v>239</v>
      </c>
      <c r="N951" t="s">
        <v>240</v>
      </c>
      <c r="O951" t="s">
        <v>382</v>
      </c>
      <c r="P951" t="s">
        <v>363</v>
      </c>
      <c r="Q951" s="20">
        <v>46032.649155092593</v>
      </c>
      <c r="R951" t="s">
        <v>7</v>
      </c>
      <c r="T951" t="s">
        <v>491</v>
      </c>
    </row>
    <row r="952" spans="1:20" ht="15" customHeight="1" x14ac:dyDescent="0.25">
      <c r="A952">
        <f t="shared" si="14"/>
        <v>80</v>
      </c>
      <c r="B952" t="s">
        <v>1584</v>
      </c>
      <c r="C952" t="s">
        <v>47</v>
      </c>
      <c r="D952">
        <v>42</v>
      </c>
      <c r="E9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52" t="str">
        <f ca="1">IF(Tabla142[[#This Row],[frecuencia_new]]="Diaria"," ",RANDBETWEEN(1,6))</f>
        <v xml:space="preserve"> </v>
      </c>
      <c r="G952" t="str">
        <f ca="1">IF(Tabla142[[#This Row],[frecuencia_new]]="Diaria","",IF(Tabla142[[#This Row],[frecuencia_new]]="Semanal","",IF(Tabla142[[#This Row],[frecuencia_new]]="Quincenal",RANDBETWEEN(1,2),RANDBETWEEN(1,4))))</f>
        <v/>
      </c>
      <c r="H9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2" t="s">
        <v>78</v>
      </c>
      <c r="K952">
        <f>SUM(MID(Tabla142[[#This Row],[Duración]],1,2)*60,MID(Tabla142[[#This Row],[Duración]],6,2))</f>
        <v>5</v>
      </c>
      <c r="L952" s="4" t="s">
        <v>50</v>
      </c>
      <c r="M952" t="s">
        <v>239</v>
      </c>
      <c r="N952" t="s">
        <v>240</v>
      </c>
      <c r="O952" t="s">
        <v>382</v>
      </c>
      <c r="P952" t="s">
        <v>363</v>
      </c>
      <c r="Q952" s="20">
        <v>46032.649155092593</v>
      </c>
      <c r="R952" t="s">
        <v>6</v>
      </c>
      <c r="T952" t="s">
        <v>491</v>
      </c>
    </row>
    <row r="953" spans="1:20" ht="15" customHeight="1" x14ac:dyDescent="0.25">
      <c r="A953">
        <f t="shared" si="14"/>
        <v>80</v>
      </c>
      <c r="B953" t="s">
        <v>1585</v>
      </c>
      <c r="C953" t="s">
        <v>47</v>
      </c>
      <c r="D953">
        <v>42</v>
      </c>
      <c r="E9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53">
        <f ca="1">IF(Tabla142[[#This Row],[frecuencia_new]]="Diaria"," ",RANDBETWEEN(1,6))</f>
        <v>6</v>
      </c>
      <c r="G953">
        <f ca="1">IF(Tabla142[[#This Row],[frecuencia_new]]="Diaria","",IF(Tabla142[[#This Row],[frecuencia_new]]="Semanal","",IF(Tabla142[[#This Row],[frecuencia_new]]="Quincenal",RANDBETWEEN(1,2),RANDBETWEEN(1,4))))</f>
        <v>1</v>
      </c>
      <c r="H9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3" t="s">
        <v>79</v>
      </c>
      <c r="K953">
        <f>SUM(MID(Tabla142[[#This Row],[Duración]],1,2)*60,MID(Tabla142[[#This Row],[Duración]],6,2))</f>
        <v>30</v>
      </c>
      <c r="L953" s="4" t="s">
        <v>48</v>
      </c>
      <c r="M953" t="s">
        <v>239</v>
      </c>
      <c r="N953" t="s">
        <v>240</v>
      </c>
      <c r="O953" t="s">
        <v>382</v>
      </c>
      <c r="P953" t="s">
        <v>363</v>
      </c>
      <c r="Q953" s="20">
        <v>46032.649155092593</v>
      </c>
      <c r="R953" t="s">
        <v>7</v>
      </c>
      <c r="T953" t="s">
        <v>491</v>
      </c>
    </row>
    <row r="954" spans="1:20" ht="15" customHeight="1" x14ac:dyDescent="0.25">
      <c r="A954">
        <f t="shared" si="14"/>
        <v>80</v>
      </c>
      <c r="B954" t="s">
        <v>1586</v>
      </c>
      <c r="C954" t="s">
        <v>47</v>
      </c>
      <c r="D954">
        <v>42</v>
      </c>
      <c r="E9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54">
        <f ca="1">IF(Tabla142[[#This Row],[frecuencia_new]]="Diaria"," ",RANDBETWEEN(1,6))</f>
        <v>6</v>
      </c>
      <c r="G954" t="str">
        <f ca="1">IF(Tabla142[[#This Row],[frecuencia_new]]="Diaria","",IF(Tabla142[[#This Row],[frecuencia_new]]="Semanal","",IF(Tabla142[[#This Row],[frecuencia_new]]="Quincenal",RANDBETWEEN(1,2),RANDBETWEEN(1,4))))</f>
        <v/>
      </c>
      <c r="H9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4" t="s">
        <v>80</v>
      </c>
      <c r="K954">
        <f>SUM(MID(Tabla142[[#This Row],[Duración]],1,2)*60,MID(Tabla142[[#This Row],[Duración]],6,2))</f>
        <v>30</v>
      </c>
      <c r="L954" s="4" t="s">
        <v>48</v>
      </c>
      <c r="M954" t="s">
        <v>239</v>
      </c>
      <c r="N954" t="s">
        <v>240</v>
      </c>
      <c r="O954" t="s">
        <v>382</v>
      </c>
      <c r="P954" t="s">
        <v>363</v>
      </c>
      <c r="Q954" s="20">
        <v>46032.649155092593</v>
      </c>
      <c r="R954" t="s">
        <v>8</v>
      </c>
      <c r="T954" t="s">
        <v>491</v>
      </c>
    </row>
    <row r="955" spans="1:20" ht="15" customHeight="1" x14ac:dyDescent="0.25">
      <c r="A955">
        <f t="shared" si="14"/>
        <v>80</v>
      </c>
      <c r="B955" t="s">
        <v>1587</v>
      </c>
      <c r="C955" t="s">
        <v>47</v>
      </c>
      <c r="D955">
        <v>42</v>
      </c>
      <c r="E9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55">
        <f ca="1">IF(Tabla142[[#This Row],[frecuencia_new]]="Diaria"," ",RANDBETWEEN(1,6))</f>
        <v>2</v>
      </c>
      <c r="G955" t="str">
        <f ca="1">IF(Tabla142[[#This Row],[frecuencia_new]]="Diaria","",IF(Tabla142[[#This Row],[frecuencia_new]]="Semanal","",IF(Tabla142[[#This Row],[frecuencia_new]]="Quincenal",RANDBETWEEN(1,2),RANDBETWEEN(1,4))))</f>
        <v/>
      </c>
      <c r="H9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5" t="s">
        <v>81</v>
      </c>
      <c r="K955">
        <f>SUM(MID(Tabla142[[#This Row],[Duración]],1,2)*60,MID(Tabla142[[#This Row],[Duración]],6,2))</f>
        <v>15</v>
      </c>
      <c r="L955" s="4" t="s">
        <v>77</v>
      </c>
      <c r="M955" t="s">
        <v>239</v>
      </c>
      <c r="N955" t="s">
        <v>240</v>
      </c>
      <c r="O955" t="s">
        <v>382</v>
      </c>
      <c r="P955" t="s">
        <v>363</v>
      </c>
      <c r="Q955" s="20">
        <v>46032.649155092593</v>
      </c>
      <c r="R955" t="s">
        <v>8</v>
      </c>
      <c r="T955" t="s">
        <v>491</v>
      </c>
    </row>
    <row r="956" spans="1:20" ht="15" customHeight="1" x14ac:dyDescent="0.25">
      <c r="A956">
        <f t="shared" si="14"/>
        <v>80</v>
      </c>
      <c r="B956" t="s">
        <v>1588</v>
      </c>
      <c r="C956" t="s">
        <v>47</v>
      </c>
      <c r="D956">
        <v>42</v>
      </c>
      <c r="E9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56">
        <f ca="1">IF(Tabla142[[#This Row],[frecuencia_new]]="Diaria"," ",RANDBETWEEN(1,6))</f>
        <v>4</v>
      </c>
      <c r="G956" t="str">
        <f ca="1">IF(Tabla142[[#This Row],[frecuencia_new]]="Diaria","",IF(Tabla142[[#This Row],[frecuencia_new]]="Semanal","",IF(Tabla142[[#This Row],[frecuencia_new]]="Quincenal",RANDBETWEEN(1,2),RANDBETWEEN(1,4))))</f>
        <v/>
      </c>
      <c r="H9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56" t="s">
        <v>57</v>
      </c>
      <c r="K956">
        <f>SUM(MID(Tabla142[[#This Row],[Duración]],1,2)*60,MID(Tabla142[[#This Row],[Duración]],6,2))</f>
        <v>15</v>
      </c>
      <c r="L956" s="4" t="s">
        <v>77</v>
      </c>
      <c r="M956" t="s">
        <v>239</v>
      </c>
      <c r="N956" t="s">
        <v>240</v>
      </c>
      <c r="O956" t="s">
        <v>382</v>
      </c>
      <c r="P956" t="s">
        <v>363</v>
      </c>
      <c r="Q956" s="20">
        <v>46032.649155092593</v>
      </c>
      <c r="R956" t="s">
        <v>8</v>
      </c>
      <c r="T956" t="s">
        <v>491</v>
      </c>
    </row>
    <row r="957" spans="1:20" ht="15" customHeight="1" x14ac:dyDescent="0.25">
      <c r="A957">
        <f t="shared" si="14"/>
        <v>136</v>
      </c>
      <c r="B957" t="s">
        <v>1589</v>
      </c>
      <c r="C957" t="s">
        <v>47</v>
      </c>
      <c r="D957">
        <v>42</v>
      </c>
      <c r="E9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57">
        <f ca="1">IF(Tabla142[[#This Row],[frecuencia_new]]="Diaria"," ",RANDBETWEEN(1,6))</f>
        <v>6</v>
      </c>
      <c r="G957">
        <f ca="1">IF(Tabla142[[#This Row],[frecuencia_new]]="Diaria","",IF(Tabla142[[#This Row],[frecuencia_new]]="Semanal","",IF(Tabla142[[#This Row],[frecuencia_new]]="Quincenal",RANDBETWEEN(1,2),RANDBETWEEN(1,4))))</f>
        <v>3</v>
      </c>
      <c r="H957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957" t="s">
        <v>46</v>
      </c>
      <c r="K957">
        <f>SUM(MID(Tabla142[[#This Row],[Duración]],1,2)*60,MID(Tabla142[[#This Row],[Duración]],6,2))</f>
        <v>30</v>
      </c>
      <c r="L957" s="4" t="s">
        <v>48</v>
      </c>
      <c r="M957" t="s">
        <v>239</v>
      </c>
      <c r="N957" t="s">
        <v>240</v>
      </c>
      <c r="O957" t="s">
        <v>380</v>
      </c>
      <c r="P957" t="s">
        <v>360</v>
      </c>
      <c r="Q957" s="20">
        <v>46032.649155092593</v>
      </c>
      <c r="R957" t="s">
        <v>5</v>
      </c>
      <c r="T957" t="s">
        <v>547</v>
      </c>
    </row>
    <row r="958" spans="1:20" ht="15" customHeight="1" x14ac:dyDescent="0.25">
      <c r="A958">
        <f t="shared" si="14"/>
        <v>136</v>
      </c>
      <c r="B958" t="s">
        <v>1590</v>
      </c>
      <c r="C958" t="s">
        <v>47</v>
      </c>
      <c r="D958">
        <v>42</v>
      </c>
      <c r="E9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58">
        <f ca="1">IF(Tabla142[[#This Row],[frecuencia_new]]="Diaria"," ",RANDBETWEEN(1,6))</f>
        <v>2</v>
      </c>
      <c r="G958">
        <f ca="1">IF(Tabla142[[#This Row],[frecuencia_new]]="Diaria","",IF(Tabla142[[#This Row],[frecuencia_new]]="Semanal","",IF(Tabla142[[#This Row],[frecuencia_new]]="Quincenal",RANDBETWEEN(1,2),RANDBETWEEN(1,4))))</f>
        <v>2</v>
      </c>
      <c r="H958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958" t="s">
        <v>52</v>
      </c>
      <c r="K958">
        <f>SUM(MID(Tabla142[[#This Row],[Duración]],1,2)*60,MID(Tabla142[[#This Row],[Duración]],6,2))</f>
        <v>30</v>
      </c>
      <c r="L958" s="4" t="s">
        <v>48</v>
      </c>
      <c r="M958" t="s">
        <v>239</v>
      </c>
      <c r="N958" t="s">
        <v>240</v>
      </c>
      <c r="O958" t="s">
        <v>380</v>
      </c>
      <c r="P958" t="s">
        <v>360</v>
      </c>
      <c r="Q958" s="20">
        <v>46032.649155092593</v>
      </c>
      <c r="R958" t="s">
        <v>5</v>
      </c>
      <c r="T958" t="s">
        <v>547</v>
      </c>
    </row>
    <row r="959" spans="1:20" ht="15" customHeight="1" x14ac:dyDescent="0.25">
      <c r="A959">
        <f t="shared" si="14"/>
        <v>136</v>
      </c>
      <c r="B959" t="s">
        <v>1591</v>
      </c>
      <c r="C959" t="s">
        <v>54</v>
      </c>
      <c r="D959">
        <v>42</v>
      </c>
      <c r="E9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59">
        <f ca="1">IF(Tabla142[[#This Row],[frecuencia_new]]="Diaria"," ",RANDBETWEEN(1,6))</f>
        <v>1</v>
      </c>
      <c r="G959">
        <f ca="1">IF(Tabla142[[#This Row],[frecuencia_new]]="Diaria","",IF(Tabla142[[#This Row],[frecuencia_new]]="Semanal","",IF(Tabla142[[#This Row],[frecuencia_new]]="Quincenal",RANDBETWEEN(1,2),RANDBETWEEN(1,4))))</f>
        <v>2</v>
      </c>
      <c r="H959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959" t="s">
        <v>53</v>
      </c>
      <c r="K959">
        <f>SUM(MID(Tabla142[[#This Row],[Duración]],1,2)*60,MID(Tabla142[[#This Row],[Duración]],6,2))</f>
        <v>30</v>
      </c>
      <c r="L959" s="4" t="s">
        <v>48</v>
      </c>
      <c r="M959" t="s">
        <v>239</v>
      </c>
      <c r="N959" t="s">
        <v>240</v>
      </c>
      <c r="O959" t="s">
        <v>380</v>
      </c>
      <c r="P959" t="s">
        <v>360</v>
      </c>
      <c r="Q959" s="20">
        <v>46032.649155092593</v>
      </c>
      <c r="R959" t="s">
        <v>5</v>
      </c>
      <c r="T959" t="s">
        <v>547</v>
      </c>
    </row>
    <row r="960" spans="1:20" ht="15" customHeight="1" x14ac:dyDescent="0.25">
      <c r="A960">
        <f t="shared" si="14"/>
        <v>136</v>
      </c>
      <c r="B960" t="s">
        <v>1592</v>
      </c>
      <c r="C960" t="s">
        <v>47</v>
      </c>
      <c r="D960">
        <v>42</v>
      </c>
      <c r="E9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60">
        <f ca="1">IF(Tabla142[[#This Row],[frecuencia_new]]="Diaria"," ",RANDBETWEEN(1,6))</f>
        <v>1</v>
      </c>
      <c r="G960">
        <f ca="1">IF(Tabla142[[#This Row],[frecuencia_new]]="Diaria","",IF(Tabla142[[#This Row],[frecuencia_new]]="Semanal","",IF(Tabla142[[#This Row],[frecuencia_new]]="Quincenal",RANDBETWEEN(1,2),RANDBETWEEN(1,4))))</f>
        <v>1</v>
      </c>
      <c r="H960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60" t="s">
        <v>64</v>
      </c>
      <c r="K960">
        <f>SUM(MID(Tabla142[[#This Row],[Duración]],1,2)*60,MID(Tabla142[[#This Row],[Duración]],6,2))</f>
        <v>30</v>
      </c>
      <c r="L960" s="4" t="s">
        <v>48</v>
      </c>
      <c r="M960" t="s">
        <v>239</v>
      </c>
      <c r="N960" t="s">
        <v>240</v>
      </c>
      <c r="O960" t="s">
        <v>380</v>
      </c>
      <c r="P960" t="s">
        <v>360</v>
      </c>
      <c r="Q960" s="20">
        <v>46032.649155092593</v>
      </c>
      <c r="R960" t="s">
        <v>5</v>
      </c>
      <c r="T960" t="s">
        <v>547</v>
      </c>
    </row>
    <row r="961" spans="1:20" ht="15" customHeight="1" x14ac:dyDescent="0.25">
      <c r="A961">
        <f t="shared" si="14"/>
        <v>32</v>
      </c>
      <c r="B961" t="s">
        <v>1593</v>
      </c>
      <c r="C961" t="s">
        <v>47</v>
      </c>
      <c r="D961">
        <v>43</v>
      </c>
      <c r="E9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61">
        <f ca="1">IF(Tabla142[[#This Row],[frecuencia_new]]="Diaria"," ",RANDBETWEEN(1,6))</f>
        <v>4</v>
      </c>
      <c r="G961">
        <f ca="1">IF(Tabla142[[#This Row],[frecuencia_new]]="Diaria","",IF(Tabla142[[#This Row],[frecuencia_new]]="Semanal","",IF(Tabla142[[#This Row],[frecuencia_new]]="Quincenal",RANDBETWEEN(1,2),RANDBETWEEN(1,4))))</f>
        <v>4</v>
      </c>
      <c r="H961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961" t="s">
        <v>46</v>
      </c>
      <c r="K961">
        <f>SUM(MID(Tabla142[[#This Row],[Duración]],1,2)*60,MID(Tabla142[[#This Row],[Duración]],6,2))</f>
        <v>30</v>
      </c>
      <c r="L961" s="4" t="s">
        <v>48</v>
      </c>
      <c r="M961" t="s">
        <v>239</v>
      </c>
      <c r="N961" t="s">
        <v>240</v>
      </c>
      <c r="O961" t="s">
        <v>384</v>
      </c>
      <c r="P961" t="s">
        <v>360</v>
      </c>
      <c r="Q961" s="20">
        <v>46032.649155092593</v>
      </c>
      <c r="R961" t="s">
        <v>5</v>
      </c>
      <c r="T961" t="s">
        <v>443</v>
      </c>
    </row>
    <row r="962" spans="1:20" ht="15" customHeight="1" x14ac:dyDescent="0.25">
      <c r="A962">
        <f t="shared" ref="A962:A1025" si="15">VLOOKUP(T962,$V$2:$W$222,2,FALSE)</f>
        <v>32</v>
      </c>
      <c r="B962" t="s">
        <v>1594</v>
      </c>
      <c r="C962" t="s">
        <v>47</v>
      </c>
      <c r="D962">
        <v>43</v>
      </c>
      <c r="E9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62">
        <f ca="1">IF(Tabla142[[#This Row],[frecuencia_new]]="Diaria"," ",RANDBETWEEN(1,6))</f>
        <v>6</v>
      </c>
      <c r="G962">
        <f ca="1">IF(Tabla142[[#This Row],[frecuencia_new]]="Diaria","",IF(Tabla142[[#This Row],[frecuencia_new]]="Semanal","",IF(Tabla142[[#This Row],[frecuencia_new]]="Quincenal",RANDBETWEEN(1,2),RANDBETWEEN(1,4))))</f>
        <v>3</v>
      </c>
      <c r="H962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62" t="s">
        <v>52</v>
      </c>
      <c r="K962">
        <f>SUM(MID(Tabla142[[#This Row],[Duración]],1,2)*60,MID(Tabla142[[#This Row],[Duración]],6,2))</f>
        <v>30</v>
      </c>
      <c r="L962" s="4" t="s">
        <v>48</v>
      </c>
      <c r="M962" t="s">
        <v>239</v>
      </c>
      <c r="N962" t="s">
        <v>240</v>
      </c>
      <c r="O962" t="s">
        <v>384</v>
      </c>
      <c r="P962" t="s">
        <v>360</v>
      </c>
      <c r="Q962" s="20">
        <v>46032.649155092593</v>
      </c>
      <c r="R962" t="s">
        <v>5</v>
      </c>
      <c r="T962" t="s">
        <v>443</v>
      </c>
    </row>
    <row r="963" spans="1:20" ht="15" customHeight="1" x14ac:dyDescent="0.25">
      <c r="A963">
        <f t="shared" si="15"/>
        <v>32</v>
      </c>
      <c r="B963" t="s">
        <v>1595</v>
      </c>
      <c r="C963" t="s">
        <v>54</v>
      </c>
      <c r="D963">
        <v>43</v>
      </c>
      <c r="E9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63">
        <f ca="1">IF(Tabla142[[#This Row],[frecuencia_new]]="Diaria"," ",RANDBETWEEN(1,6))</f>
        <v>4</v>
      </c>
      <c r="G963">
        <f ca="1">IF(Tabla142[[#This Row],[frecuencia_new]]="Diaria","",IF(Tabla142[[#This Row],[frecuencia_new]]="Semanal","",IF(Tabla142[[#This Row],[frecuencia_new]]="Quincenal",RANDBETWEEN(1,2),RANDBETWEEN(1,4))))</f>
        <v>1</v>
      </c>
      <c r="H963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963" t="s">
        <v>53</v>
      </c>
      <c r="K963">
        <f>SUM(MID(Tabla142[[#This Row],[Duración]],1,2)*60,MID(Tabla142[[#This Row],[Duración]],6,2))</f>
        <v>30</v>
      </c>
      <c r="L963" s="4" t="s">
        <v>48</v>
      </c>
      <c r="M963" t="s">
        <v>239</v>
      </c>
      <c r="N963" t="s">
        <v>240</v>
      </c>
      <c r="O963" t="s">
        <v>384</v>
      </c>
      <c r="P963" t="s">
        <v>360</v>
      </c>
      <c r="Q963" s="20">
        <v>46032.649155092593</v>
      </c>
      <c r="R963" t="s">
        <v>5</v>
      </c>
      <c r="T963" t="s">
        <v>443</v>
      </c>
    </row>
    <row r="964" spans="1:20" ht="15" customHeight="1" x14ac:dyDescent="0.25">
      <c r="A964">
        <f t="shared" si="15"/>
        <v>32</v>
      </c>
      <c r="B964" t="s">
        <v>1596</v>
      </c>
      <c r="C964" t="s">
        <v>47</v>
      </c>
      <c r="D964">
        <v>43</v>
      </c>
      <c r="E9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64">
        <f ca="1">IF(Tabla142[[#This Row],[frecuencia_new]]="Diaria"," ",RANDBETWEEN(1,6))</f>
        <v>4</v>
      </c>
      <c r="G964">
        <f ca="1">IF(Tabla142[[#This Row],[frecuencia_new]]="Diaria","",IF(Tabla142[[#This Row],[frecuencia_new]]="Semanal","",IF(Tabla142[[#This Row],[frecuencia_new]]="Quincenal",RANDBETWEEN(1,2),RANDBETWEEN(1,4))))</f>
        <v>4</v>
      </c>
      <c r="H964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964" t="s">
        <v>64</v>
      </c>
      <c r="K964">
        <f>SUM(MID(Tabla142[[#This Row],[Duración]],1,2)*60,MID(Tabla142[[#This Row],[Duración]],6,2))</f>
        <v>30</v>
      </c>
      <c r="L964" s="4" t="s">
        <v>48</v>
      </c>
      <c r="M964" t="s">
        <v>239</v>
      </c>
      <c r="N964" t="s">
        <v>240</v>
      </c>
      <c r="O964" t="s">
        <v>384</v>
      </c>
      <c r="P964" t="s">
        <v>360</v>
      </c>
      <c r="Q964" s="20">
        <v>46032.649155092593</v>
      </c>
      <c r="R964" t="s">
        <v>5</v>
      </c>
      <c r="T964" t="s">
        <v>443</v>
      </c>
    </row>
    <row r="965" spans="1:20" ht="15" customHeight="1" x14ac:dyDescent="0.25">
      <c r="A965">
        <f t="shared" si="15"/>
        <v>81</v>
      </c>
      <c r="B965" t="s">
        <v>1597</v>
      </c>
      <c r="C965" t="s">
        <v>47</v>
      </c>
      <c r="D965">
        <v>43</v>
      </c>
      <c r="E9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65">
        <f ca="1">IF(Tabla142[[#This Row],[frecuencia_new]]="Diaria"," ",RANDBETWEEN(1,6))</f>
        <v>5</v>
      </c>
      <c r="G965">
        <f ca="1">IF(Tabla142[[#This Row],[frecuencia_new]]="Diaria","",IF(Tabla142[[#This Row],[frecuencia_new]]="Semanal","",IF(Tabla142[[#This Row],[frecuencia_new]]="Quincenal",RANDBETWEEN(1,2),RANDBETWEEN(1,4))))</f>
        <v>1</v>
      </c>
      <c r="H9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65" t="s">
        <v>66</v>
      </c>
      <c r="K965">
        <f>SUM(MID(Tabla142[[#This Row],[Duración]],1,2)*60,MID(Tabla142[[#This Row],[Duración]],6,2))</f>
        <v>15</v>
      </c>
      <c r="L965" s="4" t="s">
        <v>77</v>
      </c>
      <c r="M965" t="s">
        <v>239</v>
      </c>
      <c r="N965" t="s">
        <v>240</v>
      </c>
      <c r="O965" t="s">
        <v>382</v>
      </c>
      <c r="P965" t="s">
        <v>363</v>
      </c>
      <c r="Q965" s="20">
        <v>46032.649155092593</v>
      </c>
      <c r="R965" t="s">
        <v>7</v>
      </c>
      <c r="T965" t="s">
        <v>492</v>
      </c>
    </row>
    <row r="966" spans="1:20" ht="15" customHeight="1" x14ac:dyDescent="0.25">
      <c r="A966">
        <f t="shared" si="15"/>
        <v>81</v>
      </c>
      <c r="B966" t="s">
        <v>1598</v>
      </c>
      <c r="C966" t="s">
        <v>47</v>
      </c>
      <c r="D966">
        <v>43</v>
      </c>
      <c r="E9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66" t="str">
        <f ca="1">IF(Tabla142[[#This Row],[frecuencia_new]]="Diaria"," ",RANDBETWEEN(1,6))</f>
        <v xml:space="preserve"> </v>
      </c>
      <c r="G966" t="str">
        <f ca="1">IF(Tabla142[[#This Row],[frecuencia_new]]="Diaria","",IF(Tabla142[[#This Row],[frecuencia_new]]="Semanal","",IF(Tabla142[[#This Row],[frecuencia_new]]="Quincenal",RANDBETWEEN(1,2),RANDBETWEEN(1,4))))</f>
        <v/>
      </c>
      <c r="H9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66" t="s">
        <v>78</v>
      </c>
      <c r="K966">
        <f>SUM(MID(Tabla142[[#This Row],[Duración]],1,2)*60,MID(Tabla142[[#This Row],[Duración]],6,2))</f>
        <v>5</v>
      </c>
      <c r="L966" s="4" t="s">
        <v>50</v>
      </c>
      <c r="M966" t="s">
        <v>239</v>
      </c>
      <c r="N966" t="s">
        <v>240</v>
      </c>
      <c r="O966" t="s">
        <v>382</v>
      </c>
      <c r="P966" t="s">
        <v>363</v>
      </c>
      <c r="Q966" s="20">
        <v>46032.649155092593</v>
      </c>
      <c r="R966" t="s">
        <v>6</v>
      </c>
      <c r="T966" t="s">
        <v>492</v>
      </c>
    </row>
    <row r="967" spans="1:20" ht="15" customHeight="1" x14ac:dyDescent="0.25">
      <c r="A967">
        <f t="shared" si="15"/>
        <v>81</v>
      </c>
      <c r="B967" t="s">
        <v>1599</v>
      </c>
      <c r="C967" t="s">
        <v>47</v>
      </c>
      <c r="D967">
        <v>43</v>
      </c>
      <c r="E9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67">
        <f ca="1">IF(Tabla142[[#This Row],[frecuencia_new]]="Diaria"," ",RANDBETWEEN(1,6))</f>
        <v>4</v>
      </c>
      <c r="G967">
        <f ca="1">IF(Tabla142[[#This Row],[frecuencia_new]]="Diaria","",IF(Tabla142[[#This Row],[frecuencia_new]]="Semanal","",IF(Tabla142[[#This Row],[frecuencia_new]]="Quincenal",RANDBETWEEN(1,2),RANDBETWEEN(1,4))))</f>
        <v>2</v>
      </c>
      <c r="H9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67" t="s">
        <v>79</v>
      </c>
      <c r="K967">
        <f>SUM(MID(Tabla142[[#This Row],[Duración]],1,2)*60,MID(Tabla142[[#This Row],[Duración]],6,2))</f>
        <v>30</v>
      </c>
      <c r="L967" s="4" t="s">
        <v>48</v>
      </c>
      <c r="M967" t="s">
        <v>239</v>
      </c>
      <c r="N967" t="s">
        <v>240</v>
      </c>
      <c r="O967" t="s">
        <v>382</v>
      </c>
      <c r="P967" t="s">
        <v>363</v>
      </c>
      <c r="Q967" s="20">
        <v>46032.649155092593</v>
      </c>
      <c r="R967" t="s">
        <v>7</v>
      </c>
      <c r="T967" t="s">
        <v>492</v>
      </c>
    </row>
    <row r="968" spans="1:20" ht="15" customHeight="1" x14ac:dyDescent="0.25">
      <c r="A968">
        <f t="shared" si="15"/>
        <v>81</v>
      </c>
      <c r="B968" t="s">
        <v>1600</v>
      </c>
      <c r="C968" t="s">
        <v>47</v>
      </c>
      <c r="D968">
        <v>43</v>
      </c>
      <c r="E9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68">
        <f ca="1">IF(Tabla142[[#This Row],[frecuencia_new]]="Diaria"," ",RANDBETWEEN(1,6))</f>
        <v>4</v>
      </c>
      <c r="G968" t="str">
        <f ca="1">IF(Tabla142[[#This Row],[frecuencia_new]]="Diaria","",IF(Tabla142[[#This Row],[frecuencia_new]]="Semanal","",IF(Tabla142[[#This Row],[frecuencia_new]]="Quincenal",RANDBETWEEN(1,2),RANDBETWEEN(1,4))))</f>
        <v/>
      </c>
      <c r="H9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68" t="s">
        <v>80</v>
      </c>
      <c r="K968">
        <f>SUM(MID(Tabla142[[#This Row],[Duración]],1,2)*60,MID(Tabla142[[#This Row],[Duración]],6,2))</f>
        <v>30</v>
      </c>
      <c r="L968" s="4" t="s">
        <v>48</v>
      </c>
      <c r="M968" t="s">
        <v>239</v>
      </c>
      <c r="N968" t="s">
        <v>240</v>
      </c>
      <c r="O968" t="s">
        <v>382</v>
      </c>
      <c r="P968" t="s">
        <v>363</v>
      </c>
      <c r="Q968" s="20">
        <v>46032.649155092593</v>
      </c>
      <c r="R968" t="s">
        <v>8</v>
      </c>
      <c r="T968" t="s">
        <v>492</v>
      </c>
    </row>
    <row r="969" spans="1:20" ht="15" customHeight="1" x14ac:dyDescent="0.25">
      <c r="A969">
        <f t="shared" si="15"/>
        <v>81</v>
      </c>
      <c r="B969" t="s">
        <v>1601</v>
      </c>
      <c r="C969" t="s">
        <v>47</v>
      </c>
      <c r="D969">
        <v>43</v>
      </c>
      <c r="E9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69">
        <f ca="1">IF(Tabla142[[#This Row],[frecuencia_new]]="Diaria"," ",RANDBETWEEN(1,6))</f>
        <v>5</v>
      </c>
      <c r="G969" t="str">
        <f ca="1">IF(Tabla142[[#This Row],[frecuencia_new]]="Diaria","",IF(Tabla142[[#This Row],[frecuencia_new]]="Semanal","",IF(Tabla142[[#This Row],[frecuencia_new]]="Quincenal",RANDBETWEEN(1,2),RANDBETWEEN(1,4))))</f>
        <v/>
      </c>
      <c r="H9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69" t="s">
        <v>81</v>
      </c>
      <c r="K969">
        <f>SUM(MID(Tabla142[[#This Row],[Duración]],1,2)*60,MID(Tabla142[[#This Row],[Duración]],6,2))</f>
        <v>15</v>
      </c>
      <c r="L969" s="4" t="s">
        <v>77</v>
      </c>
      <c r="M969" t="s">
        <v>239</v>
      </c>
      <c r="N969" t="s">
        <v>240</v>
      </c>
      <c r="O969" t="s">
        <v>382</v>
      </c>
      <c r="P969" t="s">
        <v>363</v>
      </c>
      <c r="Q969" s="20">
        <v>46032.649155092593</v>
      </c>
      <c r="R969" t="s">
        <v>8</v>
      </c>
      <c r="T969" t="s">
        <v>492</v>
      </c>
    </row>
    <row r="970" spans="1:20" ht="15" customHeight="1" x14ac:dyDescent="0.25">
      <c r="A970">
        <f t="shared" si="15"/>
        <v>81</v>
      </c>
      <c r="B970" t="s">
        <v>1602</v>
      </c>
      <c r="C970" t="s">
        <v>47</v>
      </c>
      <c r="D970">
        <v>43</v>
      </c>
      <c r="E9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70">
        <f ca="1">IF(Tabla142[[#This Row],[frecuencia_new]]="Diaria"," ",RANDBETWEEN(1,6))</f>
        <v>1</v>
      </c>
      <c r="G970" t="str">
        <f ca="1">IF(Tabla142[[#This Row],[frecuencia_new]]="Diaria","",IF(Tabla142[[#This Row],[frecuencia_new]]="Semanal","",IF(Tabla142[[#This Row],[frecuencia_new]]="Quincenal",RANDBETWEEN(1,2),RANDBETWEEN(1,4))))</f>
        <v/>
      </c>
      <c r="H97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70" t="s">
        <v>57</v>
      </c>
      <c r="K970">
        <f>SUM(MID(Tabla142[[#This Row],[Duración]],1,2)*60,MID(Tabla142[[#This Row],[Duración]],6,2))</f>
        <v>15</v>
      </c>
      <c r="L970" s="4" t="s">
        <v>77</v>
      </c>
      <c r="M970" t="s">
        <v>239</v>
      </c>
      <c r="N970" t="s">
        <v>240</v>
      </c>
      <c r="O970" t="s">
        <v>382</v>
      </c>
      <c r="P970" t="s">
        <v>363</v>
      </c>
      <c r="Q970" s="20">
        <v>46032.649155092593</v>
      </c>
      <c r="R970" t="s">
        <v>8</v>
      </c>
      <c r="T970" t="s">
        <v>492</v>
      </c>
    </row>
    <row r="971" spans="1:20" ht="15" customHeight="1" x14ac:dyDescent="0.25">
      <c r="A971">
        <f t="shared" si="15"/>
        <v>3</v>
      </c>
      <c r="B971" t="s">
        <v>1603</v>
      </c>
      <c r="C971" t="s">
        <v>47</v>
      </c>
      <c r="D971">
        <v>49</v>
      </c>
      <c r="E9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71" t="str">
        <f ca="1">IF(Tabla142[[#This Row],[frecuencia_new]]="Diaria"," ",RANDBETWEEN(1,6))</f>
        <v xml:space="preserve"> </v>
      </c>
      <c r="G971" t="str">
        <f ca="1">IF(Tabla142[[#This Row],[frecuencia_new]]="Diaria","",IF(Tabla142[[#This Row],[frecuencia_new]]="Semanal","",IF(Tabla142[[#This Row],[frecuencia_new]]="Quincenal",RANDBETWEEN(1,2),RANDBETWEEN(1,4))))</f>
        <v/>
      </c>
      <c r="H97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71" t="s">
        <v>136</v>
      </c>
      <c r="K971">
        <f>SUM(MID(Tabla142[[#This Row],[Duración]],1,2)*60,MID(Tabla142[[#This Row],[Duración]],6,2))</f>
        <v>2</v>
      </c>
      <c r="L971" s="4" t="s">
        <v>60</v>
      </c>
      <c r="M971" t="s">
        <v>239</v>
      </c>
      <c r="N971" t="s">
        <v>240</v>
      </c>
      <c r="O971" t="s">
        <v>381</v>
      </c>
      <c r="P971" t="s">
        <v>361</v>
      </c>
      <c r="Q971" s="20">
        <v>46032.649155092593</v>
      </c>
      <c r="R971" t="s">
        <v>6</v>
      </c>
      <c r="T971" t="s">
        <v>414</v>
      </c>
    </row>
    <row r="972" spans="1:20" ht="15" customHeight="1" x14ac:dyDescent="0.25">
      <c r="A972">
        <f t="shared" si="15"/>
        <v>3</v>
      </c>
      <c r="B972" t="s">
        <v>1604</v>
      </c>
      <c r="C972" t="s">
        <v>47</v>
      </c>
      <c r="D972">
        <v>49</v>
      </c>
      <c r="E9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72" t="str">
        <f ca="1">IF(Tabla142[[#This Row],[frecuencia_new]]="Diaria"," ",RANDBETWEEN(1,6))</f>
        <v xml:space="preserve"> </v>
      </c>
      <c r="G972" t="str">
        <f ca="1">IF(Tabla142[[#This Row],[frecuencia_new]]="Diaria","",IF(Tabla142[[#This Row],[frecuencia_new]]="Semanal","",IF(Tabla142[[#This Row],[frecuencia_new]]="Quincenal",RANDBETWEEN(1,2),RANDBETWEEN(1,4))))</f>
        <v/>
      </c>
      <c r="H9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72" t="s">
        <v>139</v>
      </c>
      <c r="K972">
        <f>SUM(MID(Tabla142[[#This Row],[Duración]],1,2)*60,MID(Tabla142[[#This Row],[Duración]],6,2))</f>
        <v>2</v>
      </c>
      <c r="L972" s="4" t="s">
        <v>60</v>
      </c>
      <c r="M972" t="s">
        <v>239</v>
      </c>
      <c r="N972" t="s">
        <v>240</v>
      </c>
      <c r="O972" t="s">
        <v>381</v>
      </c>
      <c r="P972" t="s">
        <v>361</v>
      </c>
      <c r="Q972" s="20">
        <v>46032.649155092593</v>
      </c>
      <c r="R972" t="s">
        <v>6</v>
      </c>
      <c r="T972" t="s">
        <v>414</v>
      </c>
    </row>
    <row r="973" spans="1:20" ht="15" customHeight="1" x14ac:dyDescent="0.25">
      <c r="A973">
        <f t="shared" si="15"/>
        <v>3</v>
      </c>
      <c r="B973" t="s">
        <v>1605</v>
      </c>
      <c r="C973" t="s">
        <v>47</v>
      </c>
      <c r="D973">
        <v>49</v>
      </c>
      <c r="E9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973" t="str">
        <f ca="1">IF(Tabla142[[#This Row],[frecuencia_new]]="Diaria"," ",RANDBETWEEN(1,6))</f>
        <v xml:space="preserve"> </v>
      </c>
      <c r="G973" t="str">
        <f ca="1">IF(Tabla142[[#This Row],[frecuencia_new]]="Diaria","",IF(Tabla142[[#This Row],[frecuencia_new]]="Semanal","",IF(Tabla142[[#This Row],[frecuencia_new]]="Quincenal",RANDBETWEEN(1,2),RANDBETWEEN(1,4))))</f>
        <v/>
      </c>
      <c r="H97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73" t="s">
        <v>372</v>
      </c>
      <c r="K973">
        <f>SUM(MID(Tabla142[[#This Row],[Duración]],1,2)*60,MID(Tabla142[[#This Row],[Duración]],6,2))</f>
        <v>2</v>
      </c>
      <c r="L973" s="4" t="s">
        <v>60</v>
      </c>
      <c r="M973" t="s">
        <v>239</v>
      </c>
      <c r="N973" t="s">
        <v>240</v>
      </c>
      <c r="O973" t="s">
        <v>381</v>
      </c>
      <c r="P973" t="s">
        <v>361</v>
      </c>
      <c r="Q973" s="20">
        <v>46032.649155092593</v>
      </c>
      <c r="R973" t="s">
        <v>6</v>
      </c>
      <c r="T973" t="s">
        <v>414</v>
      </c>
    </row>
    <row r="974" spans="1:20" ht="15" customHeight="1" x14ac:dyDescent="0.25">
      <c r="A974">
        <f t="shared" si="15"/>
        <v>35</v>
      </c>
      <c r="B974" t="s">
        <v>1606</v>
      </c>
      <c r="C974" t="s">
        <v>47</v>
      </c>
      <c r="D974">
        <v>49</v>
      </c>
      <c r="E9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74">
        <f ca="1">IF(Tabla142[[#This Row],[frecuencia_new]]="Diaria"," ",RANDBETWEEN(1,6))</f>
        <v>1</v>
      </c>
      <c r="G974">
        <f ca="1">IF(Tabla142[[#This Row],[frecuencia_new]]="Diaria","",IF(Tabla142[[#This Row],[frecuencia_new]]="Semanal","",IF(Tabla142[[#This Row],[frecuencia_new]]="Quincenal",RANDBETWEEN(1,2),RANDBETWEEN(1,4))))</f>
        <v>2</v>
      </c>
      <c r="H974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74" t="s">
        <v>116</v>
      </c>
      <c r="K974">
        <f>SUM(MID(Tabla142[[#This Row],[Duración]],1,2)*60,MID(Tabla142[[#This Row],[Duración]],6,2))</f>
        <v>60</v>
      </c>
      <c r="L974" s="4" t="s">
        <v>58</v>
      </c>
      <c r="M974" t="s">
        <v>239</v>
      </c>
      <c r="N974" t="s">
        <v>240</v>
      </c>
      <c r="O974" t="s">
        <v>384</v>
      </c>
      <c r="P974" t="s">
        <v>360</v>
      </c>
      <c r="Q974" s="20">
        <v>46032.649155092593</v>
      </c>
      <c r="R974" t="s">
        <v>5</v>
      </c>
      <c r="T974" t="s">
        <v>446</v>
      </c>
    </row>
    <row r="975" spans="1:20" ht="15" customHeight="1" x14ac:dyDescent="0.25">
      <c r="A975">
        <f t="shared" si="15"/>
        <v>35</v>
      </c>
      <c r="B975" t="s">
        <v>1607</v>
      </c>
      <c r="C975" t="s">
        <v>47</v>
      </c>
      <c r="D975">
        <v>49</v>
      </c>
      <c r="E9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75">
        <f ca="1">IF(Tabla142[[#This Row],[frecuencia_new]]="Diaria"," ",RANDBETWEEN(1,6))</f>
        <v>4</v>
      </c>
      <c r="G975">
        <f ca="1">IF(Tabla142[[#This Row],[frecuencia_new]]="Diaria","",IF(Tabla142[[#This Row],[frecuencia_new]]="Semanal","",IF(Tabla142[[#This Row],[frecuencia_new]]="Quincenal",RANDBETWEEN(1,2),RANDBETWEEN(1,4))))</f>
        <v>4</v>
      </c>
      <c r="H975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975" t="s">
        <v>46</v>
      </c>
      <c r="K975">
        <f>SUM(MID(Tabla142[[#This Row],[Duración]],1,2)*60,MID(Tabla142[[#This Row],[Duración]],6,2))</f>
        <v>90</v>
      </c>
      <c r="L975" s="4" t="s">
        <v>96</v>
      </c>
      <c r="M975" t="s">
        <v>239</v>
      </c>
      <c r="N975" t="s">
        <v>240</v>
      </c>
      <c r="O975" t="s">
        <v>384</v>
      </c>
      <c r="P975" t="s">
        <v>360</v>
      </c>
      <c r="Q975" s="20">
        <v>46032.649155092593</v>
      </c>
      <c r="R975" t="s">
        <v>5</v>
      </c>
      <c r="T975" t="s">
        <v>446</v>
      </c>
    </row>
    <row r="976" spans="1:20" ht="15" customHeight="1" x14ac:dyDescent="0.25">
      <c r="A976">
        <f t="shared" si="15"/>
        <v>35</v>
      </c>
      <c r="B976" t="s">
        <v>1608</v>
      </c>
      <c r="C976" t="s">
        <v>47</v>
      </c>
      <c r="D976">
        <v>49</v>
      </c>
      <c r="E9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76">
        <f ca="1">IF(Tabla142[[#This Row],[frecuencia_new]]="Diaria"," ",RANDBETWEEN(1,6))</f>
        <v>3</v>
      </c>
      <c r="G976">
        <f ca="1">IF(Tabla142[[#This Row],[frecuencia_new]]="Diaria","",IF(Tabla142[[#This Row],[frecuencia_new]]="Semanal","",IF(Tabla142[[#This Row],[frecuencia_new]]="Quincenal",RANDBETWEEN(1,2),RANDBETWEEN(1,4))))</f>
        <v>4</v>
      </c>
      <c r="H97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976" t="s">
        <v>147</v>
      </c>
      <c r="K976">
        <f>SUM(MID(Tabla142[[#This Row],[Duración]],1,2)*60,MID(Tabla142[[#This Row],[Duración]],6,2))</f>
        <v>90</v>
      </c>
      <c r="L976" s="4" t="s">
        <v>96</v>
      </c>
      <c r="M976" t="s">
        <v>239</v>
      </c>
      <c r="N976" t="s">
        <v>240</v>
      </c>
      <c r="O976" t="s">
        <v>384</v>
      </c>
      <c r="P976" t="s">
        <v>360</v>
      </c>
      <c r="Q976" s="20">
        <v>46032.649155092593</v>
      </c>
      <c r="R976" t="s">
        <v>5</v>
      </c>
      <c r="T976" t="s">
        <v>446</v>
      </c>
    </row>
    <row r="977" spans="1:20" ht="15" customHeight="1" x14ac:dyDescent="0.25">
      <c r="A977">
        <f t="shared" si="15"/>
        <v>35</v>
      </c>
      <c r="B977" t="s">
        <v>1609</v>
      </c>
      <c r="C977" t="s">
        <v>47</v>
      </c>
      <c r="D977">
        <v>49</v>
      </c>
      <c r="E9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77">
        <f ca="1">IF(Tabla142[[#This Row],[frecuencia_new]]="Diaria"," ",RANDBETWEEN(1,6))</f>
        <v>2</v>
      </c>
      <c r="G977">
        <f ca="1">IF(Tabla142[[#This Row],[frecuencia_new]]="Diaria","",IF(Tabla142[[#This Row],[frecuencia_new]]="Semanal","",IF(Tabla142[[#This Row],[frecuencia_new]]="Quincenal",RANDBETWEEN(1,2),RANDBETWEEN(1,4))))</f>
        <v>4</v>
      </c>
      <c r="H977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977" t="s">
        <v>64</v>
      </c>
      <c r="K977">
        <f>SUM(MID(Tabla142[[#This Row],[Duración]],1,2)*60,MID(Tabla142[[#This Row],[Duración]],6,2))</f>
        <v>90</v>
      </c>
      <c r="L977" s="4" t="s">
        <v>96</v>
      </c>
      <c r="M977" t="s">
        <v>239</v>
      </c>
      <c r="N977" t="s">
        <v>240</v>
      </c>
      <c r="O977" t="s">
        <v>384</v>
      </c>
      <c r="P977" t="s">
        <v>360</v>
      </c>
      <c r="Q977" s="20">
        <v>46032.649155092593</v>
      </c>
      <c r="R977" t="s">
        <v>5</v>
      </c>
      <c r="T977" t="s">
        <v>446</v>
      </c>
    </row>
    <row r="978" spans="1:20" ht="15" customHeight="1" x14ac:dyDescent="0.25">
      <c r="A978">
        <f t="shared" si="15"/>
        <v>35</v>
      </c>
      <c r="B978" t="s">
        <v>1610</v>
      </c>
      <c r="C978" t="s">
        <v>54</v>
      </c>
      <c r="D978">
        <v>49</v>
      </c>
      <c r="E9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78">
        <f ca="1">IF(Tabla142[[#This Row],[frecuencia_new]]="Diaria"," ",RANDBETWEEN(1,6))</f>
        <v>2</v>
      </c>
      <c r="G978">
        <f ca="1">IF(Tabla142[[#This Row],[frecuencia_new]]="Diaria","",IF(Tabla142[[#This Row],[frecuencia_new]]="Semanal","",IF(Tabla142[[#This Row],[frecuencia_new]]="Quincenal",RANDBETWEEN(1,2),RANDBETWEEN(1,4))))</f>
        <v>2</v>
      </c>
      <c r="H978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978" t="s">
        <v>46</v>
      </c>
      <c r="K978">
        <f>SUM(MID(Tabla142[[#This Row],[Duración]],1,2)*60,MID(Tabla142[[#This Row],[Duración]],6,2))</f>
        <v>0</v>
      </c>
      <c r="L978" s="4" t="s">
        <v>89</v>
      </c>
      <c r="M978" t="s">
        <v>239</v>
      </c>
      <c r="N978" t="s">
        <v>240</v>
      </c>
      <c r="O978" t="s">
        <v>384</v>
      </c>
      <c r="P978" t="s">
        <v>360</v>
      </c>
      <c r="Q978" s="20">
        <v>46032.649155092593</v>
      </c>
      <c r="R978" t="s">
        <v>5</v>
      </c>
      <c r="T978" t="s">
        <v>446</v>
      </c>
    </row>
    <row r="979" spans="1:20" ht="15" customHeight="1" x14ac:dyDescent="0.25">
      <c r="A979">
        <f t="shared" si="15"/>
        <v>35</v>
      </c>
      <c r="B979" t="s">
        <v>1611</v>
      </c>
      <c r="C979" t="s">
        <v>54</v>
      </c>
      <c r="D979">
        <v>49</v>
      </c>
      <c r="E9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79">
        <f ca="1">IF(Tabla142[[#This Row],[frecuencia_new]]="Diaria"," ",RANDBETWEEN(1,6))</f>
        <v>1</v>
      </c>
      <c r="G979">
        <f ca="1">IF(Tabla142[[#This Row],[frecuencia_new]]="Diaria","",IF(Tabla142[[#This Row],[frecuencia_new]]="Semanal","",IF(Tabla142[[#This Row],[frecuencia_new]]="Quincenal",RANDBETWEEN(1,2),RANDBETWEEN(1,4))))</f>
        <v>1</v>
      </c>
      <c r="H979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79" t="s">
        <v>52</v>
      </c>
      <c r="K979">
        <f>SUM(MID(Tabla142[[#This Row],[Duración]],1,2)*60,MID(Tabla142[[#This Row],[Duración]],6,2))</f>
        <v>30</v>
      </c>
      <c r="L979" s="4" t="s">
        <v>48</v>
      </c>
      <c r="M979" t="s">
        <v>239</v>
      </c>
      <c r="N979" t="s">
        <v>240</v>
      </c>
      <c r="O979" t="s">
        <v>384</v>
      </c>
      <c r="P979" t="s">
        <v>360</v>
      </c>
      <c r="Q979" s="20">
        <v>46032.649155092593</v>
      </c>
      <c r="R979" t="s">
        <v>5</v>
      </c>
      <c r="T979" t="s">
        <v>446</v>
      </c>
    </row>
    <row r="980" spans="1:20" ht="15" customHeight="1" x14ac:dyDescent="0.25">
      <c r="A980">
        <f t="shared" si="15"/>
        <v>35</v>
      </c>
      <c r="B980" t="s">
        <v>1612</v>
      </c>
      <c r="C980" t="s">
        <v>47</v>
      </c>
      <c r="D980">
        <v>49</v>
      </c>
      <c r="E9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80">
        <f ca="1">IF(Tabla142[[#This Row],[frecuencia_new]]="Diaria"," ",RANDBETWEEN(1,6))</f>
        <v>3</v>
      </c>
      <c r="G980">
        <f ca="1">IF(Tabla142[[#This Row],[frecuencia_new]]="Diaria","",IF(Tabla142[[#This Row],[frecuencia_new]]="Semanal","",IF(Tabla142[[#This Row],[frecuencia_new]]="Quincenal",RANDBETWEEN(1,2),RANDBETWEEN(1,4))))</f>
        <v>3</v>
      </c>
      <c r="H980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980" t="s">
        <v>53</v>
      </c>
      <c r="K980">
        <f>SUM(MID(Tabla142[[#This Row],[Duración]],1,2)*60,MID(Tabla142[[#This Row],[Duración]],6,2))</f>
        <v>30</v>
      </c>
      <c r="L980" s="4" t="s">
        <v>48</v>
      </c>
      <c r="M980" t="s">
        <v>239</v>
      </c>
      <c r="N980" t="s">
        <v>240</v>
      </c>
      <c r="O980" t="s">
        <v>384</v>
      </c>
      <c r="P980" t="s">
        <v>360</v>
      </c>
      <c r="Q980" s="20">
        <v>46032.649155092593</v>
      </c>
      <c r="R980" t="s">
        <v>5</v>
      </c>
      <c r="T980" t="s">
        <v>446</v>
      </c>
    </row>
    <row r="981" spans="1:20" ht="15" customHeight="1" x14ac:dyDescent="0.25">
      <c r="A981">
        <f t="shared" si="15"/>
        <v>35</v>
      </c>
      <c r="B981" t="s">
        <v>1613</v>
      </c>
      <c r="C981" t="s">
        <v>47</v>
      </c>
      <c r="D981">
        <v>49</v>
      </c>
      <c r="E9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81">
        <f ca="1">IF(Tabla142[[#This Row],[frecuencia_new]]="Diaria"," ",RANDBETWEEN(1,6))</f>
        <v>5</v>
      </c>
      <c r="G981">
        <f ca="1">IF(Tabla142[[#This Row],[frecuencia_new]]="Diaria","",IF(Tabla142[[#This Row],[frecuencia_new]]="Semanal","",IF(Tabla142[[#This Row],[frecuencia_new]]="Quincenal",RANDBETWEEN(1,2),RANDBETWEEN(1,4))))</f>
        <v>4</v>
      </c>
      <c r="H981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981" t="s">
        <v>64</v>
      </c>
      <c r="K981">
        <f>SUM(MID(Tabla142[[#This Row],[Duración]],1,2)*60,MID(Tabla142[[#This Row],[Duración]],6,2))</f>
        <v>30</v>
      </c>
      <c r="L981" s="4" t="s">
        <v>48</v>
      </c>
      <c r="M981" t="s">
        <v>239</v>
      </c>
      <c r="N981" t="s">
        <v>240</v>
      </c>
      <c r="O981" t="s">
        <v>384</v>
      </c>
      <c r="P981" t="s">
        <v>360</v>
      </c>
      <c r="Q981" s="20">
        <v>46032.649155092593</v>
      </c>
      <c r="R981" t="s">
        <v>5</v>
      </c>
      <c r="T981" t="s">
        <v>446</v>
      </c>
    </row>
    <row r="982" spans="1:20" ht="15" customHeight="1" x14ac:dyDescent="0.25">
      <c r="A982">
        <f t="shared" si="15"/>
        <v>82</v>
      </c>
      <c r="B982" t="s">
        <v>1614</v>
      </c>
      <c r="C982" t="s">
        <v>47</v>
      </c>
      <c r="D982">
        <v>49</v>
      </c>
      <c r="E9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82">
        <f ca="1">IF(Tabla142[[#This Row],[frecuencia_new]]="Diaria"," ",RANDBETWEEN(1,6))</f>
        <v>2</v>
      </c>
      <c r="G982">
        <f ca="1">IF(Tabla142[[#This Row],[frecuencia_new]]="Diaria","",IF(Tabla142[[#This Row],[frecuencia_new]]="Semanal","",IF(Tabla142[[#This Row],[frecuencia_new]]="Quincenal",RANDBETWEEN(1,2),RANDBETWEEN(1,4))))</f>
        <v>4</v>
      </c>
      <c r="H9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82" t="s">
        <v>92</v>
      </c>
      <c r="K982">
        <f>SUM(MID(Tabla142[[#This Row],[Duración]],1,2)*60,MID(Tabla142[[#This Row],[Duración]],6,2))</f>
        <v>30</v>
      </c>
      <c r="L982" s="4" t="s">
        <v>48</v>
      </c>
      <c r="M982" t="s">
        <v>239</v>
      </c>
      <c r="N982" t="s">
        <v>240</v>
      </c>
      <c r="O982" t="s">
        <v>382</v>
      </c>
      <c r="P982" t="s">
        <v>363</v>
      </c>
      <c r="Q982" s="20">
        <v>46032.649155092593</v>
      </c>
      <c r="R982" t="s">
        <v>7</v>
      </c>
      <c r="T982" t="s">
        <v>493</v>
      </c>
    </row>
    <row r="983" spans="1:20" ht="15" customHeight="1" x14ac:dyDescent="0.25">
      <c r="A983">
        <f t="shared" si="15"/>
        <v>82</v>
      </c>
      <c r="B983" t="s">
        <v>1615</v>
      </c>
      <c r="C983" t="s">
        <v>47</v>
      </c>
      <c r="D983">
        <v>49</v>
      </c>
      <c r="E9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83">
        <f ca="1">IF(Tabla142[[#This Row],[frecuencia_new]]="Diaria"," ",RANDBETWEEN(1,6))</f>
        <v>2</v>
      </c>
      <c r="G983">
        <f ca="1">IF(Tabla142[[#This Row],[frecuencia_new]]="Diaria","",IF(Tabla142[[#This Row],[frecuencia_new]]="Semanal","",IF(Tabla142[[#This Row],[frecuencia_new]]="Quincenal",RANDBETWEEN(1,2),RANDBETWEEN(1,4))))</f>
        <v>3</v>
      </c>
      <c r="H9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83" t="s">
        <v>93</v>
      </c>
      <c r="K983">
        <f>SUM(MID(Tabla142[[#This Row],[Duración]],1,2)*60,MID(Tabla142[[#This Row],[Duración]],6,2))</f>
        <v>30</v>
      </c>
      <c r="L983" s="4" t="s">
        <v>48</v>
      </c>
      <c r="M983" t="s">
        <v>239</v>
      </c>
      <c r="N983" t="s">
        <v>240</v>
      </c>
      <c r="O983" t="s">
        <v>382</v>
      </c>
      <c r="P983" t="s">
        <v>363</v>
      </c>
      <c r="Q983" s="20">
        <v>46032.649155092593</v>
      </c>
      <c r="R983" t="s">
        <v>7</v>
      </c>
      <c r="T983" t="s">
        <v>493</v>
      </c>
    </row>
    <row r="984" spans="1:20" ht="15" customHeight="1" x14ac:dyDescent="0.25">
      <c r="A984">
        <f t="shared" si="15"/>
        <v>82</v>
      </c>
      <c r="B984" t="s">
        <v>1616</v>
      </c>
      <c r="C984" t="s">
        <v>47</v>
      </c>
      <c r="D984">
        <v>49</v>
      </c>
      <c r="E9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84">
        <f ca="1">IF(Tabla142[[#This Row],[frecuencia_new]]="Diaria"," ",RANDBETWEEN(1,6))</f>
        <v>5</v>
      </c>
      <c r="G984">
        <f ca="1">IF(Tabla142[[#This Row],[frecuencia_new]]="Diaria","",IF(Tabla142[[#This Row],[frecuencia_new]]="Semanal","",IF(Tabla142[[#This Row],[frecuencia_new]]="Quincenal",RANDBETWEEN(1,2),RANDBETWEEN(1,4))))</f>
        <v>2</v>
      </c>
      <c r="H9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84" t="s">
        <v>94</v>
      </c>
      <c r="K984">
        <f>SUM(MID(Tabla142[[#This Row],[Duración]],1,2)*60,MID(Tabla142[[#This Row],[Duración]],6,2))</f>
        <v>30</v>
      </c>
      <c r="L984" s="4" t="s">
        <v>48</v>
      </c>
      <c r="M984" t="s">
        <v>239</v>
      </c>
      <c r="N984" t="s">
        <v>240</v>
      </c>
      <c r="O984" t="s">
        <v>382</v>
      </c>
      <c r="P984" t="s">
        <v>363</v>
      </c>
      <c r="Q984" s="20">
        <v>46032.649155092593</v>
      </c>
      <c r="R984" t="s">
        <v>7</v>
      </c>
      <c r="T984" t="s">
        <v>493</v>
      </c>
    </row>
    <row r="985" spans="1:20" ht="15" customHeight="1" x14ac:dyDescent="0.25">
      <c r="A985">
        <f t="shared" si="15"/>
        <v>82</v>
      </c>
      <c r="B985" t="s">
        <v>1617</v>
      </c>
      <c r="C985" t="s">
        <v>47</v>
      </c>
      <c r="D985">
        <v>49</v>
      </c>
      <c r="E9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85">
        <f ca="1">IF(Tabla142[[#This Row],[frecuencia_new]]="Diaria"," ",RANDBETWEEN(1,6))</f>
        <v>3</v>
      </c>
      <c r="G985">
        <f ca="1">IF(Tabla142[[#This Row],[frecuencia_new]]="Diaria","",IF(Tabla142[[#This Row],[frecuencia_new]]="Semanal","",IF(Tabla142[[#This Row],[frecuencia_new]]="Quincenal",RANDBETWEEN(1,2),RANDBETWEEN(1,4))))</f>
        <v>2</v>
      </c>
      <c r="H9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85" t="s">
        <v>95</v>
      </c>
      <c r="K985">
        <f>SUM(MID(Tabla142[[#This Row],[Duración]],1,2)*60,MID(Tabla142[[#This Row],[Duración]],6,2))</f>
        <v>90</v>
      </c>
      <c r="L985" s="4" t="s">
        <v>96</v>
      </c>
      <c r="M985" t="s">
        <v>239</v>
      </c>
      <c r="N985" t="s">
        <v>240</v>
      </c>
      <c r="O985" t="s">
        <v>382</v>
      </c>
      <c r="P985" t="s">
        <v>363</v>
      </c>
      <c r="Q985" s="20">
        <v>46032.649155092593</v>
      </c>
      <c r="R985" t="s">
        <v>7</v>
      </c>
      <c r="T985" t="s">
        <v>493</v>
      </c>
    </row>
    <row r="986" spans="1:20" ht="15" customHeight="1" x14ac:dyDescent="0.25">
      <c r="A986">
        <f t="shared" si="15"/>
        <v>82</v>
      </c>
      <c r="B986" t="s">
        <v>1618</v>
      </c>
      <c r="C986" t="s">
        <v>47</v>
      </c>
      <c r="D986">
        <v>49</v>
      </c>
      <c r="E9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986">
        <f ca="1">IF(Tabla142[[#This Row],[frecuencia_new]]="Diaria"," ",RANDBETWEEN(1,6))</f>
        <v>5</v>
      </c>
      <c r="G986">
        <f ca="1">IF(Tabla142[[#This Row],[frecuencia_new]]="Diaria","",IF(Tabla142[[#This Row],[frecuencia_new]]="Semanal","",IF(Tabla142[[#This Row],[frecuencia_new]]="Quincenal",RANDBETWEEN(1,2),RANDBETWEEN(1,4))))</f>
        <v>4</v>
      </c>
      <c r="H986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986" t="s">
        <v>97</v>
      </c>
      <c r="K986">
        <f>SUM(MID(Tabla142[[#This Row],[Duración]],1,2)*60,MID(Tabla142[[#This Row],[Duración]],6,2))</f>
        <v>30</v>
      </c>
      <c r="L986" s="4" t="s">
        <v>48</v>
      </c>
      <c r="M986" t="s">
        <v>239</v>
      </c>
      <c r="N986" t="s">
        <v>240</v>
      </c>
      <c r="O986" t="s">
        <v>382</v>
      </c>
      <c r="P986" t="s">
        <v>363</v>
      </c>
      <c r="Q986" s="20">
        <v>46032.649155092593</v>
      </c>
      <c r="R986" t="s">
        <v>18</v>
      </c>
      <c r="T986" t="s">
        <v>493</v>
      </c>
    </row>
    <row r="987" spans="1:20" ht="15" customHeight="1" x14ac:dyDescent="0.25">
      <c r="A987">
        <f t="shared" si="15"/>
        <v>82</v>
      </c>
      <c r="B987" t="s">
        <v>1619</v>
      </c>
      <c r="C987" t="s">
        <v>54</v>
      </c>
      <c r="D987">
        <v>49</v>
      </c>
      <c r="E9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87">
        <f ca="1">IF(Tabla142[[#This Row],[frecuencia_new]]="Diaria"," ",RANDBETWEEN(1,6))</f>
        <v>3</v>
      </c>
      <c r="G987" t="str">
        <f ca="1">IF(Tabla142[[#This Row],[frecuencia_new]]="Diaria","",IF(Tabla142[[#This Row],[frecuencia_new]]="Semanal","",IF(Tabla142[[#This Row],[frecuencia_new]]="Quincenal",RANDBETWEEN(1,2),RANDBETWEEN(1,4))))</f>
        <v/>
      </c>
      <c r="H9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87" t="s">
        <v>57</v>
      </c>
      <c r="K987">
        <f>SUM(MID(Tabla142[[#This Row],[Duración]],1,2)*60,MID(Tabla142[[#This Row],[Duración]],6,2))</f>
        <v>15</v>
      </c>
      <c r="L987" s="4" t="s">
        <v>77</v>
      </c>
      <c r="M987" t="s">
        <v>239</v>
      </c>
      <c r="N987" t="s">
        <v>240</v>
      </c>
      <c r="O987" t="s">
        <v>382</v>
      </c>
      <c r="P987" t="s">
        <v>363</v>
      </c>
      <c r="Q987" s="20">
        <v>46032.649155092593</v>
      </c>
      <c r="R987" t="s">
        <v>8</v>
      </c>
      <c r="T987" t="s">
        <v>493</v>
      </c>
    </row>
    <row r="988" spans="1:20" ht="15" customHeight="1" x14ac:dyDescent="0.25">
      <c r="A988">
        <f t="shared" si="15"/>
        <v>82</v>
      </c>
      <c r="B988" t="s">
        <v>1620</v>
      </c>
      <c r="C988" t="s">
        <v>47</v>
      </c>
      <c r="D988">
        <v>49</v>
      </c>
      <c r="E9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88">
        <f ca="1">IF(Tabla142[[#This Row],[frecuencia_new]]="Diaria"," ",RANDBETWEEN(1,6))</f>
        <v>1</v>
      </c>
      <c r="G988">
        <f ca="1">IF(Tabla142[[#This Row],[frecuencia_new]]="Diaria","",IF(Tabla142[[#This Row],[frecuencia_new]]="Semanal","",IF(Tabla142[[#This Row],[frecuencia_new]]="Quincenal",RANDBETWEEN(1,2),RANDBETWEEN(1,4))))</f>
        <v>1</v>
      </c>
      <c r="H988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988" t="s">
        <v>115</v>
      </c>
      <c r="K988">
        <f>SUM(MID(Tabla142[[#This Row],[Duración]],1,2)*60,MID(Tabla142[[#This Row],[Duración]],6,2))</f>
        <v>60</v>
      </c>
      <c r="L988" s="4" t="s">
        <v>58</v>
      </c>
      <c r="M988" t="s">
        <v>239</v>
      </c>
      <c r="N988" t="s">
        <v>240</v>
      </c>
      <c r="O988" t="s">
        <v>382</v>
      </c>
      <c r="P988" t="s">
        <v>363</v>
      </c>
      <c r="Q988" s="20">
        <v>46032.649155092593</v>
      </c>
      <c r="R988" t="s">
        <v>5</v>
      </c>
      <c r="T988" t="s">
        <v>493</v>
      </c>
    </row>
    <row r="989" spans="1:20" ht="15" customHeight="1" x14ac:dyDescent="0.25">
      <c r="A989">
        <f t="shared" si="15"/>
        <v>82</v>
      </c>
      <c r="B989" t="s">
        <v>1621</v>
      </c>
      <c r="C989" t="s">
        <v>47</v>
      </c>
      <c r="D989">
        <v>49</v>
      </c>
      <c r="E9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989">
        <f ca="1">IF(Tabla142[[#This Row],[frecuencia_new]]="Diaria"," ",RANDBETWEEN(1,6))</f>
        <v>1</v>
      </c>
      <c r="G989">
        <f ca="1">IF(Tabla142[[#This Row],[frecuencia_new]]="Diaria","",IF(Tabla142[[#This Row],[frecuencia_new]]="Semanal","",IF(Tabla142[[#This Row],[frecuencia_new]]="Quincenal",RANDBETWEEN(1,2),RANDBETWEEN(1,4))))</f>
        <v>4</v>
      </c>
      <c r="H989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989" t="s">
        <v>117</v>
      </c>
      <c r="K989">
        <f>SUM(MID(Tabla142[[#This Row],[Duración]],1,2)*60,MID(Tabla142[[#This Row],[Duración]],6,2))</f>
        <v>90</v>
      </c>
      <c r="L989" s="4" t="s">
        <v>96</v>
      </c>
      <c r="M989" t="s">
        <v>239</v>
      </c>
      <c r="N989" t="s">
        <v>240</v>
      </c>
      <c r="O989" t="s">
        <v>382</v>
      </c>
      <c r="P989" t="s">
        <v>363</v>
      </c>
      <c r="Q989" s="20">
        <v>46032.649155092593</v>
      </c>
      <c r="R989" t="s">
        <v>5</v>
      </c>
      <c r="T989" t="s">
        <v>493</v>
      </c>
    </row>
    <row r="990" spans="1:20" ht="15" customHeight="1" x14ac:dyDescent="0.25">
      <c r="A990">
        <f t="shared" si="15"/>
        <v>82</v>
      </c>
      <c r="B990" t="s">
        <v>1622</v>
      </c>
      <c r="C990" t="s">
        <v>47</v>
      </c>
      <c r="D990">
        <v>49</v>
      </c>
      <c r="E9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90">
        <f ca="1">IF(Tabla142[[#This Row],[frecuencia_new]]="Diaria"," ",RANDBETWEEN(1,6))</f>
        <v>5</v>
      </c>
      <c r="G990">
        <f ca="1">IF(Tabla142[[#This Row],[frecuencia_new]]="Diaria","",IF(Tabla142[[#This Row],[frecuencia_new]]="Semanal","",IF(Tabla142[[#This Row],[frecuencia_new]]="Quincenal",RANDBETWEEN(1,2),RANDBETWEEN(1,4))))</f>
        <v>4</v>
      </c>
      <c r="H9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0" t="s">
        <v>118</v>
      </c>
      <c r="K990">
        <f>SUM(MID(Tabla142[[#This Row],[Duración]],1,2)*60,MID(Tabla142[[#This Row],[Duración]],6,2))</f>
        <v>10</v>
      </c>
      <c r="L990" s="4" t="s">
        <v>71</v>
      </c>
      <c r="M990" t="s">
        <v>239</v>
      </c>
      <c r="N990" t="s">
        <v>240</v>
      </c>
      <c r="O990" t="s">
        <v>382</v>
      </c>
      <c r="P990" t="s">
        <v>363</v>
      </c>
      <c r="Q990" s="20">
        <v>46032.649155092593</v>
      </c>
      <c r="R990" t="s">
        <v>7</v>
      </c>
      <c r="T990" t="s">
        <v>493</v>
      </c>
    </row>
    <row r="991" spans="1:20" ht="15" customHeight="1" x14ac:dyDescent="0.25">
      <c r="A991">
        <f t="shared" si="15"/>
        <v>82</v>
      </c>
      <c r="B991" t="s">
        <v>1623</v>
      </c>
      <c r="C991" t="s">
        <v>47</v>
      </c>
      <c r="D991">
        <v>49</v>
      </c>
      <c r="E9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91">
        <f ca="1">IF(Tabla142[[#This Row],[frecuencia_new]]="Diaria"," ",RANDBETWEEN(1,6))</f>
        <v>5</v>
      </c>
      <c r="G991">
        <f ca="1">IF(Tabla142[[#This Row],[frecuencia_new]]="Diaria","",IF(Tabla142[[#This Row],[frecuencia_new]]="Semanal","",IF(Tabla142[[#This Row],[frecuencia_new]]="Quincenal",RANDBETWEEN(1,2),RANDBETWEEN(1,4))))</f>
        <v>3</v>
      </c>
      <c r="H9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1" t="s">
        <v>119</v>
      </c>
      <c r="K991">
        <f>SUM(MID(Tabla142[[#This Row],[Duración]],1,2)*60,MID(Tabla142[[#This Row],[Duración]],6,2))</f>
        <v>10</v>
      </c>
      <c r="L991" s="4" t="s">
        <v>71</v>
      </c>
      <c r="M991" t="s">
        <v>239</v>
      </c>
      <c r="N991" t="s">
        <v>240</v>
      </c>
      <c r="O991" t="s">
        <v>382</v>
      </c>
      <c r="P991" t="s">
        <v>363</v>
      </c>
      <c r="Q991" s="20">
        <v>46032.649155092593</v>
      </c>
      <c r="R991" t="s">
        <v>7</v>
      </c>
      <c r="T991" t="s">
        <v>493</v>
      </c>
    </row>
    <row r="992" spans="1:20" ht="15" customHeight="1" x14ac:dyDescent="0.25">
      <c r="A992">
        <f t="shared" si="15"/>
        <v>82</v>
      </c>
      <c r="B992" t="s">
        <v>1624</v>
      </c>
      <c r="C992" t="s">
        <v>47</v>
      </c>
      <c r="D992">
        <v>49</v>
      </c>
      <c r="E9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992">
        <f ca="1">IF(Tabla142[[#This Row],[frecuencia_new]]="Diaria"," ",RANDBETWEEN(1,6))</f>
        <v>6</v>
      </c>
      <c r="G992">
        <f ca="1">IF(Tabla142[[#This Row],[frecuencia_new]]="Diaria","",IF(Tabla142[[#This Row],[frecuencia_new]]="Semanal","",IF(Tabla142[[#This Row],[frecuencia_new]]="Quincenal",RANDBETWEEN(1,2),RANDBETWEEN(1,4))))</f>
        <v>2</v>
      </c>
      <c r="H9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2" t="s">
        <v>120</v>
      </c>
      <c r="K992">
        <f>SUM(MID(Tabla142[[#This Row],[Duración]],1,2)*60,MID(Tabla142[[#This Row],[Duración]],6,2))</f>
        <v>90</v>
      </c>
      <c r="L992" s="4" t="s">
        <v>96</v>
      </c>
      <c r="M992" t="s">
        <v>239</v>
      </c>
      <c r="N992" t="s">
        <v>240</v>
      </c>
      <c r="O992" t="s">
        <v>382</v>
      </c>
      <c r="P992" t="s">
        <v>363</v>
      </c>
      <c r="Q992" s="20">
        <v>46032.649155092593</v>
      </c>
      <c r="R992" t="s">
        <v>7</v>
      </c>
      <c r="T992" t="s">
        <v>493</v>
      </c>
    </row>
    <row r="993" spans="1:20" ht="15" customHeight="1" x14ac:dyDescent="0.25">
      <c r="A993">
        <f t="shared" si="15"/>
        <v>82</v>
      </c>
      <c r="B993" t="s">
        <v>1625</v>
      </c>
      <c r="C993" t="s">
        <v>47</v>
      </c>
      <c r="D993">
        <v>49</v>
      </c>
      <c r="E9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93">
        <f ca="1">IF(Tabla142[[#This Row],[frecuencia_new]]="Diaria"," ",RANDBETWEEN(1,6))</f>
        <v>6</v>
      </c>
      <c r="G993" t="str">
        <f ca="1">IF(Tabla142[[#This Row],[frecuencia_new]]="Diaria","",IF(Tabla142[[#This Row],[frecuencia_new]]="Semanal","",IF(Tabla142[[#This Row],[frecuencia_new]]="Quincenal",RANDBETWEEN(1,2),RANDBETWEEN(1,4))))</f>
        <v/>
      </c>
      <c r="H9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3" t="s">
        <v>121</v>
      </c>
      <c r="K993">
        <f>SUM(MID(Tabla142[[#This Row],[Duración]],1,2)*60,MID(Tabla142[[#This Row],[Duración]],6,2))</f>
        <v>5</v>
      </c>
      <c r="L993" s="4" t="s">
        <v>50</v>
      </c>
      <c r="M993" t="s">
        <v>239</v>
      </c>
      <c r="N993" t="s">
        <v>240</v>
      </c>
      <c r="O993" t="s">
        <v>382</v>
      </c>
      <c r="P993" t="s">
        <v>363</v>
      </c>
      <c r="Q993" s="20">
        <v>46032.649155092593</v>
      </c>
      <c r="R993" t="s">
        <v>8</v>
      </c>
      <c r="T993" t="s">
        <v>493</v>
      </c>
    </row>
    <row r="994" spans="1:20" ht="15" customHeight="1" x14ac:dyDescent="0.25">
      <c r="A994">
        <f t="shared" si="15"/>
        <v>82</v>
      </c>
      <c r="B994" t="s">
        <v>1626</v>
      </c>
      <c r="C994" t="s">
        <v>47</v>
      </c>
      <c r="D994">
        <v>49</v>
      </c>
      <c r="E9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994">
        <f ca="1">IF(Tabla142[[#This Row],[frecuencia_new]]="Diaria"," ",RANDBETWEEN(1,6))</f>
        <v>1</v>
      </c>
      <c r="G994">
        <f ca="1">IF(Tabla142[[#This Row],[frecuencia_new]]="Diaria","",IF(Tabla142[[#This Row],[frecuencia_new]]="Semanal","",IF(Tabla142[[#This Row],[frecuencia_new]]="Quincenal",RANDBETWEEN(1,2),RANDBETWEEN(1,4))))</f>
        <v>3</v>
      </c>
      <c r="H994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994" t="s">
        <v>122</v>
      </c>
      <c r="K994">
        <f>SUM(MID(Tabla142[[#This Row],[Duración]],1,2)*60,MID(Tabla142[[#This Row],[Duración]],6,2))</f>
        <v>30</v>
      </c>
      <c r="L994" s="4" t="s">
        <v>48</v>
      </c>
      <c r="M994" t="s">
        <v>239</v>
      </c>
      <c r="N994" t="s">
        <v>240</v>
      </c>
      <c r="O994" t="s">
        <v>382</v>
      </c>
      <c r="P994" t="s">
        <v>363</v>
      </c>
      <c r="Q994" s="20">
        <v>46032.649155092593</v>
      </c>
      <c r="R994" t="s">
        <v>18</v>
      </c>
      <c r="T994" t="s">
        <v>493</v>
      </c>
    </row>
    <row r="995" spans="1:20" ht="15" customHeight="1" x14ac:dyDescent="0.25">
      <c r="A995">
        <f t="shared" si="15"/>
        <v>82</v>
      </c>
      <c r="B995" t="s">
        <v>1627</v>
      </c>
      <c r="C995" t="s">
        <v>47</v>
      </c>
      <c r="D995">
        <v>49</v>
      </c>
      <c r="E9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95">
        <f ca="1">IF(Tabla142[[#This Row],[frecuencia_new]]="Diaria"," ",RANDBETWEEN(1,6))</f>
        <v>5</v>
      </c>
      <c r="G995" t="str">
        <f ca="1">IF(Tabla142[[#This Row],[frecuencia_new]]="Diaria","",IF(Tabla142[[#This Row],[frecuencia_new]]="Semanal","",IF(Tabla142[[#This Row],[frecuencia_new]]="Quincenal",RANDBETWEEN(1,2),RANDBETWEEN(1,4))))</f>
        <v/>
      </c>
      <c r="H9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5" t="s">
        <v>123</v>
      </c>
      <c r="K995">
        <f>SUM(MID(Tabla142[[#This Row],[Duración]],1,2)*60,MID(Tabla142[[#This Row],[Duración]],6,2))</f>
        <v>5</v>
      </c>
      <c r="L995" s="4" t="s">
        <v>50</v>
      </c>
      <c r="M995" t="s">
        <v>239</v>
      </c>
      <c r="N995" t="s">
        <v>240</v>
      </c>
      <c r="O995" t="s">
        <v>382</v>
      </c>
      <c r="P995" t="s">
        <v>363</v>
      </c>
      <c r="Q995" s="20">
        <v>46032.649155092593</v>
      </c>
      <c r="R995" t="s">
        <v>8</v>
      </c>
      <c r="T995" t="s">
        <v>493</v>
      </c>
    </row>
    <row r="996" spans="1:20" ht="15" customHeight="1" x14ac:dyDescent="0.25">
      <c r="A996">
        <f t="shared" si="15"/>
        <v>82</v>
      </c>
      <c r="B996" t="s">
        <v>1628</v>
      </c>
      <c r="C996" t="s">
        <v>47</v>
      </c>
      <c r="D996">
        <v>49</v>
      </c>
      <c r="E9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96">
        <f ca="1">IF(Tabla142[[#This Row],[frecuencia_new]]="Diaria"," ",RANDBETWEEN(1,6))</f>
        <v>1</v>
      </c>
      <c r="G996" t="str">
        <f ca="1">IF(Tabla142[[#This Row],[frecuencia_new]]="Diaria","",IF(Tabla142[[#This Row],[frecuencia_new]]="Semanal","",IF(Tabla142[[#This Row],[frecuencia_new]]="Quincenal",RANDBETWEEN(1,2),RANDBETWEEN(1,4))))</f>
        <v/>
      </c>
      <c r="H9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6" t="s">
        <v>124</v>
      </c>
      <c r="K996">
        <f>SUM(MID(Tabla142[[#This Row],[Duración]],1,2)*60,MID(Tabla142[[#This Row],[Duración]],6,2))</f>
        <v>5</v>
      </c>
      <c r="L996" s="4" t="s">
        <v>50</v>
      </c>
      <c r="M996" t="s">
        <v>239</v>
      </c>
      <c r="N996" t="s">
        <v>240</v>
      </c>
      <c r="O996" t="s">
        <v>382</v>
      </c>
      <c r="P996" t="s">
        <v>363</v>
      </c>
      <c r="Q996" s="20">
        <v>46032.649155092593</v>
      </c>
      <c r="R996" t="s">
        <v>8</v>
      </c>
      <c r="T996" t="s">
        <v>493</v>
      </c>
    </row>
    <row r="997" spans="1:20" ht="15" customHeight="1" x14ac:dyDescent="0.25">
      <c r="A997">
        <f t="shared" si="15"/>
        <v>82</v>
      </c>
      <c r="B997" t="s">
        <v>1629</v>
      </c>
      <c r="C997" t="s">
        <v>47</v>
      </c>
      <c r="D997">
        <v>49</v>
      </c>
      <c r="E9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97">
        <f ca="1">IF(Tabla142[[#This Row],[frecuencia_new]]="Diaria"," ",RANDBETWEEN(1,6))</f>
        <v>2</v>
      </c>
      <c r="G997" t="str">
        <f ca="1">IF(Tabla142[[#This Row],[frecuencia_new]]="Diaria","",IF(Tabla142[[#This Row],[frecuencia_new]]="Semanal","",IF(Tabla142[[#This Row],[frecuencia_new]]="Quincenal",RANDBETWEEN(1,2),RANDBETWEEN(1,4))))</f>
        <v/>
      </c>
      <c r="H9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7" t="s">
        <v>125</v>
      </c>
      <c r="K997">
        <f>SUM(MID(Tabla142[[#This Row],[Duración]],1,2)*60,MID(Tabla142[[#This Row],[Duración]],6,2))</f>
        <v>5</v>
      </c>
      <c r="L997" s="4" t="s">
        <v>50</v>
      </c>
      <c r="M997" t="s">
        <v>239</v>
      </c>
      <c r="N997" t="s">
        <v>240</v>
      </c>
      <c r="O997" t="s">
        <v>382</v>
      </c>
      <c r="P997" t="s">
        <v>363</v>
      </c>
      <c r="Q997" s="20">
        <v>46032.649155092593</v>
      </c>
      <c r="R997" t="s">
        <v>8</v>
      </c>
      <c r="T997" t="s">
        <v>493</v>
      </c>
    </row>
    <row r="998" spans="1:20" ht="15" customHeight="1" x14ac:dyDescent="0.25">
      <c r="A998">
        <f t="shared" si="15"/>
        <v>82</v>
      </c>
      <c r="B998" t="s">
        <v>1630</v>
      </c>
      <c r="C998" t="s">
        <v>47</v>
      </c>
      <c r="D998">
        <v>49</v>
      </c>
      <c r="E9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98">
        <f ca="1">IF(Tabla142[[#This Row],[frecuencia_new]]="Diaria"," ",RANDBETWEEN(1,6))</f>
        <v>1</v>
      </c>
      <c r="G998" t="str">
        <f ca="1">IF(Tabla142[[#This Row],[frecuencia_new]]="Diaria","",IF(Tabla142[[#This Row],[frecuencia_new]]="Semanal","",IF(Tabla142[[#This Row],[frecuencia_new]]="Quincenal",RANDBETWEEN(1,2),RANDBETWEEN(1,4))))</f>
        <v/>
      </c>
      <c r="H9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8" t="s">
        <v>126</v>
      </c>
      <c r="K998">
        <f>SUM(MID(Tabla142[[#This Row],[Duración]],1,2)*60,MID(Tabla142[[#This Row],[Duración]],6,2))</f>
        <v>5</v>
      </c>
      <c r="L998" s="4" t="s">
        <v>50</v>
      </c>
      <c r="M998" t="s">
        <v>239</v>
      </c>
      <c r="N998" t="s">
        <v>240</v>
      </c>
      <c r="O998" t="s">
        <v>382</v>
      </c>
      <c r="P998" t="s">
        <v>363</v>
      </c>
      <c r="Q998" s="20">
        <v>46032.649155092593</v>
      </c>
      <c r="R998" t="s">
        <v>8</v>
      </c>
      <c r="T998" t="s">
        <v>493</v>
      </c>
    </row>
    <row r="999" spans="1:20" ht="15" customHeight="1" x14ac:dyDescent="0.25">
      <c r="A999">
        <f t="shared" si="15"/>
        <v>82</v>
      </c>
      <c r="B999" t="s">
        <v>1631</v>
      </c>
      <c r="C999" t="s">
        <v>47</v>
      </c>
      <c r="D999">
        <v>49</v>
      </c>
      <c r="E9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999">
        <f ca="1">IF(Tabla142[[#This Row],[frecuencia_new]]="Diaria"," ",RANDBETWEEN(1,6))</f>
        <v>3</v>
      </c>
      <c r="G999" t="str">
        <f ca="1">IF(Tabla142[[#This Row],[frecuencia_new]]="Diaria","",IF(Tabla142[[#This Row],[frecuencia_new]]="Semanal","",IF(Tabla142[[#This Row],[frecuencia_new]]="Quincenal",RANDBETWEEN(1,2),RANDBETWEEN(1,4))))</f>
        <v/>
      </c>
      <c r="H99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999" t="s">
        <v>127</v>
      </c>
      <c r="K999">
        <f>SUM(MID(Tabla142[[#This Row],[Duración]],1,2)*60,MID(Tabla142[[#This Row],[Duración]],6,2))</f>
        <v>5</v>
      </c>
      <c r="L999" s="4" t="s">
        <v>50</v>
      </c>
      <c r="M999" t="s">
        <v>239</v>
      </c>
      <c r="N999" t="s">
        <v>240</v>
      </c>
      <c r="O999" t="s">
        <v>382</v>
      </c>
      <c r="P999" t="s">
        <v>363</v>
      </c>
      <c r="Q999" s="20">
        <v>46032.649155092593</v>
      </c>
      <c r="R999" t="s">
        <v>8</v>
      </c>
      <c r="T999" t="s">
        <v>493</v>
      </c>
    </row>
    <row r="1000" spans="1:20" ht="15" customHeight="1" x14ac:dyDescent="0.25">
      <c r="A1000">
        <f t="shared" si="15"/>
        <v>82</v>
      </c>
      <c r="B1000" t="s">
        <v>1632</v>
      </c>
      <c r="C1000" t="s">
        <v>47</v>
      </c>
      <c r="D1000">
        <v>49</v>
      </c>
      <c r="E10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00">
        <f ca="1">IF(Tabla142[[#This Row],[frecuencia_new]]="Diaria"," ",RANDBETWEEN(1,6))</f>
        <v>4</v>
      </c>
      <c r="G1000" t="str">
        <f ca="1">IF(Tabla142[[#This Row],[frecuencia_new]]="Diaria","",IF(Tabla142[[#This Row],[frecuencia_new]]="Semanal","",IF(Tabla142[[#This Row],[frecuencia_new]]="Quincenal",RANDBETWEEN(1,2),RANDBETWEEN(1,4))))</f>
        <v/>
      </c>
      <c r="H100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0" t="s">
        <v>128</v>
      </c>
      <c r="K1000">
        <f>SUM(MID(Tabla142[[#This Row],[Duración]],1,2)*60,MID(Tabla142[[#This Row],[Duración]],6,2))</f>
        <v>5</v>
      </c>
      <c r="L1000" s="4" t="s">
        <v>50</v>
      </c>
      <c r="M1000" t="s">
        <v>239</v>
      </c>
      <c r="N1000" t="s">
        <v>240</v>
      </c>
      <c r="O1000" t="s">
        <v>382</v>
      </c>
      <c r="P1000" t="s">
        <v>363</v>
      </c>
      <c r="Q1000" s="20">
        <v>46032.649155092593</v>
      </c>
      <c r="R1000" t="s">
        <v>8</v>
      </c>
      <c r="T1000" t="s">
        <v>493</v>
      </c>
    </row>
    <row r="1001" spans="1:20" ht="15" customHeight="1" x14ac:dyDescent="0.25">
      <c r="A1001">
        <f t="shared" si="15"/>
        <v>82</v>
      </c>
      <c r="B1001" t="s">
        <v>1633</v>
      </c>
      <c r="C1001" t="s">
        <v>47</v>
      </c>
      <c r="D1001">
        <v>49</v>
      </c>
      <c r="E10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01">
        <f ca="1">IF(Tabla142[[#This Row],[frecuencia_new]]="Diaria"," ",RANDBETWEEN(1,6))</f>
        <v>5</v>
      </c>
      <c r="G1001">
        <f ca="1">IF(Tabla142[[#This Row],[frecuencia_new]]="Diaria","",IF(Tabla142[[#This Row],[frecuencia_new]]="Semanal","",IF(Tabla142[[#This Row],[frecuencia_new]]="Quincenal",RANDBETWEEN(1,2),RANDBETWEEN(1,4))))</f>
        <v>2</v>
      </c>
      <c r="H100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1" t="s">
        <v>129</v>
      </c>
      <c r="K1001">
        <f>SUM(MID(Tabla142[[#This Row],[Duración]],1,2)*60,MID(Tabla142[[#This Row],[Duración]],6,2))</f>
        <v>10</v>
      </c>
      <c r="L1001" s="4" t="s">
        <v>71</v>
      </c>
      <c r="M1001" t="s">
        <v>239</v>
      </c>
      <c r="N1001" t="s">
        <v>240</v>
      </c>
      <c r="O1001" t="s">
        <v>382</v>
      </c>
      <c r="P1001" t="s">
        <v>363</v>
      </c>
      <c r="Q1001" s="20">
        <v>46032.649155092593</v>
      </c>
      <c r="R1001" t="s">
        <v>7</v>
      </c>
      <c r="T1001" t="s">
        <v>493</v>
      </c>
    </row>
    <row r="1002" spans="1:20" ht="15" customHeight="1" x14ac:dyDescent="0.25">
      <c r="A1002">
        <f t="shared" si="15"/>
        <v>82</v>
      </c>
      <c r="B1002" t="s">
        <v>1634</v>
      </c>
      <c r="C1002" t="s">
        <v>47</v>
      </c>
      <c r="D1002">
        <v>49</v>
      </c>
      <c r="E10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02">
        <f ca="1">IF(Tabla142[[#This Row],[frecuencia_new]]="Diaria"," ",RANDBETWEEN(1,6))</f>
        <v>5</v>
      </c>
      <c r="G1002">
        <f ca="1">IF(Tabla142[[#This Row],[frecuencia_new]]="Diaria","",IF(Tabla142[[#This Row],[frecuencia_new]]="Semanal","",IF(Tabla142[[#This Row],[frecuencia_new]]="Quincenal",RANDBETWEEN(1,2),RANDBETWEEN(1,4))))</f>
        <v>3</v>
      </c>
      <c r="H100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2" t="s">
        <v>130</v>
      </c>
      <c r="K1002">
        <f>SUM(MID(Tabla142[[#This Row],[Duración]],1,2)*60,MID(Tabla142[[#This Row],[Duración]],6,2))</f>
        <v>10</v>
      </c>
      <c r="L1002" s="4" t="s">
        <v>71</v>
      </c>
      <c r="M1002" t="s">
        <v>239</v>
      </c>
      <c r="N1002" t="s">
        <v>240</v>
      </c>
      <c r="O1002" t="s">
        <v>382</v>
      </c>
      <c r="P1002" t="s">
        <v>363</v>
      </c>
      <c r="Q1002" s="20">
        <v>46032.649155092593</v>
      </c>
      <c r="R1002" t="s">
        <v>7</v>
      </c>
      <c r="T1002" t="s">
        <v>493</v>
      </c>
    </row>
    <row r="1003" spans="1:20" ht="15" customHeight="1" x14ac:dyDescent="0.25">
      <c r="A1003">
        <f t="shared" si="15"/>
        <v>82</v>
      </c>
      <c r="B1003" t="s">
        <v>1635</v>
      </c>
      <c r="C1003" t="s">
        <v>47</v>
      </c>
      <c r="D1003">
        <v>49</v>
      </c>
      <c r="E10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03">
        <f ca="1">IF(Tabla142[[#This Row],[frecuencia_new]]="Diaria"," ",RANDBETWEEN(1,6))</f>
        <v>3</v>
      </c>
      <c r="G1003">
        <f ca="1">IF(Tabla142[[#This Row],[frecuencia_new]]="Diaria","",IF(Tabla142[[#This Row],[frecuencia_new]]="Semanal","",IF(Tabla142[[#This Row],[frecuencia_new]]="Quincenal",RANDBETWEEN(1,2),RANDBETWEEN(1,4))))</f>
        <v>4</v>
      </c>
      <c r="H10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3" t="s">
        <v>131</v>
      </c>
      <c r="K1003">
        <f>SUM(MID(Tabla142[[#This Row],[Duración]],1,2)*60,MID(Tabla142[[#This Row],[Duración]],6,2))</f>
        <v>10</v>
      </c>
      <c r="L1003" s="4" t="s">
        <v>71</v>
      </c>
      <c r="M1003" t="s">
        <v>239</v>
      </c>
      <c r="N1003" t="s">
        <v>240</v>
      </c>
      <c r="O1003" t="s">
        <v>382</v>
      </c>
      <c r="P1003" t="s">
        <v>363</v>
      </c>
      <c r="Q1003" s="20">
        <v>46032.649155092593</v>
      </c>
      <c r="R1003" t="s">
        <v>7</v>
      </c>
      <c r="T1003" t="s">
        <v>493</v>
      </c>
    </row>
    <row r="1004" spans="1:20" ht="15" customHeight="1" x14ac:dyDescent="0.25">
      <c r="A1004">
        <f t="shared" si="15"/>
        <v>82</v>
      </c>
      <c r="B1004" t="s">
        <v>1636</v>
      </c>
      <c r="C1004" t="s">
        <v>47</v>
      </c>
      <c r="D1004">
        <v>49</v>
      </c>
      <c r="E10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04">
        <f ca="1">IF(Tabla142[[#This Row],[frecuencia_new]]="Diaria"," ",RANDBETWEEN(1,6))</f>
        <v>4</v>
      </c>
      <c r="G1004">
        <f ca="1">IF(Tabla142[[#This Row],[frecuencia_new]]="Diaria","",IF(Tabla142[[#This Row],[frecuencia_new]]="Semanal","",IF(Tabla142[[#This Row],[frecuencia_new]]="Quincenal",RANDBETWEEN(1,2),RANDBETWEEN(1,4))))</f>
        <v>1</v>
      </c>
      <c r="H1004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004" t="s">
        <v>132</v>
      </c>
      <c r="K1004">
        <f>SUM(MID(Tabla142[[#This Row],[Duración]],1,2)*60,MID(Tabla142[[#This Row],[Duración]],6,2))</f>
        <v>30</v>
      </c>
      <c r="L1004" s="4" t="s">
        <v>48</v>
      </c>
      <c r="M1004" t="s">
        <v>239</v>
      </c>
      <c r="N1004" t="s">
        <v>240</v>
      </c>
      <c r="O1004" t="s">
        <v>382</v>
      </c>
      <c r="P1004" t="s">
        <v>363</v>
      </c>
      <c r="Q1004" s="20">
        <v>46032.649155092593</v>
      </c>
      <c r="R1004" t="s">
        <v>18</v>
      </c>
      <c r="T1004" t="s">
        <v>493</v>
      </c>
    </row>
    <row r="1005" spans="1:20" ht="15" customHeight="1" x14ac:dyDescent="0.25">
      <c r="A1005">
        <f t="shared" si="15"/>
        <v>82</v>
      </c>
      <c r="B1005" t="s">
        <v>1637</v>
      </c>
      <c r="C1005" t="s">
        <v>47</v>
      </c>
      <c r="D1005">
        <v>49</v>
      </c>
      <c r="E10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05">
        <f ca="1">IF(Tabla142[[#This Row],[frecuencia_new]]="Diaria"," ",RANDBETWEEN(1,6))</f>
        <v>1</v>
      </c>
      <c r="G1005">
        <f ca="1">IF(Tabla142[[#This Row],[frecuencia_new]]="Diaria","",IF(Tabla142[[#This Row],[frecuencia_new]]="Semanal","",IF(Tabla142[[#This Row],[frecuencia_new]]="Quincenal",RANDBETWEEN(1,2),RANDBETWEEN(1,4))))</f>
        <v>1</v>
      </c>
      <c r="H10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5" t="s">
        <v>133</v>
      </c>
      <c r="K1005">
        <f>SUM(MID(Tabla142[[#This Row],[Duración]],1,2)*60,MID(Tabla142[[#This Row],[Duración]],6,2))</f>
        <v>10</v>
      </c>
      <c r="L1005" s="4" t="s">
        <v>71</v>
      </c>
      <c r="M1005" t="s">
        <v>239</v>
      </c>
      <c r="N1005" t="s">
        <v>240</v>
      </c>
      <c r="O1005" t="s">
        <v>382</v>
      </c>
      <c r="P1005" t="s">
        <v>363</v>
      </c>
      <c r="Q1005" s="20">
        <v>46032.649155092593</v>
      </c>
      <c r="R1005" t="s">
        <v>7</v>
      </c>
      <c r="T1005" t="s">
        <v>493</v>
      </c>
    </row>
    <row r="1006" spans="1:20" ht="15" customHeight="1" x14ac:dyDescent="0.25">
      <c r="A1006">
        <f t="shared" si="15"/>
        <v>82</v>
      </c>
      <c r="B1006" t="s">
        <v>1638</v>
      </c>
      <c r="C1006" t="s">
        <v>47</v>
      </c>
      <c r="D1006">
        <v>49</v>
      </c>
      <c r="E10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06">
        <f ca="1">IF(Tabla142[[#This Row],[frecuencia_new]]="Diaria"," ",RANDBETWEEN(1,6))</f>
        <v>4</v>
      </c>
      <c r="G1006">
        <f ca="1">IF(Tabla142[[#This Row],[frecuencia_new]]="Diaria","",IF(Tabla142[[#This Row],[frecuencia_new]]="Semanal","",IF(Tabla142[[#This Row],[frecuencia_new]]="Quincenal",RANDBETWEEN(1,2),RANDBETWEEN(1,4))))</f>
        <v>4</v>
      </c>
      <c r="H10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6" t="s">
        <v>134</v>
      </c>
      <c r="K1006">
        <f>SUM(MID(Tabla142[[#This Row],[Duración]],1,2)*60,MID(Tabla142[[#This Row],[Duración]],6,2))</f>
        <v>10</v>
      </c>
      <c r="L1006" s="4" t="s">
        <v>71</v>
      </c>
      <c r="M1006" t="s">
        <v>239</v>
      </c>
      <c r="N1006" t="s">
        <v>240</v>
      </c>
      <c r="O1006" t="s">
        <v>382</v>
      </c>
      <c r="P1006" t="s">
        <v>363</v>
      </c>
      <c r="Q1006" s="20">
        <v>46032.649155092593</v>
      </c>
      <c r="R1006" t="s">
        <v>7</v>
      </c>
      <c r="T1006" t="s">
        <v>493</v>
      </c>
    </row>
    <row r="1007" spans="1:20" ht="15" customHeight="1" x14ac:dyDescent="0.25">
      <c r="A1007">
        <f t="shared" si="15"/>
        <v>82</v>
      </c>
      <c r="B1007" t="s">
        <v>1639</v>
      </c>
      <c r="C1007" t="s">
        <v>47</v>
      </c>
      <c r="D1007">
        <v>49</v>
      </c>
      <c r="E10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07">
        <f ca="1">IF(Tabla142[[#This Row],[frecuencia_new]]="Diaria"," ",RANDBETWEEN(1,6))</f>
        <v>6</v>
      </c>
      <c r="G1007" t="str">
        <f ca="1">IF(Tabla142[[#This Row],[frecuencia_new]]="Diaria","",IF(Tabla142[[#This Row],[frecuencia_new]]="Semanal","",IF(Tabla142[[#This Row],[frecuencia_new]]="Quincenal",RANDBETWEEN(1,2),RANDBETWEEN(1,4))))</f>
        <v/>
      </c>
      <c r="H10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7" t="s">
        <v>135</v>
      </c>
      <c r="K1007">
        <f>SUM(MID(Tabla142[[#This Row],[Duración]],1,2)*60,MID(Tabla142[[#This Row],[Duración]],6,2))</f>
        <v>5</v>
      </c>
      <c r="L1007" s="4" t="s">
        <v>50</v>
      </c>
      <c r="M1007" t="s">
        <v>239</v>
      </c>
      <c r="N1007" t="s">
        <v>240</v>
      </c>
      <c r="O1007" t="s">
        <v>382</v>
      </c>
      <c r="P1007" t="s">
        <v>363</v>
      </c>
      <c r="Q1007" s="20">
        <v>46032.649155092593</v>
      </c>
      <c r="R1007" t="s">
        <v>8</v>
      </c>
      <c r="T1007" t="s">
        <v>493</v>
      </c>
    </row>
    <row r="1008" spans="1:20" ht="15" customHeight="1" x14ac:dyDescent="0.25">
      <c r="A1008">
        <f t="shared" si="15"/>
        <v>82</v>
      </c>
      <c r="B1008" t="s">
        <v>1640</v>
      </c>
      <c r="C1008" t="s">
        <v>47</v>
      </c>
      <c r="D1008">
        <v>49</v>
      </c>
      <c r="E10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08">
        <f ca="1">IF(Tabla142[[#This Row],[frecuencia_new]]="Diaria"," ",RANDBETWEEN(1,6))</f>
        <v>4</v>
      </c>
      <c r="G1008">
        <f ca="1">IF(Tabla142[[#This Row],[frecuencia_new]]="Diaria","",IF(Tabla142[[#This Row],[frecuencia_new]]="Semanal","",IF(Tabla142[[#This Row],[frecuencia_new]]="Quincenal",RANDBETWEEN(1,2),RANDBETWEEN(1,4))))</f>
        <v>1</v>
      </c>
      <c r="H10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08" t="s">
        <v>137</v>
      </c>
      <c r="K1008">
        <f>SUM(MID(Tabla142[[#This Row],[Duración]],1,2)*60,MID(Tabla142[[#This Row],[Duración]],6,2))</f>
        <v>10</v>
      </c>
      <c r="L1008" s="4" t="s">
        <v>71</v>
      </c>
      <c r="M1008" t="s">
        <v>239</v>
      </c>
      <c r="N1008" t="s">
        <v>240</v>
      </c>
      <c r="O1008" t="s">
        <v>382</v>
      </c>
      <c r="P1008" t="s">
        <v>363</v>
      </c>
      <c r="Q1008" s="20">
        <v>46032.649155092593</v>
      </c>
      <c r="R1008" t="s">
        <v>7</v>
      </c>
      <c r="T1008" t="s">
        <v>493</v>
      </c>
    </row>
    <row r="1009" spans="1:20" ht="15" customHeight="1" x14ac:dyDescent="0.25">
      <c r="A1009">
        <f t="shared" si="15"/>
        <v>82</v>
      </c>
      <c r="B1009" t="s">
        <v>1641</v>
      </c>
      <c r="C1009" t="s">
        <v>47</v>
      </c>
      <c r="D1009">
        <v>49</v>
      </c>
      <c r="E10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09">
        <f ca="1">IF(Tabla142[[#This Row],[frecuencia_new]]="Diaria"," ",RANDBETWEEN(1,6))</f>
        <v>6</v>
      </c>
      <c r="G1009">
        <f ca="1">IF(Tabla142[[#This Row],[frecuencia_new]]="Diaria","",IF(Tabla142[[#This Row],[frecuencia_new]]="Semanal","",IF(Tabla142[[#This Row],[frecuencia_new]]="Quincenal",RANDBETWEEN(1,2),RANDBETWEEN(1,4))))</f>
        <v>3</v>
      </c>
      <c r="H1009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009" t="s">
        <v>138</v>
      </c>
      <c r="K1009">
        <f>SUM(MID(Tabla142[[#This Row],[Duración]],1,2)*60,MID(Tabla142[[#This Row],[Duración]],6,2))</f>
        <v>30</v>
      </c>
      <c r="L1009" s="4" t="s">
        <v>48</v>
      </c>
      <c r="M1009" t="s">
        <v>239</v>
      </c>
      <c r="N1009" t="s">
        <v>240</v>
      </c>
      <c r="O1009" t="s">
        <v>382</v>
      </c>
      <c r="P1009" t="s">
        <v>363</v>
      </c>
      <c r="Q1009" s="20">
        <v>46032.649155092593</v>
      </c>
      <c r="R1009" t="s">
        <v>18</v>
      </c>
      <c r="T1009" t="s">
        <v>493</v>
      </c>
    </row>
    <row r="1010" spans="1:20" ht="15" customHeight="1" x14ac:dyDescent="0.25">
      <c r="A1010">
        <f t="shared" si="15"/>
        <v>82</v>
      </c>
      <c r="B1010" t="s">
        <v>1642</v>
      </c>
      <c r="C1010" t="s">
        <v>47</v>
      </c>
      <c r="D1010">
        <v>49</v>
      </c>
      <c r="E10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10">
        <f ca="1">IF(Tabla142[[#This Row],[frecuencia_new]]="Diaria"," ",RANDBETWEEN(1,6))</f>
        <v>2</v>
      </c>
      <c r="G1010">
        <f ca="1">IF(Tabla142[[#This Row],[frecuencia_new]]="Diaria","",IF(Tabla142[[#This Row],[frecuencia_new]]="Semanal","",IF(Tabla142[[#This Row],[frecuencia_new]]="Quincenal",RANDBETWEEN(1,2),RANDBETWEEN(1,4))))</f>
        <v>4</v>
      </c>
      <c r="H1010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10" t="s">
        <v>140</v>
      </c>
      <c r="K1010">
        <f>SUM(MID(Tabla142[[#This Row],[Duración]],1,2)*60,MID(Tabla142[[#This Row],[Duración]],6,2))</f>
        <v>30</v>
      </c>
      <c r="L1010" s="4" t="s">
        <v>48</v>
      </c>
      <c r="M1010" t="s">
        <v>239</v>
      </c>
      <c r="N1010" t="s">
        <v>240</v>
      </c>
      <c r="O1010" t="s">
        <v>382</v>
      </c>
      <c r="P1010" t="s">
        <v>363</v>
      </c>
      <c r="Q1010" s="20">
        <v>46032.649155092593</v>
      </c>
      <c r="R1010" t="s">
        <v>18</v>
      </c>
      <c r="T1010" t="s">
        <v>493</v>
      </c>
    </row>
    <row r="1011" spans="1:20" ht="15" customHeight="1" x14ac:dyDescent="0.25">
      <c r="A1011">
        <f t="shared" si="15"/>
        <v>82</v>
      </c>
      <c r="B1011" t="s">
        <v>1643</v>
      </c>
      <c r="C1011" t="s">
        <v>47</v>
      </c>
      <c r="D1011">
        <v>49</v>
      </c>
      <c r="E10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11">
        <f ca="1">IF(Tabla142[[#This Row],[frecuencia_new]]="Diaria"," ",RANDBETWEEN(1,6))</f>
        <v>2</v>
      </c>
      <c r="G1011" t="str">
        <f ca="1">IF(Tabla142[[#This Row],[frecuencia_new]]="Diaria","",IF(Tabla142[[#This Row],[frecuencia_new]]="Semanal","",IF(Tabla142[[#This Row],[frecuencia_new]]="Quincenal",RANDBETWEEN(1,2),RANDBETWEEN(1,4))))</f>
        <v/>
      </c>
      <c r="H10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1" t="s">
        <v>141</v>
      </c>
      <c r="K1011">
        <f>SUM(MID(Tabla142[[#This Row],[Duración]],1,2)*60,MID(Tabla142[[#This Row],[Duración]],6,2))</f>
        <v>5</v>
      </c>
      <c r="L1011" s="4" t="s">
        <v>50</v>
      </c>
      <c r="M1011" t="s">
        <v>239</v>
      </c>
      <c r="N1011" t="s">
        <v>240</v>
      </c>
      <c r="O1011" t="s">
        <v>382</v>
      </c>
      <c r="P1011" t="s">
        <v>363</v>
      </c>
      <c r="Q1011" s="20">
        <v>46032.649155092593</v>
      </c>
      <c r="R1011" t="s">
        <v>8</v>
      </c>
      <c r="T1011" t="s">
        <v>493</v>
      </c>
    </row>
    <row r="1012" spans="1:20" ht="15" customHeight="1" x14ac:dyDescent="0.25">
      <c r="A1012">
        <f t="shared" si="15"/>
        <v>82</v>
      </c>
      <c r="B1012" t="s">
        <v>1644</v>
      </c>
      <c r="C1012" t="s">
        <v>47</v>
      </c>
      <c r="D1012">
        <v>49</v>
      </c>
      <c r="E10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12">
        <f ca="1">IF(Tabla142[[#This Row],[frecuencia_new]]="Diaria"," ",RANDBETWEEN(1,6))</f>
        <v>2</v>
      </c>
      <c r="G1012">
        <f ca="1">IF(Tabla142[[#This Row],[frecuencia_new]]="Diaria","",IF(Tabla142[[#This Row],[frecuencia_new]]="Semanal","",IF(Tabla142[[#This Row],[frecuencia_new]]="Quincenal",RANDBETWEEN(1,2),RANDBETWEEN(1,4))))</f>
        <v>1</v>
      </c>
      <c r="H1012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12" t="s">
        <v>142</v>
      </c>
      <c r="K1012">
        <f>SUM(MID(Tabla142[[#This Row],[Duración]],1,2)*60,MID(Tabla142[[#This Row],[Duración]],6,2))</f>
        <v>30</v>
      </c>
      <c r="L1012" s="4" t="s">
        <v>48</v>
      </c>
      <c r="M1012" t="s">
        <v>239</v>
      </c>
      <c r="N1012" t="s">
        <v>240</v>
      </c>
      <c r="O1012" t="s">
        <v>382</v>
      </c>
      <c r="P1012" t="s">
        <v>363</v>
      </c>
      <c r="Q1012" s="20">
        <v>46032.649155092593</v>
      </c>
      <c r="R1012" t="s">
        <v>18</v>
      </c>
      <c r="T1012" t="s">
        <v>493</v>
      </c>
    </row>
    <row r="1013" spans="1:20" ht="15" customHeight="1" x14ac:dyDescent="0.25">
      <c r="A1013">
        <f t="shared" si="15"/>
        <v>82</v>
      </c>
      <c r="B1013" t="s">
        <v>1645</v>
      </c>
      <c r="C1013" t="s">
        <v>47</v>
      </c>
      <c r="D1013">
        <v>49</v>
      </c>
      <c r="E10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13">
        <f ca="1">IF(Tabla142[[#This Row],[frecuencia_new]]="Diaria"," ",RANDBETWEEN(1,6))</f>
        <v>5</v>
      </c>
      <c r="G1013">
        <f ca="1">IF(Tabla142[[#This Row],[frecuencia_new]]="Diaria","",IF(Tabla142[[#This Row],[frecuencia_new]]="Semanal","",IF(Tabla142[[#This Row],[frecuencia_new]]="Quincenal",RANDBETWEEN(1,2),RANDBETWEEN(1,4))))</f>
        <v>1</v>
      </c>
      <c r="H10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3" t="s">
        <v>143</v>
      </c>
      <c r="K1013">
        <f>SUM(MID(Tabla142[[#This Row],[Duración]],1,2)*60,MID(Tabla142[[#This Row],[Duración]],6,2))</f>
        <v>10</v>
      </c>
      <c r="L1013" s="4" t="s">
        <v>71</v>
      </c>
      <c r="M1013" t="s">
        <v>239</v>
      </c>
      <c r="N1013" t="s">
        <v>240</v>
      </c>
      <c r="O1013" t="s">
        <v>382</v>
      </c>
      <c r="P1013" t="s">
        <v>363</v>
      </c>
      <c r="Q1013" s="20">
        <v>46032.649155092593</v>
      </c>
      <c r="R1013" t="s">
        <v>7</v>
      </c>
      <c r="T1013" t="s">
        <v>493</v>
      </c>
    </row>
    <row r="1014" spans="1:20" ht="15" customHeight="1" x14ac:dyDescent="0.25">
      <c r="A1014">
        <f t="shared" si="15"/>
        <v>82</v>
      </c>
      <c r="B1014" t="s">
        <v>1646</v>
      </c>
      <c r="C1014" t="s">
        <v>47</v>
      </c>
      <c r="D1014">
        <v>49</v>
      </c>
      <c r="E10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14">
        <f ca="1">IF(Tabla142[[#This Row],[frecuencia_new]]="Diaria"," ",RANDBETWEEN(1,6))</f>
        <v>5</v>
      </c>
      <c r="G1014">
        <f ca="1">IF(Tabla142[[#This Row],[frecuencia_new]]="Diaria","",IF(Tabla142[[#This Row],[frecuencia_new]]="Semanal","",IF(Tabla142[[#This Row],[frecuencia_new]]="Quincenal",RANDBETWEEN(1,2),RANDBETWEEN(1,4))))</f>
        <v>4</v>
      </c>
      <c r="H101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14" t="s">
        <v>145</v>
      </c>
      <c r="K1014">
        <f>SUM(MID(Tabla142[[#This Row],[Duración]],1,2)*60,MID(Tabla142[[#This Row],[Duración]],6,2))</f>
        <v>30</v>
      </c>
      <c r="L1014" s="4" t="s">
        <v>48</v>
      </c>
      <c r="M1014" t="s">
        <v>239</v>
      </c>
      <c r="N1014" t="s">
        <v>240</v>
      </c>
      <c r="O1014" t="s">
        <v>382</v>
      </c>
      <c r="P1014" t="s">
        <v>363</v>
      </c>
      <c r="Q1014" s="20">
        <v>46032.649155092593</v>
      </c>
      <c r="R1014" t="s">
        <v>18</v>
      </c>
      <c r="T1014" t="s">
        <v>493</v>
      </c>
    </row>
    <row r="1015" spans="1:20" ht="15" customHeight="1" x14ac:dyDescent="0.25">
      <c r="A1015">
        <f t="shared" si="15"/>
        <v>82</v>
      </c>
      <c r="B1015" t="s">
        <v>1647</v>
      </c>
      <c r="C1015" t="s">
        <v>47</v>
      </c>
      <c r="D1015">
        <v>49</v>
      </c>
      <c r="E10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15">
        <f ca="1">IF(Tabla142[[#This Row],[frecuencia_new]]="Diaria"," ",RANDBETWEEN(1,6))</f>
        <v>6</v>
      </c>
      <c r="G1015">
        <f ca="1">IF(Tabla142[[#This Row],[frecuencia_new]]="Diaria","",IF(Tabla142[[#This Row],[frecuencia_new]]="Semanal","",IF(Tabla142[[#This Row],[frecuencia_new]]="Quincenal",RANDBETWEEN(1,2),RANDBETWEEN(1,4))))</f>
        <v>3</v>
      </c>
      <c r="H101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5" t="s">
        <v>146</v>
      </c>
      <c r="K1015">
        <f>SUM(MID(Tabla142[[#This Row],[Duración]],1,2)*60,MID(Tabla142[[#This Row],[Duración]],6,2))</f>
        <v>20</v>
      </c>
      <c r="L1015" s="4" t="s">
        <v>82</v>
      </c>
      <c r="M1015" t="s">
        <v>239</v>
      </c>
      <c r="N1015" t="s">
        <v>240</v>
      </c>
      <c r="O1015" t="s">
        <v>382</v>
      </c>
      <c r="P1015" t="s">
        <v>363</v>
      </c>
      <c r="Q1015" s="20">
        <v>46032.649155092593</v>
      </c>
      <c r="R1015" t="s">
        <v>7</v>
      </c>
      <c r="T1015" t="s">
        <v>493</v>
      </c>
    </row>
    <row r="1016" spans="1:20" ht="15" customHeight="1" x14ac:dyDescent="0.25">
      <c r="A1016">
        <f t="shared" si="15"/>
        <v>82</v>
      </c>
      <c r="B1016" t="s">
        <v>1648</v>
      </c>
      <c r="C1016" t="s">
        <v>47</v>
      </c>
      <c r="D1016">
        <v>49</v>
      </c>
      <c r="E10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16">
        <f ca="1">IF(Tabla142[[#This Row],[frecuencia_new]]="Diaria"," ",RANDBETWEEN(1,6))</f>
        <v>6</v>
      </c>
      <c r="G1016">
        <f ca="1">IF(Tabla142[[#This Row],[frecuencia_new]]="Diaria","",IF(Tabla142[[#This Row],[frecuencia_new]]="Semanal","",IF(Tabla142[[#This Row],[frecuencia_new]]="Quincenal",RANDBETWEEN(1,2),RANDBETWEEN(1,4))))</f>
        <v>3</v>
      </c>
      <c r="H101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6" t="s">
        <v>148</v>
      </c>
      <c r="K1016">
        <f>SUM(MID(Tabla142[[#This Row],[Duración]],1,2)*60,MID(Tabla142[[#This Row],[Duración]],6,2))</f>
        <v>30</v>
      </c>
      <c r="L1016" s="4" t="s">
        <v>48</v>
      </c>
      <c r="M1016" t="s">
        <v>239</v>
      </c>
      <c r="N1016" t="s">
        <v>240</v>
      </c>
      <c r="O1016" t="s">
        <v>382</v>
      </c>
      <c r="P1016" t="s">
        <v>363</v>
      </c>
      <c r="Q1016" s="20">
        <v>46032.649155092593</v>
      </c>
      <c r="R1016" t="s">
        <v>7</v>
      </c>
      <c r="T1016" t="s">
        <v>493</v>
      </c>
    </row>
    <row r="1017" spans="1:20" ht="15" customHeight="1" x14ac:dyDescent="0.25">
      <c r="A1017">
        <f t="shared" si="15"/>
        <v>82</v>
      </c>
      <c r="B1017" t="s">
        <v>1649</v>
      </c>
      <c r="C1017" t="s">
        <v>47</v>
      </c>
      <c r="D1017">
        <v>49</v>
      </c>
      <c r="E10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17">
        <f ca="1">IF(Tabla142[[#This Row],[frecuencia_new]]="Diaria"," ",RANDBETWEEN(1,6))</f>
        <v>1</v>
      </c>
      <c r="G1017" t="str">
        <f ca="1">IF(Tabla142[[#This Row],[frecuencia_new]]="Diaria","",IF(Tabla142[[#This Row],[frecuencia_new]]="Semanal","",IF(Tabla142[[#This Row],[frecuencia_new]]="Quincenal",RANDBETWEEN(1,2),RANDBETWEEN(1,4))))</f>
        <v/>
      </c>
      <c r="H10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7" t="s">
        <v>149</v>
      </c>
      <c r="K1017">
        <f>SUM(MID(Tabla142[[#This Row],[Duración]],1,2)*60,MID(Tabla142[[#This Row],[Duración]],6,2))</f>
        <v>3</v>
      </c>
      <c r="L1017" s="4" t="s">
        <v>150</v>
      </c>
      <c r="M1017" t="s">
        <v>239</v>
      </c>
      <c r="N1017" t="s">
        <v>240</v>
      </c>
      <c r="O1017" t="s">
        <v>382</v>
      </c>
      <c r="P1017" t="s">
        <v>363</v>
      </c>
      <c r="Q1017" s="20">
        <v>46032.649155092593</v>
      </c>
      <c r="R1017" t="s">
        <v>8</v>
      </c>
      <c r="T1017" t="s">
        <v>493</v>
      </c>
    </row>
    <row r="1018" spans="1:20" ht="15" customHeight="1" x14ac:dyDescent="0.25">
      <c r="A1018">
        <f t="shared" si="15"/>
        <v>82</v>
      </c>
      <c r="B1018" t="s">
        <v>1650</v>
      </c>
      <c r="C1018" t="s">
        <v>47</v>
      </c>
      <c r="D1018">
        <v>49</v>
      </c>
      <c r="E10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18">
        <f ca="1">IF(Tabla142[[#This Row],[frecuencia_new]]="Diaria"," ",RANDBETWEEN(1,6))</f>
        <v>2</v>
      </c>
      <c r="G1018">
        <f ca="1">IF(Tabla142[[#This Row],[frecuencia_new]]="Diaria","",IF(Tabla142[[#This Row],[frecuencia_new]]="Semanal","",IF(Tabla142[[#This Row],[frecuencia_new]]="Quincenal",RANDBETWEEN(1,2),RANDBETWEEN(1,4))))</f>
        <v>1</v>
      </c>
      <c r="H101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018" t="s">
        <v>151</v>
      </c>
      <c r="K1018">
        <f>SUM(MID(Tabla142[[#This Row],[Duración]],1,2)*60,MID(Tabla142[[#This Row],[Duración]],6,2))</f>
        <v>60</v>
      </c>
      <c r="L1018" s="4" t="s">
        <v>58</v>
      </c>
      <c r="M1018" t="s">
        <v>239</v>
      </c>
      <c r="N1018" t="s">
        <v>240</v>
      </c>
      <c r="O1018" t="s">
        <v>382</v>
      </c>
      <c r="P1018" t="s">
        <v>363</v>
      </c>
      <c r="Q1018" s="20">
        <v>46032.649155092593</v>
      </c>
      <c r="R1018" t="s">
        <v>18</v>
      </c>
      <c r="T1018" t="s">
        <v>493</v>
      </c>
    </row>
    <row r="1019" spans="1:20" ht="15" customHeight="1" x14ac:dyDescent="0.25">
      <c r="A1019">
        <f t="shared" si="15"/>
        <v>82</v>
      </c>
      <c r="B1019" t="s">
        <v>1651</v>
      </c>
      <c r="C1019" t="s">
        <v>47</v>
      </c>
      <c r="D1019">
        <v>49</v>
      </c>
      <c r="E10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19">
        <f ca="1">IF(Tabla142[[#This Row],[frecuencia_new]]="Diaria"," ",RANDBETWEEN(1,6))</f>
        <v>2</v>
      </c>
      <c r="G1019" t="str">
        <f ca="1">IF(Tabla142[[#This Row],[frecuencia_new]]="Diaria","",IF(Tabla142[[#This Row],[frecuencia_new]]="Semanal","",IF(Tabla142[[#This Row],[frecuencia_new]]="Quincenal",RANDBETWEEN(1,2),RANDBETWEEN(1,4))))</f>
        <v/>
      </c>
      <c r="H10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19" t="s">
        <v>152</v>
      </c>
      <c r="K1019">
        <f>SUM(MID(Tabla142[[#This Row],[Duración]],1,2)*60,MID(Tabla142[[#This Row],[Duración]],6,2))</f>
        <v>3</v>
      </c>
      <c r="L1019" s="4" t="s">
        <v>150</v>
      </c>
      <c r="M1019" t="s">
        <v>239</v>
      </c>
      <c r="N1019" t="s">
        <v>240</v>
      </c>
      <c r="O1019" t="s">
        <v>382</v>
      </c>
      <c r="P1019" t="s">
        <v>363</v>
      </c>
      <c r="Q1019" s="20">
        <v>46032.649155092593</v>
      </c>
      <c r="R1019" t="s">
        <v>8</v>
      </c>
      <c r="T1019" t="s">
        <v>493</v>
      </c>
    </row>
    <row r="1020" spans="1:20" ht="15" customHeight="1" x14ac:dyDescent="0.25">
      <c r="A1020">
        <f t="shared" si="15"/>
        <v>82</v>
      </c>
      <c r="B1020" t="s">
        <v>1652</v>
      </c>
      <c r="C1020" t="s">
        <v>47</v>
      </c>
      <c r="D1020">
        <v>49</v>
      </c>
      <c r="E10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20">
        <f ca="1">IF(Tabla142[[#This Row],[frecuencia_new]]="Diaria"," ",RANDBETWEEN(1,6))</f>
        <v>2</v>
      </c>
      <c r="G1020" t="str">
        <f ca="1">IF(Tabla142[[#This Row],[frecuencia_new]]="Diaria","",IF(Tabla142[[#This Row],[frecuencia_new]]="Semanal","",IF(Tabla142[[#This Row],[frecuencia_new]]="Quincenal",RANDBETWEEN(1,2),RANDBETWEEN(1,4))))</f>
        <v/>
      </c>
      <c r="H10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0" t="s">
        <v>153</v>
      </c>
      <c r="K1020">
        <f>SUM(MID(Tabla142[[#This Row],[Duración]],1,2)*60,MID(Tabla142[[#This Row],[Duración]],6,2))</f>
        <v>3</v>
      </c>
      <c r="L1020" s="4" t="s">
        <v>150</v>
      </c>
      <c r="M1020" t="s">
        <v>239</v>
      </c>
      <c r="N1020" t="s">
        <v>240</v>
      </c>
      <c r="O1020" t="s">
        <v>382</v>
      </c>
      <c r="P1020" t="s">
        <v>363</v>
      </c>
      <c r="Q1020" s="20">
        <v>46032.649155092593</v>
      </c>
      <c r="R1020" t="s">
        <v>8</v>
      </c>
      <c r="T1020" t="s">
        <v>493</v>
      </c>
    </row>
    <row r="1021" spans="1:20" ht="15" customHeight="1" x14ac:dyDescent="0.25">
      <c r="A1021">
        <f t="shared" si="15"/>
        <v>82</v>
      </c>
      <c r="B1021" t="s">
        <v>1653</v>
      </c>
      <c r="C1021" t="s">
        <v>47</v>
      </c>
      <c r="D1021">
        <v>49</v>
      </c>
      <c r="E10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21">
        <f ca="1">IF(Tabla142[[#This Row],[frecuencia_new]]="Diaria"," ",RANDBETWEEN(1,6))</f>
        <v>3</v>
      </c>
      <c r="G1021" t="str">
        <f ca="1">IF(Tabla142[[#This Row],[frecuencia_new]]="Diaria","",IF(Tabla142[[#This Row],[frecuencia_new]]="Semanal","",IF(Tabla142[[#This Row],[frecuencia_new]]="Quincenal",RANDBETWEEN(1,2),RANDBETWEEN(1,4))))</f>
        <v/>
      </c>
      <c r="H102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1" t="s">
        <v>154</v>
      </c>
      <c r="K1021">
        <f>SUM(MID(Tabla142[[#This Row],[Duración]],1,2)*60,MID(Tabla142[[#This Row],[Duración]],6,2))</f>
        <v>3</v>
      </c>
      <c r="L1021" s="4" t="s">
        <v>150</v>
      </c>
      <c r="M1021" t="s">
        <v>239</v>
      </c>
      <c r="N1021" t="s">
        <v>240</v>
      </c>
      <c r="O1021" t="s">
        <v>382</v>
      </c>
      <c r="P1021" t="s">
        <v>363</v>
      </c>
      <c r="Q1021" s="20">
        <v>46032.649155092593</v>
      </c>
      <c r="R1021" t="s">
        <v>8</v>
      </c>
      <c r="T1021" t="s">
        <v>493</v>
      </c>
    </row>
    <row r="1022" spans="1:20" ht="15" customHeight="1" x14ac:dyDescent="0.25">
      <c r="A1022">
        <f t="shared" si="15"/>
        <v>82</v>
      </c>
      <c r="B1022" t="s">
        <v>1654</v>
      </c>
      <c r="C1022" t="s">
        <v>47</v>
      </c>
      <c r="D1022">
        <v>49</v>
      </c>
      <c r="E10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22">
        <f ca="1">IF(Tabla142[[#This Row],[frecuencia_new]]="Diaria"," ",RANDBETWEEN(1,6))</f>
        <v>2</v>
      </c>
      <c r="G1022" t="str">
        <f ca="1">IF(Tabla142[[#This Row],[frecuencia_new]]="Diaria","",IF(Tabla142[[#This Row],[frecuencia_new]]="Semanal","",IF(Tabla142[[#This Row],[frecuencia_new]]="Quincenal",RANDBETWEEN(1,2),RANDBETWEEN(1,4))))</f>
        <v/>
      </c>
      <c r="H102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2" t="s">
        <v>155</v>
      </c>
      <c r="K1022">
        <f>SUM(MID(Tabla142[[#This Row],[Duración]],1,2)*60,MID(Tabla142[[#This Row],[Duración]],6,2))</f>
        <v>3</v>
      </c>
      <c r="L1022" s="4" t="s">
        <v>150</v>
      </c>
      <c r="M1022" t="s">
        <v>239</v>
      </c>
      <c r="N1022" t="s">
        <v>240</v>
      </c>
      <c r="O1022" t="s">
        <v>382</v>
      </c>
      <c r="P1022" t="s">
        <v>363</v>
      </c>
      <c r="Q1022" s="20">
        <v>46032.649155092593</v>
      </c>
      <c r="R1022" t="s">
        <v>8</v>
      </c>
      <c r="T1022" t="s">
        <v>493</v>
      </c>
    </row>
    <row r="1023" spans="1:20" ht="15" customHeight="1" x14ac:dyDescent="0.25">
      <c r="A1023">
        <f t="shared" si="15"/>
        <v>82</v>
      </c>
      <c r="B1023" t="s">
        <v>1655</v>
      </c>
      <c r="C1023" t="s">
        <v>47</v>
      </c>
      <c r="D1023">
        <v>49</v>
      </c>
      <c r="E10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23">
        <f ca="1">IF(Tabla142[[#This Row],[frecuencia_new]]="Diaria"," ",RANDBETWEEN(1,6))</f>
        <v>1</v>
      </c>
      <c r="G1023" t="str">
        <f ca="1">IF(Tabla142[[#This Row],[frecuencia_new]]="Diaria","",IF(Tabla142[[#This Row],[frecuencia_new]]="Semanal","",IF(Tabla142[[#This Row],[frecuencia_new]]="Quincenal",RANDBETWEEN(1,2),RANDBETWEEN(1,4))))</f>
        <v/>
      </c>
      <c r="H102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3" t="s">
        <v>156</v>
      </c>
      <c r="K1023">
        <f>SUM(MID(Tabla142[[#This Row],[Duración]],1,2)*60,MID(Tabla142[[#This Row],[Duración]],6,2))</f>
        <v>3</v>
      </c>
      <c r="L1023" s="4" t="s">
        <v>150</v>
      </c>
      <c r="M1023" t="s">
        <v>239</v>
      </c>
      <c r="N1023" t="s">
        <v>240</v>
      </c>
      <c r="O1023" t="s">
        <v>382</v>
      </c>
      <c r="P1023" t="s">
        <v>363</v>
      </c>
      <c r="Q1023" s="20">
        <v>46032.649155092593</v>
      </c>
      <c r="R1023" t="s">
        <v>8</v>
      </c>
      <c r="T1023" t="s">
        <v>493</v>
      </c>
    </row>
    <row r="1024" spans="1:20" x14ac:dyDescent="0.25">
      <c r="A1024">
        <f t="shared" si="15"/>
        <v>82</v>
      </c>
      <c r="B1024" t="s">
        <v>1656</v>
      </c>
      <c r="C1024" t="s">
        <v>47</v>
      </c>
      <c r="D1024">
        <v>49</v>
      </c>
      <c r="E10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1024">
        <f ca="1">IF(Tabla142[[#This Row],[frecuencia_new]]="Diaria"," ",RANDBETWEEN(1,6))</f>
        <v>1</v>
      </c>
      <c r="G1024">
        <f ca="1">IF(Tabla142[[#This Row],[frecuencia_new]]="Diaria","",IF(Tabla142[[#This Row],[frecuencia_new]]="Semanal","",IF(Tabla142[[#This Row],[frecuencia_new]]="Quincenal",RANDBETWEEN(1,2),RANDBETWEEN(1,4))))</f>
        <v>1</v>
      </c>
      <c r="H1024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024" t="s">
        <v>157</v>
      </c>
      <c r="K1024">
        <f>SUM(MID(Tabla142[[#This Row],[Duración]],1,2)*60,MID(Tabla142[[#This Row],[Duración]],6,2))</f>
        <v>60</v>
      </c>
      <c r="L1024" s="4" t="s">
        <v>58</v>
      </c>
      <c r="M1024" t="s">
        <v>239</v>
      </c>
      <c r="N1024" t="s">
        <v>240</v>
      </c>
      <c r="O1024" t="s">
        <v>382</v>
      </c>
      <c r="P1024" t="s">
        <v>363</v>
      </c>
      <c r="Q1024" s="20">
        <v>46032.649155092593</v>
      </c>
      <c r="R1024" t="s">
        <v>20</v>
      </c>
      <c r="T1024" t="s">
        <v>493</v>
      </c>
    </row>
    <row r="1025" spans="1:20" ht="15" customHeight="1" x14ac:dyDescent="0.25">
      <c r="A1025">
        <f t="shared" si="15"/>
        <v>82</v>
      </c>
      <c r="B1025" t="s">
        <v>1657</v>
      </c>
      <c r="C1025" t="s">
        <v>47</v>
      </c>
      <c r="D1025">
        <v>49</v>
      </c>
      <c r="E10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25">
        <f ca="1">IF(Tabla142[[#This Row],[frecuencia_new]]="Diaria"," ",RANDBETWEEN(1,6))</f>
        <v>3</v>
      </c>
      <c r="G1025">
        <f ca="1">IF(Tabla142[[#This Row],[frecuencia_new]]="Diaria","",IF(Tabla142[[#This Row],[frecuencia_new]]="Semanal","",IF(Tabla142[[#This Row],[frecuencia_new]]="Quincenal",RANDBETWEEN(1,2),RANDBETWEEN(1,4))))</f>
        <v>2</v>
      </c>
      <c r="H1025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25" t="s">
        <v>158</v>
      </c>
      <c r="K1025">
        <f>SUM(MID(Tabla142[[#This Row],[Duración]],1,2)*60,MID(Tabla142[[#This Row],[Duración]],6,2))</f>
        <v>60</v>
      </c>
      <c r="L1025" s="4" t="s">
        <v>58</v>
      </c>
      <c r="M1025" t="s">
        <v>239</v>
      </c>
      <c r="N1025" t="s">
        <v>240</v>
      </c>
      <c r="O1025" t="s">
        <v>382</v>
      </c>
      <c r="P1025" t="s">
        <v>363</v>
      </c>
      <c r="Q1025" s="20">
        <v>46032.649155092593</v>
      </c>
      <c r="R1025" t="s">
        <v>18</v>
      </c>
      <c r="T1025" t="s">
        <v>493</v>
      </c>
    </row>
    <row r="1026" spans="1:20" ht="15" customHeight="1" x14ac:dyDescent="0.25">
      <c r="A1026">
        <f t="shared" ref="A1026:A1089" si="16">VLOOKUP(T1026,$V$2:$W$222,2,FALSE)</f>
        <v>82</v>
      </c>
      <c r="B1026" t="s">
        <v>1658</v>
      </c>
      <c r="C1026" t="s">
        <v>47</v>
      </c>
      <c r="D1026">
        <v>49</v>
      </c>
      <c r="E10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26">
        <f ca="1">IF(Tabla142[[#This Row],[frecuencia_new]]="Diaria"," ",RANDBETWEEN(1,6))</f>
        <v>6</v>
      </c>
      <c r="G1026">
        <f ca="1">IF(Tabla142[[#This Row],[frecuencia_new]]="Diaria","",IF(Tabla142[[#This Row],[frecuencia_new]]="Semanal","",IF(Tabla142[[#This Row],[frecuencia_new]]="Quincenal",RANDBETWEEN(1,2),RANDBETWEEN(1,4))))</f>
        <v>1</v>
      </c>
      <c r="H1026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26" t="s">
        <v>159</v>
      </c>
      <c r="K1026">
        <f>SUM(MID(Tabla142[[#This Row],[Duración]],1,2)*60,MID(Tabla142[[#This Row],[Duración]],6,2))</f>
        <v>90</v>
      </c>
      <c r="L1026" s="4" t="s">
        <v>96</v>
      </c>
      <c r="M1026" t="s">
        <v>239</v>
      </c>
      <c r="N1026" t="s">
        <v>240</v>
      </c>
      <c r="O1026" t="s">
        <v>382</v>
      </c>
      <c r="P1026" t="s">
        <v>363</v>
      </c>
      <c r="Q1026" s="20">
        <v>46032.649155092593</v>
      </c>
      <c r="R1026" t="s">
        <v>5</v>
      </c>
      <c r="T1026" t="s">
        <v>493</v>
      </c>
    </row>
    <row r="1027" spans="1:20" ht="15" customHeight="1" x14ac:dyDescent="0.25">
      <c r="A1027">
        <f t="shared" si="16"/>
        <v>82</v>
      </c>
      <c r="B1027" t="s">
        <v>1659</v>
      </c>
      <c r="C1027" t="s">
        <v>47</v>
      </c>
      <c r="D1027">
        <v>49</v>
      </c>
      <c r="E10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27">
        <f ca="1">IF(Tabla142[[#This Row],[frecuencia_new]]="Diaria"," ",RANDBETWEEN(1,6))</f>
        <v>5</v>
      </c>
      <c r="G1027" t="str">
        <f ca="1">IF(Tabla142[[#This Row],[frecuencia_new]]="Diaria","",IF(Tabla142[[#This Row],[frecuencia_new]]="Semanal","",IF(Tabla142[[#This Row],[frecuencia_new]]="Quincenal",RANDBETWEEN(1,2),RANDBETWEEN(1,4))))</f>
        <v/>
      </c>
      <c r="H10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7" t="s">
        <v>57</v>
      </c>
      <c r="K1027">
        <f>SUM(MID(Tabla142[[#This Row],[Duración]],1,2)*60,MID(Tabla142[[#This Row],[Duración]],6,2))</f>
        <v>10</v>
      </c>
      <c r="L1027" s="4" t="s">
        <v>71</v>
      </c>
      <c r="M1027" t="s">
        <v>239</v>
      </c>
      <c r="N1027" t="s">
        <v>240</v>
      </c>
      <c r="O1027" t="s">
        <v>382</v>
      </c>
      <c r="P1027" t="s">
        <v>363</v>
      </c>
      <c r="Q1027" s="20">
        <v>46032.649155092593</v>
      </c>
      <c r="R1027" t="s">
        <v>8</v>
      </c>
      <c r="T1027" t="s">
        <v>493</v>
      </c>
    </row>
    <row r="1028" spans="1:20" ht="15" customHeight="1" x14ac:dyDescent="0.25">
      <c r="A1028">
        <f t="shared" si="16"/>
        <v>82</v>
      </c>
      <c r="B1028" t="s">
        <v>1660</v>
      </c>
      <c r="C1028" t="s">
        <v>47</v>
      </c>
      <c r="D1028">
        <v>49</v>
      </c>
      <c r="E10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28">
        <f ca="1">IF(Tabla142[[#This Row],[frecuencia_new]]="Diaria"," ",RANDBETWEEN(1,6))</f>
        <v>4</v>
      </c>
      <c r="G1028">
        <f ca="1">IF(Tabla142[[#This Row],[frecuencia_new]]="Diaria","",IF(Tabla142[[#This Row],[frecuencia_new]]="Semanal","",IF(Tabla142[[#This Row],[frecuencia_new]]="Quincenal",RANDBETWEEN(1,2),RANDBETWEEN(1,4))))</f>
        <v>2</v>
      </c>
      <c r="H1028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28" t="s">
        <v>160</v>
      </c>
      <c r="K1028">
        <f>SUM(MID(Tabla142[[#This Row],[Duración]],1,2)*60,MID(Tabla142[[#This Row],[Duración]],6,2))</f>
        <v>30</v>
      </c>
      <c r="L1028" s="4" t="s">
        <v>48</v>
      </c>
      <c r="M1028" t="s">
        <v>239</v>
      </c>
      <c r="N1028" t="s">
        <v>240</v>
      </c>
      <c r="O1028" t="s">
        <v>382</v>
      </c>
      <c r="P1028" t="s">
        <v>363</v>
      </c>
      <c r="Q1028" s="20">
        <v>46032.649155092593</v>
      </c>
      <c r="R1028" t="s">
        <v>5</v>
      </c>
      <c r="T1028" t="s">
        <v>493</v>
      </c>
    </row>
    <row r="1029" spans="1:20" ht="15" customHeight="1" x14ac:dyDescent="0.25">
      <c r="A1029">
        <f t="shared" si="16"/>
        <v>82</v>
      </c>
      <c r="B1029" t="s">
        <v>1661</v>
      </c>
      <c r="C1029" t="s">
        <v>47</v>
      </c>
      <c r="D1029">
        <v>49</v>
      </c>
      <c r="E10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29">
        <f ca="1">IF(Tabla142[[#This Row],[frecuencia_new]]="Diaria"," ",RANDBETWEEN(1,6))</f>
        <v>5</v>
      </c>
      <c r="G1029">
        <f ca="1">IF(Tabla142[[#This Row],[frecuencia_new]]="Diaria","",IF(Tabla142[[#This Row],[frecuencia_new]]="Semanal","",IF(Tabla142[[#This Row],[frecuencia_new]]="Quincenal",RANDBETWEEN(1,2),RANDBETWEEN(1,4))))</f>
        <v>1</v>
      </c>
      <c r="H102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29" t="s">
        <v>169</v>
      </c>
      <c r="K1029">
        <f>SUM(MID(Tabla142[[#This Row],[Duración]],1,2)*60,MID(Tabla142[[#This Row],[Duración]],6,2))</f>
        <v>30</v>
      </c>
      <c r="L1029" s="4" t="s">
        <v>48</v>
      </c>
      <c r="M1029" t="s">
        <v>239</v>
      </c>
      <c r="N1029" t="s">
        <v>240</v>
      </c>
      <c r="O1029" t="s">
        <v>382</v>
      </c>
      <c r="P1029" t="s">
        <v>363</v>
      </c>
      <c r="Q1029" s="20">
        <v>46032.649155092593</v>
      </c>
      <c r="R1029" t="s">
        <v>7</v>
      </c>
      <c r="T1029" t="s">
        <v>493</v>
      </c>
    </row>
    <row r="1030" spans="1:20" ht="15" customHeight="1" x14ac:dyDescent="0.25">
      <c r="A1030">
        <f t="shared" si="16"/>
        <v>137</v>
      </c>
      <c r="B1030" t="s">
        <v>1662</v>
      </c>
      <c r="C1030" t="s">
        <v>47</v>
      </c>
      <c r="D1030">
        <v>49</v>
      </c>
      <c r="E10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0">
        <f ca="1">IF(Tabla142[[#This Row],[frecuencia_new]]="Diaria"," ",RANDBETWEEN(1,6))</f>
        <v>4</v>
      </c>
      <c r="G1030">
        <f ca="1">IF(Tabla142[[#This Row],[frecuencia_new]]="Diaria","",IF(Tabla142[[#This Row],[frecuencia_new]]="Semanal","",IF(Tabla142[[#This Row],[frecuencia_new]]="Quincenal",RANDBETWEEN(1,2),RANDBETWEEN(1,4))))</f>
        <v>1</v>
      </c>
      <c r="H1030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030" t="s">
        <v>46</v>
      </c>
      <c r="K1030">
        <f>SUM(MID(Tabla142[[#This Row],[Duración]],1,2)*60,MID(Tabla142[[#This Row],[Duración]],6,2))</f>
        <v>30</v>
      </c>
      <c r="L1030" s="4" t="s">
        <v>48</v>
      </c>
      <c r="M1030" t="s">
        <v>239</v>
      </c>
      <c r="N1030" t="s">
        <v>240</v>
      </c>
      <c r="O1030" t="s">
        <v>380</v>
      </c>
      <c r="P1030" t="s">
        <v>360</v>
      </c>
      <c r="Q1030" s="20">
        <v>46032.649155092593</v>
      </c>
      <c r="R1030" t="s">
        <v>5</v>
      </c>
      <c r="T1030" t="s">
        <v>548</v>
      </c>
    </row>
    <row r="1031" spans="1:20" ht="15" customHeight="1" x14ac:dyDescent="0.25">
      <c r="A1031">
        <f t="shared" si="16"/>
        <v>137</v>
      </c>
      <c r="B1031" t="s">
        <v>1663</v>
      </c>
      <c r="C1031" t="s">
        <v>47</v>
      </c>
      <c r="D1031">
        <v>49</v>
      </c>
      <c r="E10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1">
        <f ca="1">IF(Tabla142[[#This Row],[frecuencia_new]]="Diaria"," ",RANDBETWEEN(1,6))</f>
        <v>4</v>
      </c>
      <c r="G1031">
        <f ca="1">IF(Tabla142[[#This Row],[frecuencia_new]]="Diaria","",IF(Tabla142[[#This Row],[frecuencia_new]]="Semanal","",IF(Tabla142[[#This Row],[frecuencia_new]]="Quincenal",RANDBETWEEN(1,2),RANDBETWEEN(1,4))))</f>
        <v>2</v>
      </c>
      <c r="H103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031" t="s">
        <v>52</v>
      </c>
      <c r="K1031">
        <f>SUM(MID(Tabla142[[#This Row],[Duración]],1,2)*60,MID(Tabla142[[#This Row],[Duración]],6,2))</f>
        <v>30</v>
      </c>
      <c r="L1031" s="4" t="s">
        <v>48</v>
      </c>
      <c r="M1031" t="s">
        <v>239</v>
      </c>
      <c r="N1031" t="s">
        <v>240</v>
      </c>
      <c r="O1031" t="s">
        <v>380</v>
      </c>
      <c r="P1031" t="s">
        <v>360</v>
      </c>
      <c r="Q1031" s="20">
        <v>46032.649155092593</v>
      </c>
      <c r="R1031" t="s">
        <v>5</v>
      </c>
      <c r="T1031" t="s">
        <v>548</v>
      </c>
    </row>
    <row r="1032" spans="1:20" ht="15" customHeight="1" x14ac:dyDescent="0.25">
      <c r="A1032">
        <f t="shared" si="16"/>
        <v>137</v>
      </c>
      <c r="B1032" t="s">
        <v>1664</v>
      </c>
      <c r="C1032" t="s">
        <v>54</v>
      </c>
      <c r="D1032">
        <v>49</v>
      </c>
      <c r="E10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2">
        <f ca="1">IF(Tabla142[[#This Row],[frecuencia_new]]="Diaria"," ",RANDBETWEEN(1,6))</f>
        <v>5</v>
      </c>
      <c r="G1032">
        <f ca="1">IF(Tabla142[[#This Row],[frecuencia_new]]="Diaria","",IF(Tabla142[[#This Row],[frecuencia_new]]="Semanal","",IF(Tabla142[[#This Row],[frecuencia_new]]="Quincenal",RANDBETWEEN(1,2),RANDBETWEEN(1,4))))</f>
        <v>2</v>
      </c>
      <c r="H1032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032" t="s">
        <v>53</v>
      </c>
      <c r="K1032">
        <f>SUM(MID(Tabla142[[#This Row],[Duración]],1,2)*60,MID(Tabla142[[#This Row],[Duración]],6,2))</f>
        <v>30</v>
      </c>
      <c r="L1032" s="4" t="s">
        <v>48</v>
      </c>
      <c r="M1032" t="s">
        <v>239</v>
      </c>
      <c r="N1032" t="s">
        <v>240</v>
      </c>
      <c r="O1032" t="s">
        <v>380</v>
      </c>
      <c r="P1032" t="s">
        <v>360</v>
      </c>
      <c r="Q1032" s="20">
        <v>46032.649155092593</v>
      </c>
      <c r="R1032" t="s">
        <v>5</v>
      </c>
      <c r="T1032" t="s">
        <v>548</v>
      </c>
    </row>
    <row r="1033" spans="1:20" ht="15" customHeight="1" x14ac:dyDescent="0.25">
      <c r="A1033">
        <f t="shared" si="16"/>
        <v>137</v>
      </c>
      <c r="B1033" t="s">
        <v>1665</v>
      </c>
      <c r="C1033" t="s">
        <v>47</v>
      </c>
      <c r="D1033">
        <v>49</v>
      </c>
      <c r="E10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3">
        <f ca="1">IF(Tabla142[[#This Row],[frecuencia_new]]="Diaria"," ",RANDBETWEEN(1,6))</f>
        <v>2</v>
      </c>
      <c r="G1033">
        <f ca="1">IF(Tabla142[[#This Row],[frecuencia_new]]="Diaria","",IF(Tabla142[[#This Row],[frecuencia_new]]="Semanal","",IF(Tabla142[[#This Row],[frecuencia_new]]="Quincenal",RANDBETWEEN(1,2),RANDBETWEEN(1,4))))</f>
        <v>1</v>
      </c>
      <c r="H1033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033" t="s">
        <v>64</v>
      </c>
      <c r="K1033">
        <f>SUM(MID(Tabla142[[#This Row],[Duración]],1,2)*60,MID(Tabla142[[#This Row],[Duración]],6,2))</f>
        <v>30</v>
      </c>
      <c r="L1033" s="4" t="s">
        <v>48</v>
      </c>
      <c r="M1033" t="s">
        <v>239</v>
      </c>
      <c r="N1033" t="s">
        <v>240</v>
      </c>
      <c r="O1033" t="s">
        <v>380</v>
      </c>
      <c r="P1033" t="s">
        <v>360</v>
      </c>
      <c r="Q1033" s="20">
        <v>46032.649155092593</v>
      </c>
      <c r="R1033" t="s">
        <v>5</v>
      </c>
      <c r="T1033" t="s">
        <v>548</v>
      </c>
    </row>
    <row r="1034" spans="1:20" ht="15" customHeight="1" x14ac:dyDescent="0.25">
      <c r="A1034">
        <f t="shared" si="16"/>
        <v>137</v>
      </c>
      <c r="B1034" t="s">
        <v>1666</v>
      </c>
      <c r="C1034" t="s">
        <v>47</v>
      </c>
      <c r="D1034">
        <v>49</v>
      </c>
      <c r="E10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4">
        <f ca="1">IF(Tabla142[[#This Row],[frecuencia_new]]="Diaria"," ",RANDBETWEEN(1,6))</f>
        <v>6</v>
      </c>
      <c r="G1034">
        <f ca="1">IF(Tabla142[[#This Row],[frecuencia_new]]="Diaria","",IF(Tabla142[[#This Row],[frecuencia_new]]="Semanal","",IF(Tabla142[[#This Row],[frecuencia_new]]="Quincenal",RANDBETWEEN(1,2),RANDBETWEEN(1,4))))</f>
        <v>4</v>
      </c>
      <c r="H103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34" t="s">
        <v>53</v>
      </c>
      <c r="K1034">
        <f>SUM(MID(Tabla142[[#This Row],[Duración]],1,2)*60,MID(Tabla142[[#This Row],[Duración]],6,2))</f>
        <v>90</v>
      </c>
      <c r="L1034" s="4" t="s">
        <v>96</v>
      </c>
      <c r="M1034" t="s">
        <v>239</v>
      </c>
      <c r="N1034" t="s">
        <v>240</v>
      </c>
      <c r="O1034" t="s">
        <v>380</v>
      </c>
      <c r="P1034" t="s">
        <v>360</v>
      </c>
      <c r="Q1034" s="20">
        <v>46032.649155092593</v>
      </c>
      <c r="R1034" t="s">
        <v>5</v>
      </c>
      <c r="T1034" t="s">
        <v>548</v>
      </c>
    </row>
    <row r="1035" spans="1:20" ht="15" customHeight="1" x14ac:dyDescent="0.25">
      <c r="A1035">
        <f t="shared" si="16"/>
        <v>39</v>
      </c>
      <c r="B1035" t="s">
        <v>1667</v>
      </c>
      <c r="C1035" t="s">
        <v>47</v>
      </c>
      <c r="D1035">
        <v>61</v>
      </c>
      <c r="E10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35">
        <f ca="1">IF(Tabla142[[#This Row],[frecuencia_new]]="Diaria"," ",RANDBETWEEN(1,6))</f>
        <v>1</v>
      </c>
      <c r="G1035">
        <f ca="1">IF(Tabla142[[#This Row],[frecuencia_new]]="Diaria","",IF(Tabla142[[#This Row],[frecuencia_new]]="Semanal","",IF(Tabla142[[#This Row],[frecuencia_new]]="Quincenal",RANDBETWEEN(1,2),RANDBETWEEN(1,4))))</f>
        <v>1</v>
      </c>
      <c r="H103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35" t="s">
        <v>98</v>
      </c>
      <c r="K1035">
        <f>SUM(MID(Tabla142[[#This Row],[Duración]],1,2)*60,MID(Tabla142[[#This Row],[Duración]],6,2))</f>
        <v>30</v>
      </c>
      <c r="L1035" s="4" t="s">
        <v>48</v>
      </c>
      <c r="M1035" t="s">
        <v>239</v>
      </c>
      <c r="N1035" t="s">
        <v>240</v>
      </c>
      <c r="O1035" t="s">
        <v>384</v>
      </c>
      <c r="P1035" t="s">
        <v>360</v>
      </c>
      <c r="Q1035" s="20">
        <v>46032.649155092593</v>
      </c>
      <c r="R1035" t="s">
        <v>7</v>
      </c>
      <c r="T1035" t="s">
        <v>450</v>
      </c>
    </row>
    <row r="1036" spans="1:20" ht="15" customHeight="1" x14ac:dyDescent="0.25">
      <c r="A1036">
        <f t="shared" si="16"/>
        <v>39</v>
      </c>
      <c r="B1036" t="s">
        <v>1668</v>
      </c>
      <c r="C1036" t="s">
        <v>47</v>
      </c>
      <c r="D1036">
        <v>61</v>
      </c>
      <c r="E10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6">
        <f ca="1">IF(Tabla142[[#This Row],[frecuencia_new]]="Diaria"," ",RANDBETWEEN(1,6))</f>
        <v>6</v>
      </c>
      <c r="G1036">
        <f ca="1">IF(Tabla142[[#This Row],[frecuencia_new]]="Diaria","",IF(Tabla142[[#This Row],[frecuencia_new]]="Semanal","",IF(Tabla142[[#This Row],[frecuencia_new]]="Quincenal",RANDBETWEEN(1,2),RANDBETWEEN(1,4))))</f>
        <v>2</v>
      </c>
      <c r="H1036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036" t="s">
        <v>52</v>
      </c>
      <c r="K1036">
        <f>SUM(MID(Tabla142[[#This Row],[Duración]],1,2)*60,MID(Tabla142[[#This Row],[Duración]],6,2))</f>
        <v>30</v>
      </c>
      <c r="L1036" s="4" t="s">
        <v>48</v>
      </c>
      <c r="M1036" t="s">
        <v>239</v>
      </c>
      <c r="N1036" t="s">
        <v>240</v>
      </c>
      <c r="O1036" t="s">
        <v>384</v>
      </c>
      <c r="P1036" t="s">
        <v>360</v>
      </c>
      <c r="Q1036" s="20">
        <v>46032.649155092593</v>
      </c>
      <c r="R1036" t="s">
        <v>5</v>
      </c>
      <c r="T1036" t="s">
        <v>450</v>
      </c>
    </row>
    <row r="1037" spans="1:20" ht="15" customHeight="1" x14ac:dyDescent="0.25">
      <c r="A1037">
        <f t="shared" si="16"/>
        <v>84</v>
      </c>
      <c r="B1037" t="s">
        <v>1669</v>
      </c>
      <c r="C1037" t="s">
        <v>47</v>
      </c>
      <c r="D1037">
        <v>61</v>
      </c>
      <c r="E10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37">
        <f ca="1">IF(Tabla142[[#This Row],[frecuencia_new]]="Diaria"," ",RANDBETWEEN(1,6))</f>
        <v>3</v>
      </c>
      <c r="G1037">
        <f ca="1">IF(Tabla142[[#This Row],[frecuencia_new]]="Diaria","",IF(Tabla142[[#This Row],[frecuencia_new]]="Semanal","",IF(Tabla142[[#This Row],[frecuencia_new]]="Quincenal",RANDBETWEEN(1,2),RANDBETWEEN(1,4))))</f>
        <v>3</v>
      </c>
      <c r="H103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37" t="s">
        <v>99</v>
      </c>
      <c r="K1037">
        <f>SUM(MID(Tabla142[[#This Row],[Duración]],1,2)*60,MID(Tabla142[[#This Row],[Duración]],6,2))</f>
        <v>30</v>
      </c>
      <c r="L1037" s="4" t="s">
        <v>48</v>
      </c>
      <c r="M1037" t="s">
        <v>239</v>
      </c>
      <c r="N1037" t="s">
        <v>240</v>
      </c>
      <c r="O1037" t="s">
        <v>382</v>
      </c>
      <c r="P1037" t="s">
        <v>363</v>
      </c>
      <c r="Q1037" s="20">
        <v>46032.649155092593</v>
      </c>
      <c r="R1037" t="s">
        <v>7</v>
      </c>
      <c r="T1037" t="s">
        <v>495</v>
      </c>
    </row>
    <row r="1038" spans="1:20" ht="15" customHeight="1" x14ac:dyDescent="0.25">
      <c r="A1038">
        <f t="shared" si="16"/>
        <v>84</v>
      </c>
      <c r="B1038" t="s">
        <v>1670</v>
      </c>
      <c r="C1038" t="s">
        <v>47</v>
      </c>
      <c r="D1038">
        <v>61</v>
      </c>
      <c r="E10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38">
        <f ca="1">IF(Tabla142[[#This Row],[frecuencia_new]]="Diaria"," ",RANDBETWEEN(1,6))</f>
        <v>3</v>
      </c>
      <c r="G1038" t="str">
        <f ca="1">IF(Tabla142[[#This Row],[frecuencia_new]]="Diaria","",IF(Tabla142[[#This Row],[frecuencia_new]]="Semanal","",IF(Tabla142[[#This Row],[frecuencia_new]]="Quincenal",RANDBETWEEN(1,2),RANDBETWEEN(1,4))))</f>
        <v/>
      </c>
      <c r="H103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38" t="s">
        <v>100</v>
      </c>
      <c r="K1038">
        <f>SUM(MID(Tabla142[[#This Row],[Duración]],1,2)*60,MID(Tabla142[[#This Row],[Duración]],6,2))</f>
        <v>20</v>
      </c>
      <c r="L1038" s="4" t="s">
        <v>82</v>
      </c>
      <c r="M1038" t="s">
        <v>239</v>
      </c>
      <c r="N1038" t="s">
        <v>240</v>
      </c>
      <c r="O1038" t="s">
        <v>382</v>
      </c>
      <c r="P1038" t="s">
        <v>363</v>
      </c>
      <c r="Q1038" s="20">
        <v>46032.649155092593</v>
      </c>
      <c r="R1038" t="s">
        <v>8</v>
      </c>
      <c r="T1038" t="s">
        <v>495</v>
      </c>
    </row>
    <row r="1039" spans="1:20" ht="15" customHeight="1" x14ac:dyDescent="0.25">
      <c r="A1039">
        <f t="shared" si="16"/>
        <v>84</v>
      </c>
      <c r="B1039" t="s">
        <v>1671</v>
      </c>
      <c r="C1039" t="s">
        <v>47</v>
      </c>
      <c r="D1039">
        <v>61</v>
      </c>
      <c r="E10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39">
        <f ca="1">IF(Tabla142[[#This Row],[frecuencia_new]]="Diaria"," ",RANDBETWEEN(1,6))</f>
        <v>5</v>
      </c>
      <c r="G1039">
        <f ca="1">IF(Tabla142[[#This Row],[frecuencia_new]]="Diaria","",IF(Tabla142[[#This Row],[frecuencia_new]]="Semanal","",IF(Tabla142[[#This Row],[frecuencia_new]]="Quincenal",RANDBETWEEN(1,2),RANDBETWEEN(1,4))))</f>
        <v>4</v>
      </c>
      <c r="H1039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039" t="s">
        <v>102</v>
      </c>
      <c r="K1039">
        <f>SUM(MID(Tabla142[[#This Row],[Duración]],1,2)*60,MID(Tabla142[[#This Row],[Duración]],6,2))</f>
        <v>180</v>
      </c>
      <c r="L1039" s="4" t="s">
        <v>65</v>
      </c>
      <c r="M1039" t="s">
        <v>239</v>
      </c>
      <c r="N1039" t="s">
        <v>240</v>
      </c>
      <c r="O1039" t="s">
        <v>382</v>
      </c>
      <c r="P1039" t="s">
        <v>363</v>
      </c>
      <c r="Q1039" s="20">
        <v>46032.649155092593</v>
      </c>
      <c r="R1039" t="s">
        <v>5</v>
      </c>
      <c r="T1039" t="s">
        <v>495</v>
      </c>
    </row>
    <row r="1040" spans="1:20" ht="15" customHeight="1" x14ac:dyDescent="0.25">
      <c r="A1040">
        <f t="shared" si="16"/>
        <v>84</v>
      </c>
      <c r="B1040" t="s">
        <v>1672</v>
      </c>
      <c r="C1040" t="s">
        <v>47</v>
      </c>
      <c r="D1040">
        <v>61</v>
      </c>
      <c r="E10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40">
        <f ca="1">IF(Tabla142[[#This Row],[frecuencia_new]]="Diaria"," ",RANDBETWEEN(1,6))</f>
        <v>5</v>
      </c>
      <c r="G1040" t="str">
        <f ca="1">IF(Tabla142[[#This Row],[frecuencia_new]]="Diaria","",IF(Tabla142[[#This Row],[frecuencia_new]]="Semanal","",IF(Tabla142[[#This Row],[frecuencia_new]]="Quincenal",RANDBETWEEN(1,2),RANDBETWEEN(1,4))))</f>
        <v/>
      </c>
      <c r="H10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40" t="s">
        <v>80</v>
      </c>
      <c r="K1040">
        <f>SUM(MID(Tabla142[[#This Row],[Duración]],1,2)*60,MID(Tabla142[[#This Row],[Duración]],6,2))</f>
        <v>20</v>
      </c>
      <c r="L1040" s="4" t="s">
        <v>82</v>
      </c>
      <c r="M1040" t="s">
        <v>239</v>
      </c>
      <c r="N1040" t="s">
        <v>240</v>
      </c>
      <c r="O1040" t="s">
        <v>382</v>
      </c>
      <c r="P1040" t="s">
        <v>363</v>
      </c>
      <c r="Q1040" s="20">
        <v>46032.649155092593</v>
      </c>
      <c r="R1040" t="s">
        <v>8</v>
      </c>
      <c r="T1040" t="s">
        <v>495</v>
      </c>
    </row>
    <row r="1041" spans="1:20" x14ac:dyDescent="0.25">
      <c r="A1041">
        <f t="shared" si="16"/>
        <v>84</v>
      </c>
      <c r="B1041" t="s">
        <v>1673</v>
      </c>
      <c r="C1041" t="s">
        <v>47</v>
      </c>
      <c r="D1041">
        <v>61</v>
      </c>
      <c r="E10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1041">
        <f ca="1">IF(Tabla142[[#This Row],[frecuencia_new]]="Diaria"," ",RANDBETWEEN(1,6))</f>
        <v>1</v>
      </c>
      <c r="G1041">
        <f ca="1">IF(Tabla142[[#This Row],[frecuencia_new]]="Diaria","",IF(Tabla142[[#This Row],[frecuencia_new]]="Semanal","",IF(Tabla142[[#This Row],[frecuencia_new]]="Quincenal",RANDBETWEEN(1,2),RANDBETWEEN(1,4))))</f>
        <v>3</v>
      </c>
      <c r="H104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041" t="s">
        <v>103</v>
      </c>
      <c r="K1041">
        <f>SUM(MID(Tabla142[[#This Row],[Duración]],1,2)*60,MID(Tabla142[[#This Row],[Duración]],6,2))</f>
        <v>30</v>
      </c>
      <c r="L1041" s="4" t="s">
        <v>48</v>
      </c>
      <c r="M1041" t="s">
        <v>239</v>
      </c>
      <c r="N1041" t="s">
        <v>240</v>
      </c>
      <c r="O1041" t="s">
        <v>382</v>
      </c>
      <c r="P1041" t="s">
        <v>363</v>
      </c>
      <c r="Q1041" s="20">
        <v>46032.649155092593</v>
      </c>
      <c r="R1041" t="s">
        <v>20</v>
      </c>
      <c r="T1041" t="s">
        <v>495</v>
      </c>
    </row>
    <row r="1042" spans="1:20" ht="15" customHeight="1" x14ac:dyDescent="0.25">
      <c r="A1042">
        <f t="shared" si="16"/>
        <v>84</v>
      </c>
      <c r="B1042" t="s">
        <v>1674</v>
      </c>
      <c r="C1042" t="s">
        <v>47</v>
      </c>
      <c r="D1042">
        <v>61</v>
      </c>
      <c r="E10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42">
        <f ca="1">IF(Tabla142[[#This Row],[frecuencia_new]]="Diaria"," ",RANDBETWEEN(1,6))</f>
        <v>6</v>
      </c>
      <c r="G1042" t="str">
        <f ca="1">IF(Tabla142[[#This Row],[frecuencia_new]]="Diaria","",IF(Tabla142[[#This Row],[frecuencia_new]]="Semanal","",IF(Tabla142[[#This Row],[frecuencia_new]]="Quincenal",RANDBETWEEN(1,2),RANDBETWEEN(1,4))))</f>
        <v/>
      </c>
      <c r="H104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42" t="s">
        <v>57</v>
      </c>
      <c r="K1042">
        <f>SUM(MID(Tabla142[[#This Row],[Duración]],1,2)*60,MID(Tabla142[[#This Row],[Duración]],6,2))</f>
        <v>20</v>
      </c>
      <c r="L1042" s="4" t="s">
        <v>82</v>
      </c>
      <c r="M1042" t="s">
        <v>239</v>
      </c>
      <c r="N1042" t="s">
        <v>240</v>
      </c>
      <c r="O1042" t="s">
        <v>382</v>
      </c>
      <c r="P1042" t="s">
        <v>363</v>
      </c>
      <c r="Q1042" s="20">
        <v>46032.649155092593</v>
      </c>
      <c r="R1042" t="s">
        <v>8</v>
      </c>
      <c r="T1042" t="s">
        <v>495</v>
      </c>
    </row>
    <row r="1043" spans="1:20" ht="15" customHeight="1" x14ac:dyDescent="0.25">
      <c r="A1043">
        <f t="shared" si="16"/>
        <v>84</v>
      </c>
      <c r="B1043" t="s">
        <v>1675</v>
      </c>
      <c r="C1043" t="s">
        <v>47</v>
      </c>
      <c r="D1043">
        <v>61</v>
      </c>
      <c r="E10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43">
        <f ca="1">IF(Tabla142[[#This Row],[frecuencia_new]]="Diaria"," ",RANDBETWEEN(1,6))</f>
        <v>4</v>
      </c>
      <c r="G1043">
        <f ca="1">IF(Tabla142[[#This Row],[frecuencia_new]]="Diaria","",IF(Tabla142[[#This Row],[frecuencia_new]]="Semanal","",IF(Tabla142[[#This Row],[frecuencia_new]]="Quincenal",RANDBETWEEN(1,2),RANDBETWEEN(1,4))))</f>
        <v>2</v>
      </c>
      <c r="H104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43" t="s">
        <v>104</v>
      </c>
      <c r="K1043">
        <f>SUM(MID(Tabla142[[#This Row],[Duración]],1,2)*60,MID(Tabla142[[#This Row],[Duración]],6,2))</f>
        <v>30</v>
      </c>
      <c r="L1043" s="4" t="s">
        <v>48</v>
      </c>
      <c r="M1043" t="s">
        <v>239</v>
      </c>
      <c r="N1043" t="s">
        <v>240</v>
      </c>
      <c r="O1043" t="s">
        <v>382</v>
      </c>
      <c r="P1043" t="s">
        <v>363</v>
      </c>
      <c r="Q1043" s="20">
        <v>46032.649155092593</v>
      </c>
      <c r="R1043" t="s">
        <v>7</v>
      </c>
      <c r="T1043" t="s">
        <v>495</v>
      </c>
    </row>
    <row r="1044" spans="1:20" ht="15" customHeight="1" x14ac:dyDescent="0.25">
      <c r="A1044">
        <f t="shared" si="16"/>
        <v>142</v>
      </c>
      <c r="B1044" t="s">
        <v>1676</v>
      </c>
      <c r="C1044" t="s">
        <v>47</v>
      </c>
      <c r="D1044">
        <v>61</v>
      </c>
      <c r="E10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44">
        <f ca="1">IF(Tabla142[[#This Row],[frecuencia_new]]="Diaria"," ",RANDBETWEEN(1,6))</f>
        <v>4</v>
      </c>
      <c r="G1044">
        <f ca="1">IF(Tabla142[[#This Row],[frecuencia_new]]="Diaria","",IF(Tabla142[[#This Row],[frecuencia_new]]="Semanal","",IF(Tabla142[[#This Row],[frecuencia_new]]="Quincenal",RANDBETWEEN(1,2),RANDBETWEEN(1,4))))</f>
        <v>2</v>
      </c>
      <c r="H104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44" t="s">
        <v>46</v>
      </c>
      <c r="K1044">
        <f>SUM(MID(Tabla142[[#This Row],[Duración]],1,2)*60,MID(Tabla142[[#This Row],[Duración]],6,2))</f>
        <v>30</v>
      </c>
      <c r="L1044" s="4" t="s">
        <v>48</v>
      </c>
      <c r="M1044" t="s">
        <v>239</v>
      </c>
      <c r="N1044" t="s">
        <v>240</v>
      </c>
      <c r="O1044" t="s">
        <v>380</v>
      </c>
      <c r="P1044" t="s">
        <v>360</v>
      </c>
      <c r="Q1044" s="20">
        <v>46032.649155092593</v>
      </c>
      <c r="R1044" t="s">
        <v>5</v>
      </c>
      <c r="T1044" t="s">
        <v>553</v>
      </c>
    </row>
    <row r="1045" spans="1:20" ht="15" customHeight="1" x14ac:dyDescent="0.25">
      <c r="A1045">
        <f t="shared" si="16"/>
        <v>142</v>
      </c>
      <c r="B1045" t="s">
        <v>1677</v>
      </c>
      <c r="C1045" t="s">
        <v>54</v>
      </c>
      <c r="D1045">
        <v>61</v>
      </c>
      <c r="E10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45">
        <f ca="1">IF(Tabla142[[#This Row],[frecuencia_new]]="Diaria"," ",RANDBETWEEN(1,6))</f>
        <v>1</v>
      </c>
      <c r="G1045">
        <f ca="1">IF(Tabla142[[#This Row],[frecuencia_new]]="Diaria","",IF(Tabla142[[#This Row],[frecuencia_new]]="Semanal","",IF(Tabla142[[#This Row],[frecuencia_new]]="Quincenal",RANDBETWEEN(1,2),RANDBETWEEN(1,4))))</f>
        <v>3</v>
      </c>
      <c r="H104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045" t="s">
        <v>53</v>
      </c>
      <c r="K1045">
        <f>SUM(MID(Tabla142[[#This Row],[Duración]],1,2)*60,MID(Tabla142[[#This Row],[Duración]],6,2))</f>
        <v>30</v>
      </c>
      <c r="L1045" s="4" t="s">
        <v>48</v>
      </c>
      <c r="M1045" t="s">
        <v>239</v>
      </c>
      <c r="N1045" t="s">
        <v>240</v>
      </c>
      <c r="O1045" t="s">
        <v>380</v>
      </c>
      <c r="P1045" t="s">
        <v>360</v>
      </c>
      <c r="Q1045" s="20">
        <v>46032.649155092593</v>
      </c>
      <c r="R1045" t="s">
        <v>5</v>
      </c>
      <c r="T1045" t="s">
        <v>553</v>
      </c>
    </row>
    <row r="1046" spans="1:20" ht="15" customHeight="1" x14ac:dyDescent="0.25">
      <c r="A1046">
        <f t="shared" si="16"/>
        <v>142</v>
      </c>
      <c r="B1046" t="s">
        <v>1678</v>
      </c>
      <c r="C1046" t="s">
        <v>47</v>
      </c>
      <c r="D1046">
        <v>61</v>
      </c>
      <c r="E10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46">
        <f ca="1">IF(Tabla142[[#This Row],[frecuencia_new]]="Diaria"," ",RANDBETWEEN(1,6))</f>
        <v>2</v>
      </c>
      <c r="G1046">
        <f ca="1">IF(Tabla142[[#This Row],[frecuencia_new]]="Diaria","",IF(Tabla142[[#This Row],[frecuencia_new]]="Semanal","",IF(Tabla142[[#This Row],[frecuencia_new]]="Quincenal",RANDBETWEEN(1,2),RANDBETWEEN(1,4))))</f>
        <v>3</v>
      </c>
      <c r="H1046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046" t="s">
        <v>56</v>
      </c>
      <c r="K1046">
        <f>SUM(MID(Tabla142[[#This Row],[Duración]],1,2)*60,MID(Tabla142[[#This Row],[Duración]],6,2))</f>
        <v>30</v>
      </c>
      <c r="L1046" s="4" t="s">
        <v>48</v>
      </c>
      <c r="M1046" t="s">
        <v>239</v>
      </c>
      <c r="N1046" t="s">
        <v>240</v>
      </c>
      <c r="O1046" t="s">
        <v>380</v>
      </c>
      <c r="P1046" t="s">
        <v>360</v>
      </c>
      <c r="Q1046" s="20">
        <v>46032.649155092593</v>
      </c>
      <c r="R1046" t="s">
        <v>5</v>
      </c>
      <c r="T1046" t="s">
        <v>553</v>
      </c>
    </row>
    <row r="1047" spans="1:20" ht="15" customHeight="1" x14ac:dyDescent="0.25">
      <c r="A1047">
        <f t="shared" si="16"/>
        <v>164</v>
      </c>
      <c r="B1047" t="s">
        <v>1679</v>
      </c>
      <c r="C1047" t="s">
        <v>47</v>
      </c>
      <c r="D1047">
        <v>61</v>
      </c>
      <c r="E10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47" t="str">
        <f ca="1">IF(Tabla142[[#This Row],[frecuencia_new]]="Diaria"," ",RANDBETWEEN(1,6))</f>
        <v xml:space="preserve"> </v>
      </c>
      <c r="G1047" t="str">
        <f ca="1">IF(Tabla142[[#This Row],[frecuencia_new]]="Diaria","",IF(Tabla142[[#This Row],[frecuencia_new]]="Semanal","",IF(Tabla142[[#This Row],[frecuencia_new]]="Quincenal",RANDBETWEEN(1,2),RANDBETWEEN(1,4))))</f>
        <v/>
      </c>
      <c r="H10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47" t="s">
        <v>101</v>
      </c>
      <c r="K1047">
        <f>SUM(MID(Tabla142[[#This Row],[Duración]],1,2)*60,MID(Tabla142[[#This Row],[Duración]],6,2))</f>
        <v>5</v>
      </c>
      <c r="L1047" s="4" t="s">
        <v>50</v>
      </c>
      <c r="M1047" t="s">
        <v>239</v>
      </c>
      <c r="N1047" t="s">
        <v>240</v>
      </c>
      <c r="O1047" t="s">
        <v>383</v>
      </c>
      <c r="P1047" t="s">
        <v>361</v>
      </c>
      <c r="Q1047" s="20">
        <v>46032.649155092593</v>
      </c>
      <c r="R1047" t="s">
        <v>6</v>
      </c>
      <c r="T1047" t="s">
        <v>575</v>
      </c>
    </row>
    <row r="1048" spans="1:20" ht="15" customHeight="1" x14ac:dyDescent="0.25">
      <c r="A1048">
        <f t="shared" si="16"/>
        <v>85</v>
      </c>
      <c r="B1048" t="s">
        <v>1680</v>
      </c>
      <c r="C1048" t="s">
        <v>47</v>
      </c>
      <c r="D1048">
        <v>62</v>
      </c>
      <c r="E10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48">
        <f ca="1">IF(Tabla142[[#This Row],[frecuencia_new]]="Diaria"," ",RANDBETWEEN(1,6))</f>
        <v>1</v>
      </c>
      <c r="G1048">
        <f ca="1">IF(Tabla142[[#This Row],[frecuencia_new]]="Diaria","",IF(Tabla142[[#This Row],[frecuencia_new]]="Semanal","",IF(Tabla142[[#This Row],[frecuencia_new]]="Quincenal",RANDBETWEEN(1,2),RANDBETWEEN(1,4))))</f>
        <v>2</v>
      </c>
      <c r="H10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48" t="s">
        <v>99</v>
      </c>
      <c r="K1048">
        <f>SUM(MID(Tabla142[[#This Row],[Duración]],1,2)*60,MID(Tabla142[[#This Row],[Duración]],6,2))</f>
        <v>30</v>
      </c>
      <c r="L1048" s="4" t="s">
        <v>48</v>
      </c>
      <c r="M1048" t="s">
        <v>239</v>
      </c>
      <c r="N1048" t="s">
        <v>240</v>
      </c>
      <c r="O1048" t="s">
        <v>382</v>
      </c>
      <c r="P1048" t="s">
        <v>363</v>
      </c>
      <c r="Q1048" s="20">
        <v>46032.649155092593</v>
      </c>
      <c r="R1048" t="s">
        <v>7</v>
      </c>
      <c r="T1048" t="s">
        <v>496</v>
      </c>
    </row>
    <row r="1049" spans="1:20" ht="15" customHeight="1" x14ac:dyDescent="0.25">
      <c r="A1049">
        <f t="shared" si="16"/>
        <v>85</v>
      </c>
      <c r="B1049" t="s">
        <v>1681</v>
      </c>
      <c r="C1049" t="s">
        <v>47</v>
      </c>
      <c r="D1049">
        <v>62</v>
      </c>
      <c r="E10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49">
        <f ca="1">IF(Tabla142[[#This Row],[frecuencia_new]]="Diaria"," ",RANDBETWEEN(1,6))</f>
        <v>4</v>
      </c>
      <c r="G1049" t="str">
        <f ca="1">IF(Tabla142[[#This Row],[frecuencia_new]]="Diaria","",IF(Tabla142[[#This Row],[frecuencia_new]]="Semanal","",IF(Tabla142[[#This Row],[frecuencia_new]]="Quincenal",RANDBETWEEN(1,2),RANDBETWEEN(1,4))))</f>
        <v/>
      </c>
      <c r="H104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49" t="s">
        <v>100</v>
      </c>
      <c r="K1049">
        <f>SUM(MID(Tabla142[[#This Row],[Duración]],1,2)*60,MID(Tabla142[[#This Row],[Duración]],6,2))</f>
        <v>20</v>
      </c>
      <c r="L1049" s="4" t="s">
        <v>82</v>
      </c>
      <c r="M1049" t="s">
        <v>239</v>
      </c>
      <c r="N1049" t="s">
        <v>240</v>
      </c>
      <c r="O1049" t="s">
        <v>382</v>
      </c>
      <c r="P1049" t="s">
        <v>363</v>
      </c>
      <c r="Q1049" s="20">
        <v>46032.649155092593</v>
      </c>
      <c r="R1049" t="s">
        <v>8</v>
      </c>
      <c r="T1049" t="s">
        <v>496</v>
      </c>
    </row>
    <row r="1050" spans="1:20" ht="15" customHeight="1" x14ac:dyDescent="0.25">
      <c r="A1050">
        <f t="shared" si="16"/>
        <v>85</v>
      </c>
      <c r="B1050" t="s">
        <v>1682</v>
      </c>
      <c r="C1050" t="s">
        <v>47</v>
      </c>
      <c r="D1050">
        <v>62</v>
      </c>
      <c r="E10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50">
        <f ca="1">IF(Tabla142[[#This Row],[frecuencia_new]]="Diaria"," ",RANDBETWEEN(1,6))</f>
        <v>3</v>
      </c>
      <c r="G1050">
        <f ca="1">IF(Tabla142[[#This Row],[frecuencia_new]]="Diaria","",IF(Tabla142[[#This Row],[frecuencia_new]]="Semanal","",IF(Tabla142[[#This Row],[frecuencia_new]]="Quincenal",RANDBETWEEN(1,2),RANDBETWEEN(1,4))))</f>
        <v>1</v>
      </c>
      <c r="H1050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50" t="s">
        <v>102</v>
      </c>
      <c r="K1050">
        <f>SUM(MID(Tabla142[[#This Row],[Duración]],1,2)*60,MID(Tabla142[[#This Row],[Duración]],6,2))</f>
        <v>180</v>
      </c>
      <c r="L1050" s="4" t="s">
        <v>65</v>
      </c>
      <c r="M1050" t="s">
        <v>239</v>
      </c>
      <c r="N1050" t="s">
        <v>240</v>
      </c>
      <c r="O1050" t="s">
        <v>382</v>
      </c>
      <c r="P1050" t="s">
        <v>363</v>
      </c>
      <c r="Q1050" s="20">
        <v>46032.649155092593</v>
      </c>
      <c r="R1050" t="s">
        <v>5</v>
      </c>
      <c r="T1050" t="s">
        <v>496</v>
      </c>
    </row>
    <row r="1051" spans="1:20" ht="15" customHeight="1" x14ac:dyDescent="0.25">
      <c r="A1051">
        <f t="shared" si="16"/>
        <v>85</v>
      </c>
      <c r="B1051" t="s">
        <v>1683</v>
      </c>
      <c r="C1051" t="s">
        <v>47</v>
      </c>
      <c r="D1051">
        <v>62</v>
      </c>
      <c r="E10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51">
        <f ca="1">IF(Tabla142[[#This Row],[frecuencia_new]]="Diaria"," ",RANDBETWEEN(1,6))</f>
        <v>1</v>
      </c>
      <c r="G1051" t="str">
        <f ca="1">IF(Tabla142[[#This Row],[frecuencia_new]]="Diaria","",IF(Tabla142[[#This Row],[frecuencia_new]]="Semanal","",IF(Tabla142[[#This Row],[frecuencia_new]]="Quincenal",RANDBETWEEN(1,2),RANDBETWEEN(1,4))))</f>
        <v/>
      </c>
      <c r="H105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51" t="s">
        <v>80</v>
      </c>
      <c r="K1051">
        <f>SUM(MID(Tabla142[[#This Row],[Duración]],1,2)*60,MID(Tabla142[[#This Row],[Duración]],6,2))</f>
        <v>20</v>
      </c>
      <c r="L1051" s="4" t="s">
        <v>82</v>
      </c>
      <c r="M1051" t="s">
        <v>239</v>
      </c>
      <c r="N1051" t="s">
        <v>240</v>
      </c>
      <c r="O1051" t="s">
        <v>382</v>
      </c>
      <c r="P1051" t="s">
        <v>363</v>
      </c>
      <c r="Q1051" s="20">
        <v>46032.649155092593</v>
      </c>
      <c r="R1051" t="s">
        <v>8</v>
      </c>
      <c r="T1051" t="s">
        <v>496</v>
      </c>
    </row>
    <row r="1052" spans="1:20" x14ac:dyDescent="0.25">
      <c r="A1052">
        <f t="shared" si="16"/>
        <v>85</v>
      </c>
      <c r="B1052" t="s">
        <v>1684</v>
      </c>
      <c r="C1052" t="s">
        <v>47</v>
      </c>
      <c r="D1052">
        <v>62</v>
      </c>
      <c r="E10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1052">
        <f ca="1">IF(Tabla142[[#This Row],[frecuencia_new]]="Diaria"," ",RANDBETWEEN(1,6))</f>
        <v>1</v>
      </c>
      <c r="G1052">
        <f ca="1">IF(Tabla142[[#This Row],[frecuencia_new]]="Diaria","",IF(Tabla142[[#This Row],[frecuencia_new]]="Semanal","",IF(Tabla142[[#This Row],[frecuencia_new]]="Quincenal",RANDBETWEEN(1,2),RANDBETWEEN(1,4))))</f>
        <v>1</v>
      </c>
      <c r="H1052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052" t="s">
        <v>103</v>
      </c>
      <c r="K1052">
        <f>SUM(MID(Tabla142[[#This Row],[Duración]],1,2)*60,MID(Tabla142[[#This Row],[Duración]],6,2))</f>
        <v>30</v>
      </c>
      <c r="L1052" s="4" t="s">
        <v>48</v>
      </c>
      <c r="M1052" t="s">
        <v>239</v>
      </c>
      <c r="N1052" t="s">
        <v>240</v>
      </c>
      <c r="O1052" t="s">
        <v>382</v>
      </c>
      <c r="P1052" t="s">
        <v>363</v>
      </c>
      <c r="Q1052" s="20">
        <v>46032.649155092593</v>
      </c>
      <c r="R1052" t="s">
        <v>20</v>
      </c>
      <c r="T1052" t="s">
        <v>496</v>
      </c>
    </row>
    <row r="1053" spans="1:20" ht="15" customHeight="1" x14ac:dyDescent="0.25">
      <c r="A1053">
        <f t="shared" si="16"/>
        <v>85</v>
      </c>
      <c r="B1053" t="s">
        <v>1685</v>
      </c>
      <c r="C1053" t="s">
        <v>47</v>
      </c>
      <c r="D1053">
        <v>62</v>
      </c>
      <c r="E10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53">
        <f ca="1">IF(Tabla142[[#This Row],[frecuencia_new]]="Diaria"," ",RANDBETWEEN(1,6))</f>
        <v>3</v>
      </c>
      <c r="G1053" t="str">
        <f ca="1">IF(Tabla142[[#This Row],[frecuencia_new]]="Diaria","",IF(Tabla142[[#This Row],[frecuencia_new]]="Semanal","",IF(Tabla142[[#This Row],[frecuencia_new]]="Quincenal",RANDBETWEEN(1,2),RANDBETWEEN(1,4))))</f>
        <v/>
      </c>
      <c r="H10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53" t="s">
        <v>57</v>
      </c>
      <c r="K1053">
        <f>SUM(MID(Tabla142[[#This Row],[Duración]],1,2)*60,MID(Tabla142[[#This Row],[Duración]],6,2))</f>
        <v>20</v>
      </c>
      <c r="L1053" s="4" t="s">
        <v>82</v>
      </c>
      <c r="M1053" t="s">
        <v>239</v>
      </c>
      <c r="N1053" t="s">
        <v>240</v>
      </c>
      <c r="O1053" t="s">
        <v>382</v>
      </c>
      <c r="P1053" t="s">
        <v>363</v>
      </c>
      <c r="Q1053" s="20">
        <v>46032.649155092593</v>
      </c>
      <c r="R1053" t="s">
        <v>8</v>
      </c>
      <c r="T1053" t="s">
        <v>496</v>
      </c>
    </row>
    <row r="1054" spans="1:20" ht="15" customHeight="1" x14ac:dyDescent="0.25">
      <c r="A1054">
        <f t="shared" si="16"/>
        <v>85</v>
      </c>
      <c r="B1054" t="s">
        <v>1686</v>
      </c>
      <c r="C1054" t="s">
        <v>47</v>
      </c>
      <c r="D1054">
        <v>62</v>
      </c>
      <c r="E10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54">
        <f ca="1">IF(Tabla142[[#This Row],[frecuencia_new]]="Diaria"," ",RANDBETWEEN(1,6))</f>
        <v>5</v>
      </c>
      <c r="G1054">
        <f ca="1">IF(Tabla142[[#This Row],[frecuencia_new]]="Diaria","",IF(Tabla142[[#This Row],[frecuencia_new]]="Semanal","",IF(Tabla142[[#This Row],[frecuencia_new]]="Quincenal",RANDBETWEEN(1,2),RANDBETWEEN(1,4))))</f>
        <v>4</v>
      </c>
      <c r="H10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54" t="s">
        <v>104</v>
      </c>
      <c r="K1054">
        <f>SUM(MID(Tabla142[[#This Row],[Duración]],1,2)*60,MID(Tabla142[[#This Row],[Duración]],6,2))</f>
        <v>30</v>
      </c>
      <c r="L1054" s="4" t="s">
        <v>48</v>
      </c>
      <c r="M1054" t="s">
        <v>239</v>
      </c>
      <c r="N1054" t="s">
        <v>240</v>
      </c>
      <c r="O1054" t="s">
        <v>382</v>
      </c>
      <c r="P1054" t="s">
        <v>363</v>
      </c>
      <c r="Q1054" s="20">
        <v>46032.649155092593</v>
      </c>
      <c r="R1054" t="s">
        <v>7</v>
      </c>
      <c r="T1054" t="s">
        <v>496</v>
      </c>
    </row>
    <row r="1055" spans="1:20" ht="15" customHeight="1" x14ac:dyDescent="0.25">
      <c r="A1055">
        <f t="shared" si="16"/>
        <v>143</v>
      </c>
      <c r="B1055" t="s">
        <v>1687</v>
      </c>
      <c r="C1055" t="s">
        <v>47</v>
      </c>
      <c r="D1055">
        <v>62</v>
      </c>
      <c r="E10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55">
        <f ca="1">IF(Tabla142[[#This Row],[frecuencia_new]]="Diaria"," ",RANDBETWEEN(1,6))</f>
        <v>1</v>
      </c>
      <c r="G1055">
        <f ca="1">IF(Tabla142[[#This Row],[frecuencia_new]]="Diaria","",IF(Tabla142[[#This Row],[frecuencia_new]]="Semanal","",IF(Tabla142[[#This Row],[frecuencia_new]]="Quincenal",RANDBETWEEN(1,2),RANDBETWEEN(1,4))))</f>
        <v>1</v>
      </c>
      <c r="H105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055" t="s">
        <v>46</v>
      </c>
      <c r="K1055">
        <f>SUM(MID(Tabla142[[#This Row],[Duración]],1,2)*60,MID(Tabla142[[#This Row],[Duración]],6,2))</f>
        <v>30</v>
      </c>
      <c r="L1055" s="4" t="s">
        <v>48</v>
      </c>
      <c r="M1055" t="s">
        <v>239</v>
      </c>
      <c r="N1055" t="s">
        <v>240</v>
      </c>
      <c r="O1055" t="s">
        <v>380</v>
      </c>
      <c r="P1055" t="s">
        <v>360</v>
      </c>
      <c r="Q1055" s="20">
        <v>46032.649155092593</v>
      </c>
      <c r="R1055" t="s">
        <v>5</v>
      </c>
      <c r="T1055" t="s">
        <v>554</v>
      </c>
    </row>
    <row r="1056" spans="1:20" ht="15" customHeight="1" x14ac:dyDescent="0.25">
      <c r="A1056">
        <f t="shared" si="16"/>
        <v>143</v>
      </c>
      <c r="B1056" t="s">
        <v>1688</v>
      </c>
      <c r="C1056" t="s">
        <v>47</v>
      </c>
      <c r="D1056">
        <v>62</v>
      </c>
      <c r="E10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56">
        <f ca="1">IF(Tabla142[[#This Row],[frecuencia_new]]="Diaria"," ",RANDBETWEEN(1,6))</f>
        <v>5</v>
      </c>
      <c r="G1056">
        <f ca="1">IF(Tabla142[[#This Row],[frecuencia_new]]="Diaria","",IF(Tabla142[[#This Row],[frecuencia_new]]="Semanal","",IF(Tabla142[[#This Row],[frecuencia_new]]="Quincenal",RANDBETWEEN(1,2),RANDBETWEEN(1,4))))</f>
        <v>3</v>
      </c>
      <c r="H10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56" t="s">
        <v>98</v>
      </c>
      <c r="K1056">
        <f>SUM(MID(Tabla142[[#This Row],[Duración]],1,2)*60,MID(Tabla142[[#This Row],[Duración]],6,2))</f>
        <v>30</v>
      </c>
      <c r="L1056" s="4" t="s">
        <v>48</v>
      </c>
      <c r="M1056" t="s">
        <v>239</v>
      </c>
      <c r="N1056" t="s">
        <v>240</v>
      </c>
      <c r="O1056" t="s">
        <v>380</v>
      </c>
      <c r="P1056" t="s">
        <v>360</v>
      </c>
      <c r="Q1056" s="20">
        <v>46032.649155092593</v>
      </c>
      <c r="R1056" t="s">
        <v>7</v>
      </c>
      <c r="T1056" t="s">
        <v>554</v>
      </c>
    </row>
    <row r="1057" spans="1:20" ht="15" customHeight="1" x14ac:dyDescent="0.25">
      <c r="A1057">
        <f t="shared" si="16"/>
        <v>143</v>
      </c>
      <c r="B1057" t="s">
        <v>1689</v>
      </c>
      <c r="C1057" t="s">
        <v>47</v>
      </c>
      <c r="D1057">
        <v>62</v>
      </c>
      <c r="E10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57">
        <f ca="1">IF(Tabla142[[#This Row],[frecuencia_new]]="Diaria"," ",RANDBETWEEN(1,6))</f>
        <v>3</v>
      </c>
      <c r="G1057">
        <f ca="1">IF(Tabla142[[#This Row],[frecuencia_new]]="Diaria","",IF(Tabla142[[#This Row],[frecuencia_new]]="Semanal","",IF(Tabla142[[#This Row],[frecuencia_new]]="Quincenal",RANDBETWEEN(1,2),RANDBETWEEN(1,4))))</f>
        <v>3</v>
      </c>
      <c r="H1057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057" t="s">
        <v>52</v>
      </c>
      <c r="K1057">
        <f>SUM(MID(Tabla142[[#This Row],[Duración]],1,2)*60,MID(Tabla142[[#This Row],[Duración]],6,2))</f>
        <v>30</v>
      </c>
      <c r="L1057" s="4" t="s">
        <v>48</v>
      </c>
      <c r="M1057" t="s">
        <v>239</v>
      </c>
      <c r="N1057" t="s">
        <v>240</v>
      </c>
      <c r="O1057" t="s">
        <v>380</v>
      </c>
      <c r="P1057" t="s">
        <v>360</v>
      </c>
      <c r="Q1057" s="20">
        <v>46032.649155092593</v>
      </c>
      <c r="R1057" t="s">
        <v>5</v>
      </c>
      <c r="T1057" t="s">
        <v>554</v>
      </c>
    </row>
    <row r="1058" spans="1:20" ht="15" customHeight="1" x14ac:dyDescent="0.25">
      <c r="A1058">
        <f t="shared" si="16"/>
        <v>143</v>
      </c>
      <c r="B1058" t="s">
        <v>1690</v>
      </c>
      <c r="C1058" s="11" t="s">
        <v>54</v>
      </c>
      <c r="D1058" s="11">
        <v>62</v>
      </c>
      <c r="E10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58">
        <f ca="1">IF(Tabla142[[#This Row],[frecuencia_new]]="Diaria"," ",RANDBETWEEN(1,6))</f>
        <v>3</v>
      </c>
      <c r="G1058">
        <f ca="1">IF(Tabla142[[#This Row],[frecuencia_new]]="Diaria","",IF(Tabla142[[#This Row],[frecuencia_new]]="Semanal","",IF(Tabla142[[#This Row],[frecuencia_new]]="Quincenal",RANDBETWEEN(1,2),RANDBETWEEN(1,4))))</f>
        <v>1</v>
      </c>
      <c r="H1058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058" s="11" t="s">
        <v>53</v>
      </c>
      <c r="K1058" s="11">
        <f>SUM(MID(Tabla142[[#This Row],[Duración]],1,2)*60,MID(Tabla142[[#This Row],[Duración]],6,2))</f>
        <v>30</v>
      </c>
      <c r="L1058" s="15" t="s">
        <v>48</v>
      </c>
      <c r="M1058" s="11" t="s">
        <v>239</v>
      </c>
      <c r="N1058" t="s">
        <v>240</v>
      </c>
      <c r="O1058" t="s">
        <v>380</v>
      </c>
      <c r="P1058" t="s">
        <v>360</v>
      </c>
      <c r="Q1058" s="20">
        <v>46032.649155092593</v>
      </c>
      <c r="R1058" s="11" t="s">
        <v>5</v>
      </c>
      <c r="T1058" t="s">
        <v>554</v>
      </c>
    </row>
    <row r="1059" spans="1:20" ht="15" customHeight="1" x14ac:dyDescent="0.25">
      <c r="A1059">
        <f t="shared" si="16"/>
        <v>143</v>
      </c>
      <c r="B1059" t="s">
        <v>1691</v>
      </c>
      <c r="C1059" s="11" t="s">
        <v>47</v>
      </c>
      <c r="D1059" s="11">
        <v>62</v>
      </c>
      <c r="E10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59">
        <f ca="1">IF(Tabla142[[#This Row],[frecuencia_new]]="Diaria"," ",RANDBETWEEN(1,6))</f>
        <v>6</v>
      </c>
      <c r="G1059">
        <f ca="1">IF(Tabla142[[#This Row],[frecuencia_new]]="Diaria","",IF(Tabla142[[#This Row],[frecuencia_new]]="Semanal","",IF(Tabla142[[#This Row],[frecuencia_new]]="Quincenal",RANDBETWEEN(1,2),RANDBETWEEN(1,4))))</f>
        <v>3</v>
      </c>
      <c r="H105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059" s="11" t="s">
        <v>56</v>
      </c>
      <c r="K1059" s="11">
        <f>SUM(MID(Tabla142[[#This Row],[Duración]],1,2)*60,MID(Tabla142[[#This Row],[Duración]],6,2))</f>
        <v>30</v>
      </c>
      <c r="L1059" s="15" t="s">
        <v>48</v>
      </c>
      <c r="M1059" s="11" t="s">
        <v>239</v>
      </c>
      <c r="N1059" t="s">
        <v>240</v>
      </c>
      <c r="O1059" t="s">
        <v>380</v>
      </c>
      <c r="P1059" t="s">
        <v>360</v>
      </c>
      <c r="Q1059" s="20">
        <v>46032.649155092593</v>
      </c>
      <c r="R1059" s="11" t="s">
        <v>5</v>
      </c>
      <c r="T1059" t="s">
        <v>554</v>
      </c>
    </row>
    <row r="1060" spans="1:20" ht="15" customHeight="1" x14ac:dyDescent="0.25">
      <c r="A1060">
        <f t="shared" si="16"/>
        <v>165</v>
      </c>
      <c r="B1060" t="s">
        <v>1692</v>
      </c>
      <c r="C1060" s="11" t="s">
        <v>47</v>
      </c>
      <c r="D1060" s="11">
        <v>62</v>
      </c>
      <c r="E10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60" t="str">
        <f ca="1">IF(Tabla142[[#This Row],[frecuencia_new]]="Diaria"," ",RANDBETWEEN(1,6))</f>
        <v xml:space="preserve"> </v>
      </c>
      <c r="G1060" t="str">
        <f ca="1">IF(Tabla142[[#This Row],[frecuencia_new]]="Diaria","",IF(Tabla142[[#This Row],[frecuencia_new]]="Semanal","",IF(Tabla142[[#This Row],[frecuencia_new]]="Quincenal",RANDBETWEEN(1,2),RANDBETWEEN(1,4))))</f>
        <v/>
      </c>
      <c r="H106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60" s="11" t="s">
        <v>101</v>
      </c>
      <c r="K1060" s="11">
        <f>SUM(MID(Tabla142[[#This Row],[Duración]],1,2)*60,MID(Tabla142[[#This Row],[Duración]],6,2))</f>
        <v>5</v>
      </c>
      <c r="L1060" s="15" t="s">
        <v>50</v>
      </c>
      <c r="M1060" s="11" t="s">
        <v>239</v>
      </c>
      <c r="N1060" t="s">
        <v>240</v>
      </c>
      <c r="O1060" t="s">
        <v>383</v>
      </c>
      <c r="P1060" t="s">
        <v>361</v>
      </c>
      <c r="Q1060" s="20">
        <v>46032.649155092593</v>
      </c>
      <c r="R1060" s="11" t="s">
        <v>6</v>
      </c>
      <c r="T1060" t="s">
        <v>576</v>
      </c>
    </row>
    <row r="1061" spans="1:20" ht="15" customHeight="1" x14ac:dyDescent="0.25">
      <c r="A1061">
        <f t="shared" si="16"/>
        <v>54</v>
      </c>
      <c r="B1061" t="s">
        <v>1693</v>
      </c>
      <c r="C1061" s="11" t="s">
        <v>47</v>
      </c>
      <c r="D1061" s="11">
        <v>130</v>
      </c>
      <c r="E10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61">
        <f ca="1">IF(Tabla142[[#This Row],[frecuencia_new]]="Diaria"," ",RANDBETWEEN(1,6))</f>
        <v>2</v>
      </c>
      <c r="G1061">
        <f ca="1">IF(Tabla142[[#This Row],[frecuencia_new]]="Diaria","",IF(Tabla142[[#This Row],[frecuencia_new]]="Semanal","",IF(Tabla142[[#This Row],[frecuencia_new]]="Quincenal",RANDBETWEEN(1,2),RANDBETWEEN(1,4))))</f>
        <v>2</v>
      </c>
      <c r="H1061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061" s="11" t="s">
        <v>46</v>
      </c>
      <c r="K1061" s="11">
        <f>SUM(MID(Tabla142[[#This Row],[Duración]],1,2)*60,MID(Tabla142[[#This Row],[Duración]],6,2))</f>
        <v>30</v>
      </c>
      <c r="L1061" s="15" t="s">
        <v>48</v>
      </c>
      <c r="M1061" s="11" t="s">
        <v>239</v>
      </c>
      <c r="N1061" t="s">
        <v>240</v>
      </c>
      <c r="O1061" t="s">
        <v>384</v>
      </c>
      <c r="P1061" t="s">
        <v>360</v>
      </c>
      <c r="Q1061" s="20">
        <v>46032.649155092593</v>
      </c>
      <c r="R1061" s="11" t="s">
        <v>5</v>
      </c>
      <c r="T1061" t="s">
        <v>465</v>
      </c>
    </row>
    <row r="1062" spans="1:20" ht="15" customHeight="1" x14ac:dyDescent="0.25">
      <c r="A1062">
        <f t="shared" si="16"/>
        <v>54</v>
      </c>
      <c r="B1062" t="s">
        <v>1694</v>
      </c>
      <c r="C1062" s="11" t="s">
        <v>47</v>
      </c>
      <c r="D1062" s="11">
        <v>130</v>
      </c>
      <c r="E10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62">
        <f ca="1">IF(Tabla142[[#This Row],[frecuencia_new]]="Diaria"," ",RANDBETWEEN(1,6))</f>
        <v>3</v>
      </c>
      <c r="G1062">
        <f ca="1">IF(Tabla142[[#This Row],[frecuencia_new]]="Diaria","",IF(Tabla142[[#This Row],[frecuencia_new]]="Semanal","",IF(Tabla142[[#This Row],[frecuencia_new]]="Quincenal",RANDBETWEEN(1,2),RANDBETWEEN(1,4))))</f>
        <v>3</v>
      </c>
      <c r="H1062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62" s="11" t="s">
        <v>52</v>
      </c>
      <c r="K1062" s="11">
        <f>SUM(MID(Tabla142[[#This Row],[Duración]],1,2)*60,MID(Tabla142[[#This Row],[Duración]],6,2))</f>
        <v>30</v>
      </c>
      <c r="L1062" s="15" t="s">
        <v>48</v>
      </c>
      <c r="M1062" s="11" t="s">
        <v>239</v>
      </c>
      <c r="N1062" t="s">
        <v>240</v>
      </c>
      <c r="O1062" t="s">
        <v>384</v>
      </c>
      <c r="P1062" t="s">
        <v>360</v>
      </c>
      <c r="Q1062" s="20">
        <v>46032.649155092593</v>
      </c>
      <c r="R1062" s="11" t="s">
        <v>5</v>
      </c>
      <c r="T1062" t="s">
        <v>465</v>
      </c>
    </row>
    <row r="1063" spans="1:20" ht="15" customHeight="1" x14ac:dyDescent="0.25">
      <c r="A1063">
        <f t="shared" si="16"/>
        <v>54</v>
      </c>
      <c r="B1063" t="s">
        <v>1695</v>
      </c>
      <c r="C1063" s="11" t="s">
        <v>54</v>
      </c>
      <c r="D1063" s="11">
        <v>130</v>
      </c>
      <c r="E10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63">
        <f ca="1">IF(Tabla142[[#This Row],[frecuencia_new]]="Diaria"," ",RANDBETWEEN(1,6))</f>
        <v>2</v>
      </c>
      <c r="G1063">
        <f ca="1">IF(Tabla142[[#This Row],[frecuencia_new]]="Diaria","",IF(Tabla142[[#This Row],[frecuencia_new]]="Semanal","",IF(Tabla142[[#This Row],[frecuencia_new]]="Quincenal",RANDBETWEEN(1,2),RANDBETWEEN(1,4))))</f>
        <v>4</v>
      </c>
      <c r="H1063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63" s="11" t="s">
        <v>53</v>
      </c>
      <c r="K1063" s="11">
        <f>SUM(MID(Tabla142[[#This Row],[Duración]],1,2)*60,MID(Tabla142[[#This Row],[Duración]],6,2))</f>
        <v>30</v>
      </c>
      <c r="L1063" s="15" t="s">
        <v>48</v>
      </c>
      <c r="M1063" s="11" t="s">
        <v>239</v>
      </c>
      <c r="N1063" t="s">
        <v>240</v>
      </c>
      <c r="O1063" t="s">
        <v>384</v>
      </c>
      <c r="P1063" t="s">
        <v>360</v>
      </c>
      <c r="Q1063" s="20">
        <v>46032.649155092593</v>
      </c>
      <c r="R1063" s="11" t="s">
        <v>5</v>
      </c>
      <c r="T1063" t="s">
        <v>465</v>
      </c>
    </row>
    <row r="1064" spans="1:20" ht="15" customHeight="1" x14ac:dyDescent="0.25">
      <c r="A1064">
        <f t="shared" si="16"/>
        <v>54</v>
      </c>
      <c r="B1064" t="s">
        <v>1696</v>
      </c>
      <c r="C1064" s="11" t="s">
        <v>47</v>
      </c>
      <c r="D1064" s="11">
        <v>130</v>
      </c>
      <c r="E10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64">
        <f ca="1">IF(Tabla142[[#This Row],[frecuencia_new]]="Diaria"," ",RANDBETWEEN(1,6))</f>
        <v>6</v>
      </c>
      <c r="G1064">
        <f ca="1">IF(Tabla142[[#This Row],[frecuencia_new]]="Diaria","",IF(Tabla142[[#This Row],[frecuencia_new]]="Semanal","",IF(Tabla142[[#This Row],[frecuencia_new]]="Quincenal",RANDBETWEEN(1,2),RANDBETWEEN(1,4))))</f>
        <v>4</v>
      </c>
      <c r="H1064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064" s="11" t="s">
        <v>64</v>
      </c>
      <c r="K1064" s="11">
        <f>SUM(MID(Tabla142[[#This Row],[Duración]],1,2)*60,MID(Tabla142[[#This Row],[Duración]],6,2))</f>
        <v>30</v>
      </c>
      <c r="L1064" s="15" t="s">
        <v>48</v>
      </c>
      <c r="M1064" s="11" t="s">
        <v>239</v>
      </c>
      <c r="N1064" t="s">
        <v>240</v>
      </c>
      <c r="O1064" t="s">
        <v>384</v>
      </c>
      <c r="P1064" t="s">
        <v>360</v>
      </c>
      <c r="Q1064" s="20">
        <v>46032.649155092593</v>
      </c>
      <c r="R1064" s="11" t="s">
        <v>5</v>
      </c>
      <c r="T1064" t="s">
        <v>465</v>
      </c>
    </row>
    <row r="1065" spans="1:20" ht="15" customHeight="1" x14ac:dyDescent="0.25">
      <c r="A1065">
        <f t="shared" si="16"/>
        <v>92</v>
      </c>
      <c r="B1065" t="s">
        <v>1697</v>
      </c>
      <c r="C1065" s="11" t="s">
        <v>47</v>
      </c>
      <c r="D1065" s="11">
        <v>130</v>
      </c>
      <c r="E10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065">
        <f ca="1">IF(Tabla142[[#This Row],[frecuencia_new]]="Diaria"," ",RANDBETWEEN(1,6))</f>
        <v>5</v>
      </c>
      <c r="G1065">
        <f ca="1">IF(Tabla142[[#This Row],[frecuencia_new]]="Diaria","",IF(Tabla142[[#This Row],[frecuencia_new]]="Semanal","",IF(Tabla142[[#This Row],[frecuencia_new]]="Quincenal",RANDBETWEEN(1,2),RANDBETWEEN(1,4))))</f>
        <v>4</v>
      </c>
      <c r="H106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065" s="11" t="s">
        <v>187</v>
      </c>
      <c r="K1065" s="11">
        <f>SUM(MID(Tabla142[[#This Row],[Duración]],1,2)*60,MID(Tabla142[[#This Row],[Duración]],6,2))</f>
        <v>30</v>
      </c>
      <c r="L1065" s="15" t="s">
        <v>48</v>
      </c>
      <c r="M1065" s="11" t="s">
        <v>239</v>
      </c>
      <c r="N1065" t="s">
        <v>240</v>
      </c>
      <c r="O1065" t="s">
        <v>382</v>
      </c>
      <c r="P1065" t="s">
        <v>363</v>
      </c>
      <c r="Q1065" s="20">
        <v>46032.649155092593</v>
      </c>
      <c r="R1065" s="11" t="s">
        <v>18</v>
      </c>
      <c r="T1065" t="s">
        <v>503</v>
      </c>
    </row>
    <row r="1066" spans="1:20" ht="15" customHeight="1" x14ac:dyDescent="0.25">
      <c r="A1066">
        <f t="shared" si="16"/>
        <v>92</v>
      </c>
      <c r="B1066" t="s">
        <v>1698</v>
      </c>
      <c r="C1066" s="11" t="s">
        <v>47</v>
      </c>
      <c r="D1066" s="11">
        <v>130</v>
      </c>
      <c r="E10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066">
        <f ca="1">IF(Tabla142[[#This Row],[frecuencia_new]]="Diaria"," ",RANDBETWEEN(1,6))</f>
        <v>2</v>
      </c>
      <c r="G1066" t="str">
        <f ca="1">IF(Tabla142[[#This Row],[frecuencia_new]]="Diaria","",IF(Tabla142[[#This Row],[frecuencia_new]]="Semanal","",IF(Tabla142[[#This Row],[frecuencia_new]]="Quincenal",RANDBETWEEN(1,2),RANDBETWEEN(1,4))))</f>
        <v/>
      </c>
      <c r="H10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66" s="11" t="s">
        <v>188</v>
      </c>
      <c r="K1066" s="11">
        <f>SUM(MID(Tabla142[[#This Row],[Duración]],1,2)*60,MID(Tabla142[[#This Row],[Duración]],6,2))</f>
        <v>10</v>
      </c>
      <c r="L1066" s="15" t="s">
        <v>71</v>
      </c>
      <c r="M1066" s="11" t="s">
        <v>239</v>
      </c>
      <c r="N1066" t="s">
        <v>240</v>
      </c>
      <c r="O1066" t="s">
        <v>382</v>
      </c>
      <c r="P1066" t="s">
        <v>363</v>
      </c>
      <c r="Q1066" s="20">
        <v>46032.649155092593</v>
      </c>
      <c r="R1066" s="11" t="s">
        <v>8</v>
      </c>
      <c r="T1066" t="s">
        <v>503</v>
      </c>
    </row>
    <row r="1067" spans="1:20" ht="15" customHeight="1" x14ac:dyDescent="0.25">
      <c r="A1067">
        <f t="shared" si="16"/>
        <v>92</v>
      </c>
      <c r="B1067" t="s">
        <v>1699</v>
      </c>
      <c r="C1067" s="11" t="s">
        <v>47</v>
      </c>
      <c r="D1067" s="11">
        <v>130</v>
      </c>
      <c r="E10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67">
        <f ca="1">IF(Tabla142[[#This Row],[frecuencia_new]]="Diaria"," ",RANDBETWEEN(1,6))</f>
        <v>3</v>
      </c>
      <c r="G1067">
        <f ca="1">IF(Tabla142[[#This Row],[frecuencia_new]]="Diaria","",IF(Tabla142[[#This Row],[frecuencia_new]]="Semanal","",IF(Tabla142[[#This Row],[frecuencia_new]]="Quincenal",RANDBETWEEN(1,2),RANDBETWEEN(1,4))))</f>
        <v>1</v>
      </c>
      <c r="H10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67" s="11" t="s">
        <v>189</v>
      </c>
      <c r="K1067" s="11">
        <f>SUM(MID(Tabla142[[#This Row],[Duración]],1,2)*60,MID(Tabla142[[#This Row],[Duración]],6,2))</f>
        <v>15</v>
      </c>
      <c r="L1067" s="15" t="s">
        <v>77</v>
      </c>
      <c r="M1067" s="11" t="s">
        <v>239</v>
      </c>
      <c r="N1067" t="s">
        <v>240</v>
      </c>
      <c r="O1067" t="s">
        <v>382</v>
      </c>
      <c r="P1067" t="s">
        <v>363</v>
      </c>
      <c r="Q1067" s="20">
        <v>46032.649155092593</v>
      </c>
      <c r="R1067" s="11" t="s">
        <v>7</v>
      </c>
      <c r="T1067" t="s">
        <v>503</v>
      </c>
    </row>
    <row r="1068" spans="1:20" ht="15" customHeight="1" x14ac:dyDescent="0.25">
      <c r="A1068">
        <f t="shared" si="16"/>
        <v>92</v>
      </c>
      <c r="B1068" t="s">
        <v>1700</v>
      </c>
      <c r="C1068" s="11" t="s">
        <v>47</v>
      </c>
      <c r="D1068" s="11">
        <v>130</v>
      </c>
      <c r="E10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68">
        <f ca="1">IF(Tabla142[[#This Row],[frecuencia_new]]="Diaria"," ",RANDBETWEEN(1,6))</f>
        <v>3</v>
      </c>
      <c r="G1068">
        <f ca="1">IF(Tabla142[[#This Row],[frecuencia_new]]="Diaria","",IF(Tabla142[[#This Row],[frecuencia_new]]="Semanal","",IF(Tabla142[[#This Row],[frecuencia_new]]="Quincenal",RANDBETWEEN(1,2),RANDBETWEEN(1,4))))</f>
        <v>1</v>
      </c>
      <c r="H10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68" s="11" t="s">
        <v>190</v>
      </c>
      <c r="K1068" s="11">
        <f>SUM(MID(Tabla142[[#This Row],[Duración]],1,2)*60,MID(Tabla142[[#This Row],[Duración]],6,2))</f>
        <v>10</v>
      </c>
      <c r="L1068" s="15" t="s">
        <v>71</v>
      </c>
      <c r="M1068" s="11" t="s">
        <v>239</v>
      </c>
      <c r="N1068" t="s">
        <v>240</v>
      </c>
      <c r="O1068" t="s">
        <v>382</v>
      </c>
      <c r="P1068" t="s">
        <v>363</v>
      </c>
      <c r="Q1068" s="20">
        <v>46032.649155092593</v>
      </c>
      <c r="R1068" s="11" t="s">
        <v>7</v>
      </c>
      <c r="T1068" t="s">
        <v>503</v>
      </c>
    </row>
    <row r="1069" spans="1:20" ht="15" customHeight="1" x14ac:dyDescent="0.25">
      <c r="A1069">
        <f t="shared" si="16"/>
        <v>92</v>
      </c>
      <c r="B1069" t="s">
        <v>1701</v>
      </c>
      <c r="C1069" s="11" t="s">
        <v>47</v>
      </c>
      <c r="D1069" s="11">
        <v>130</v>
      </c>
      <c r="E10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69">
        <f ca="1">IF(Tabla142[[#This Row],[frecuencia_new]]="Diaria"," ",RANDBETWEEN(1,6))</f>
        <v>2</v>
      </c>
      <c r="G1069">
        <f ca="1">IF(Tabla142[[#This Row],[frecuencia_new]]="Diaria","",IF(Tabla142[[#This Row],[frecuencia_new]]="Semanal","",IF(Tabla142[[#This Row],[frecuencia_new]]="Quincenal",RANDBETWEEN(1,2),RANDBETWEEN(1,4))))</f>
        <v>3</v>
      </c>
      <c r="H106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69" s="11" t="s">
        <v>191</v>
      </c>
      <c r="K1069" s="11">
        <f>SUM(MID(Tabla142[[#This Row],[Duración]],1,2)*60,MID(Tabla142[[#This Row],[Duración]],6,2))</f>
        <v>15</v>
      </c>
      <c r="L1069" s="15" t="s">
        <v>77</v>
      </c>
      <c r="M1069" s="11" t="s">
        <v>239</v>
      </c>
      <c r="N1069" t="s">
        <v>240</v>
      </c>
      <c r="O1069" t="s">
        <v>382</v>
      </c>
      <c r="P1069" t="s">
        <v>363</v>
      </c>
      <c r="Q1069" s="20">
        <v>46032.649155092593</v>
      </c>
      <c r="R1069" s="11" t="s">
        <v>7</v>
      </c>
      <c r="T1069" t="s">
        <v>503</v>
      </c>
    </row>
    <row r="1070" spans="1:20" x14ac:dyDescent="0.25">
      <c r="A1070">
        <f t="shared" si="16"/>
        <v>92</v>
      </c>
      <c r="B1070" t="s">
        <v>1702</v>
      </c>
      <c r="C1070" s="11" t="s">
        <v>47</v>
      </c>
      <c r="D1070" s="11">
        <v>130</v>
      </c>
      <c r="E10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Trimestral</v>
      </c>
      <c r="F1070">
        <f ca="1">IF(Tabla142[[#This Row],[frecuencia_new]]="Diaria"," ",RANDBETWEEN(1,6))</f>
        <v>1</v>
      </c>
      <c r="G1070">
        <f ca="1">IF(Tabla142[[#This Row],[frecuencia_new]]="Diaria","",IF(Tabla142[[#This Row],[frecuencia_new]]="Semanal","",IF(Tabla142[[#This Row],[frecuencia_new]]="Quincenal",RANDBETWEEN(1,2),RANDBETWEEN(1,4))))</f>
        <v>1</v>
      </c>
      <c r="H1070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070" s="11" t="s">
        <v>192</v>
      </c>
      <c r="K1070" s="11">
        <f>SUM(MID(Tabla142[[#This Row],[Duración]],1,2)*60,MID(Tabla142[[#This Row],[Duración]],6,2))</f>
        <v>20</v>
      </c>
      <c r="L1070" s="15" t="s">
        <v>82</v>
      </c>
      <c r="M1070" s="11" t="s">
        <v>239</v>
      </c>
      <c r="N1070" t="s">
        <v>240</v>
      </c>
      <c r="O1070" t="s">
        <v>382</v>
      </c>
      <c r="P1070" t="s">
        <v>363</v>
      </c>
      <c r="Q1070" s="20">
        <v>46032.649155092593</v>
      </c>
      <c r="R1070" s="11" t="s">
        <v>20</v>
      </c>
      <c r="T1070" t="s">
        <v>503</v>
      </c>
    </row>
    <row r="1071" spans="1:20" ht="15" customHeight="1" x14ac:dyDescent="0.25">
      <c r="A1071">
        <f t="shared" si="16"/>
        <v>61</v>
      </c>
      <c r="B1071" t="s">
        <v>1703</v>
      </c>
      <c r="C1071" s="12" t="s">
        <v>47</v>
      </c>
      <c r="D1071" s="12">
        <v>178</v>
      </c>
      <c r="E10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71">
        <f ca="1">IF(Tabla142[[#This Row],[frecuencia_new]]="Diaria"," ",RANDBETWEEN(1,6))</f>
        <v>1</v>
      </c>
      <c r="G1071">
        <f ca="1">IF(Tabla142[[#This Row],[frecuencia_new]]="Diaria","",IF(Tabla142[[#This Row],[frecuencia_new]]="Semanal","",IF(Tabla142[[#This Row],[frecuencia_new]]="Quincenal",RANDBETWEEN(1,2),RANDBETWEEN(1,4))))</f>
        <v>3</v>
      </c>
      <c r="H107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071" s="12" t="s">
        <v>46</v>
      </c>
      <c r="K1071" s="12">
        <f>SUM(MID(Tabla142[[#This Row],[Duración]],1,2)*60,MID(Tabla142[[#This Row],[Duración]],6,2))</f>
        <v>30</v>
      </c>
      <c r="L1071" s="17" t="s">
        <v>48</v>
      </c>
      <c r="M1071" s="12" t="s">
        <v>239</v>
      </c>
      <c r="N1071" t="s">
        <v>240</v>
      </c>
      <c r="O1071" t="s">
        <v>384</v>
      </c>
      <c r="P1071" t="s">
        <v>360</v>
      </c>
      <c r="Q1071" s="20">
        <v>46032.649155092593</v>
      </c>
      <c r="R1071" s="12" t="s">
        <v>5</v>
      </c>
      <c r="T1071" t="s">
        <v>472</v>
      </c>
    </row>
    <row r="1072" spans="1:20" ht="15" customHeight="1" x14ac:dyDescent="0.25">
      <c r="A1072">
        <f t="shared" si="16"/>
        <v>61</v>
      </c>
      <c r="B1072" t="s">
        <v>1704</v>
      </c>
      <c r="C1072" s="11" t="s">
        <v>47</v>
      </c>
      <c r="D1072" s="11">
        <v>178</v>
      </c>
      <c r="E10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72">
        <f ca="1">IF(Tabla142[[#This Row],[frecuencia_new]]="Diaria"," ",RANDBETWEEN(1,6))</f>
        <v>6</v>
      </c>
      <c r="G1072">
        <f ca="1">IF(Tabla142[[#This Row],[frecuencia_new]]="Diaria","",IF(Tabla142[[#This Row],[frecuencia_new]]="Semanal","",IF(Tabla142[[#This Row],[frecuencia_new]]="Quincenal",RANDBETWEEN(1,2),RANDBETWEEN(1,4))))</f>
        <v>4</v>
      </c>
      <c r="H1072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072" s="11" t="s">
        <v>52</v>
      </c>
      <c r="K1072" s="11">
        <f>SUM(MID(Tabla142[[#This Row],[Duración]],1,2)*60,MID(Tabla142[[#This Row],[Duración]],6,2))</f>
        <v>30</v>
      </c>
      <c r="L1072" s="15" t="s">
        <v>48</v>
      </c>
      <c r="M1072" s="11" t="s">
        <v>239</v>
      </c>
      <c r="N1072" t="s">
        <v>240</v>
      </c>
      <c r="O1072" t="s">
        <v>384</v>
      </c>
      <c r="P1072" t="s">
        <v>360</v>
      </c>
      <c r="Q1072" s="20">
        <v>46032.649155092593</v>
      </c>
      <c r="R1072" s="11" t="s">
        <v>5</v>
      </c>
      <c r="T1072" t="s">
        <v>472</v>
      </c>
    </row>
    <row r="1073" spans="1:20" ht="15" customHeight="1" x14ac:dyDescent="0.25">
      <c r="A1073">
        <f t="shared" si="16"/>
        <v>61</v>
      </c>
      <c r="B1073" t="s">
        <v>1705</v>
      </c>
      <c r="C1073" s="11" t="s">
        <v>54</v>
      </c>
      <c r="D1073" s="11">
        <v>178</v>
      </c>
      <c r="E10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73">
        <f ca="1">IF(Tabla142[[#This Row],[frecuencia_new]]="Diaria"," ",RANDBETWEEN(1,6))</f>
        <v>2</v>
      </c>
      <c r="G1073">
        <f ca="1">IF(Tabla142[[#This Row],[frecuencia_new]]="Diaria","",IF(Tabla142[[#This Row],[frecuencia_new]]="Semanal","",IF(Tabla142[[#This Row],[frecuencia_new]]="Quincenal",RANDBETWEEN(1,2),RANDBETWEEN(1,4))))</f>
        <v>3</v>
      </c>
      <c r="H1073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073" s="11" t="s">
        <v>53</v>
      </c>
      <c r="K1073" s="11">
        <f>SUM(MID(Tabla142[[#This Row],[Duración]],1,2)*60,MID(Tabla142[[#This Row],[Duración]],6,2))</f>
        <v>30</v>
      </c>
      <c r="L1073" s="15" t="s">
        <v>48</v>
      </c>
      <c r="M1073" s="11" t="s">
        <v>239</v>
      </c>
      <c r="N1073" t="s">
        <v>240</v>
      </c>
      <c r="O1073" t="s">
        <v>384</v>
      </c>
      <c r="P1073" t="s">
        <v>360</v>
      </c>
      <c r="Q1073" s="20">
        <v>46032.649155092593</v>
      </c>
      <c r="R1073" s="11" t="s">
        <v>5</v>
      </c>
      <c r="T1073" t="s">
        <v>472</v>
      </c>
    </row>
    <row r="1074" spans="1:20" ht="15" customHeight="1" x14ac:dyDescent="0.25">
      <c r="A1074">
        <f t="shared" si="16"/>
        <v>61</v>
      </c>
      <c r="B1074" t="s">
        <v>1706</v>
      </c>
      <c r="C1074" s="11" t="s">
        <v>47</v>
      </c>
      <c r="D1074" s="11">
        <v>178</v>
      </c>
      <c r="E10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74">
        <f ca="1">IF(Tabla142[[#This Row],[frecuencia_new]]="Diaria"," ",RANDBETWEEN(1,6))</f>
        <v>5</v>
      </c>
      <c r="G1074">
        <f ca="1">IF(Tabla142[[#This Row],[frecuencia_new]]="Diaria","",IF(Tabla142[[#This Row],[frecuencia_new]]="Semanal","",IF(Tabla142[[#This Row],[frecuencia_new]]="Quincenal",RANDBETWEEN(1,2),RANDBETWEEN(1,4))))</f>
        <v>1</v>
      </c>
      <c r="H107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74" s="11" t="s">
        <v>64</v>
      </c>
      <c r="K1074" s="11">
        <f>SUM(MID(Tabla142[[#This Row],[Duración]],1,2)*60,MID(Tabla142[[#This Row],[Duración]],6,2))</f>
        <v>30</v>
      </c>
      <c r="L1074" s="15" t="s">
        <v>48</v>
      </c>
      <c r="M1074" s="11" t="s">
        <v>239</v>
      </c>
      <c r="N1074" t="s">
        <v>240</v>
      </c>
      <c r="O1074" t="s">
        <v>384</v>
      </c>
      <c r="P1074" t="s">
        <v>360</v>
      </c>
      <c r="Q1074" s="20">
        <v>46032.649155092593</v>
      </c>
      <c r="R1074" s="11" t="s">
        <v>5</v>
      </c>
      <c r="T1074" t="s">
        <v>472</v>
      </c>
    </row>
    <row r="1075" spans="1:20" ht="15" customHeight="1" x14ac:dyDescent="0.25">
      <c r="A1075">
        <f t="shared" si="16"/>
        <v>95</v>
      </c>
      <c r="B1075" t="s">
        <v>1707</v>
      </c>
      <c r="C1075" s="11" t="s">
        <v>47</v>
      </c>
      <c r="D1075" s="11">
        <v>178</v>
      </c>
      <c r="E10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75">
        <f ca="1">IF(Tabla142[[#This Row],[frecuencia_new]]="Diaria"," ",RANDBETWEEN(1,6))</f>
        <v>5</v>
      </c>
      <c r="G1075">
        <f ca="1">IF(Tabla142[[#This Row],[frecuencia_new]]="Diaria","",IF(Tabla142[[#This Row],[frecuencia_new]]="Semanal","",IF(Tabla142[[#This Row],[frecuencia_new]]="Quincenal",RANDBETWEEN(1,2),RANDBETWEEN(1,4))))</f>
        <v>1</v>
      </c>
      <c r="H107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75" s="11" t="s">
        <v>73</v>
      </c>
      <c r="K1075" s="11">
        <f>SUM(MID(Tabla142[[#This Row],[Duración]],1,2)*60,MID(Tabla142[[#This Row],[Duración]],6,2))</f>
        <v>30</v>
      </c>
      <c r="L1075" s="15" t="s">
        <v>48</v>
      </c>
      <c r="M1075" s="11" t="s">
        <v>239</v>
      </c>
      <c r="N1075" t="s">
        <v>240</v>
      </c>
      <c r="O1075" t="s">
        <v>382</v>
      </c>
      <c r="P1075" t="s">
        <v>363</v>
      </c>
      <c r="Q1075" s="20">
        <v>46032.649155092593</v>
      </c>
      <c r="R1075" s="11" t="s">
        <v>7</v>
      </c>
      <c r="T1075" t="s">
        <v>506</v>
      </c>
    </row>
    <row r="1076" spans="1:20" ht="15" customHeight="1" x14ac:dyDescent="0.25">
      <c r="A1076">
        <f t="shared" si="16"/>
        <v>95</v>
      </c>
      <c r="B1076" t="s">
        <v>1708</v>
      </c>
      <c r="C1076" s="11" t="s">
        <v>47</v>
      </c>
      <c r="D1076" s="11">
        <v>178</v>
      </c>
      <c r="E10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76">
        <f ca="1">IF(Tabla142[[#This Row],[frecuencia_new]]="Diaria"," ",RANDBETWEEN(1,6))</f>
        <v>5</v>
      </c>
      <c r="G1076">
        <f ca="1">IF(Tabla142[[#This Row],[frecuencia_new]]="Diaria","",IF(Tabla142[[#This Row],[frecuencia_new]]="Semanal","",IF(Tabla142[[#This Row],[frecuencia_new]]="Quincenal",RANDBETWEEN(1,2),RANDBETWEEN(1,4))))</f>
        <v>3</v>
      </c>
      <c r="H107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76" s="11" t="s">
        <v>74</v>
      </c>
      <c r="K1076" s="11">
        <f>SUM(MID(Tabla142[[#This Row],[Duración]],1,2)*60,MID(Tabla142[[#This Row],[Duración]],6,2))</f>
        <v>30</v>
      </c>
      <c r="L1076" s="15" t="s">
        <v>48</v>
      </c>
      <c r="M1076" s="11" t="s">
        <v>239</v>
      </c>
      <c r="N1076" t="s">
        <v>240</v>
      </c>
      <c r="O1076" t="s">
        <v>382</v>
      </c>
      <c r="P1076" t="s">
        <v>363</v>
      </c>
      <c r="Q1076" s="20">
        <v>46032.649155092593</v>
      </c>
      <c r="R1076" s="11" t="s">
        <v>7</v>
      </c>
      <c r="T1076" t="s">
        <v>506</v>
      </c>
    </row>
    <row r="1077" spans="1:20" ht="15" customHeight="1" x14ac:dyDescent="0.25">
      <c r="A1077">
        <f t="shared" si="16"/>
        <v>95</v>
      </c>
      <c r="B1077" t="s">
        <v>1709</v>
      </c>
      <c r="C1077" s="11" t="s">
        <v>47</v>
      </c>
      <c r="D1077" s="11">
        <v>178</v>
      </c>
      <c r="E10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77">
        <f ca="1">IF(Tabla142[[#This Row],[frecuencia_new]]="Diaria"," ",RANDBETWEEN(1,6))</f>
        <v>4</v>
      </c>
      <c r="G1077">
        <f ca="1">IF(Tabla142[[#This Row],[frecuencia_new]]="Diaria","",IF(Tabla142[[#This Row],[frecuencia_new]]="Semanal","",IF(Tabla142[[#This Row],[frecuencia_new]]="Quincenal",RANDBETWEEN(1,2),RANDBETWEEN(1,4))))</f>
        <v>3</v>
      </c>
      <c r="H10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77" s="11" t="s">
        <v>75</v>
      </c>
      <c r="K1077" s="11">
        <f>SUM(MID(Tabla142[[#This Row],[Duración]],1,2)*60,MID(Tabla142[[#This Row],[Duración]],6,2))</f>
        <v>30</v>
      </c>
      <c r="L1077" s="15" t="s">
        <v>48</v>
      </c>
      <c r="M1077" s="11" t="s">
        <v>239</v>
      </c>
      <c r="N1077" t="s">
        <v>240</v>
      </c>
      <c r="O1077" t="s">
        <v>382</v>
      </c>
      <c r="P1077" t="s">
        <v>363</v>
      </c>
      <c r="Q1077" s="20">
        <v>46032.649155092593</v>
      </c>
      <c r="R1077" s="11" t="s">
        <v>7</v>
      </c>
      <c r="T1077" t="s">
        <v>506</v>
      </c>
    </row>
    <row r="1078" spans="1:20" ht="15" customHeight="1" x14ac:dyDescent="0.25">
      <c r="A1078">
        <f t="shared" si="16"/>
        <v>95</v>
      </c>
      <c r="B1078" t="s">
        <v>1710</v>
      </c>
      <c r="C1078" s="11" t="s">
        <v>47</v>
      </c>
      <c r="D1078" s="11">
        <v>178</v>
      </c>
      <c r="E10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78">
        <f ca="1">IF(Tabla142[[#This Row],[frecuencia_new]]="Diaria"," ",RANDBETWEEN(1,6))</f>
        <v>5</v>
      </c>
      <c r="G1078">
        <f ca="1">IF(Tabla142[[#This Row],[frecuencia_new]]="Diaria","",IF(Tabla142[[#This Row],[frecuencia_new]]="Semanal","",IF(Tabla142[[#This Row],[frecuencia_new]]="Quincenal",RANDBETWEEN(1,2),RANDBETWEEN(1,4))))</f>
        <v>1</v>
      </c>
      <c r="H10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78" s="11" t="s">
        <v>76</v>
      </c>
      <c r="K1078" s="11">
        <f>SUM(MID(Tabla142[[#This Row],[Duración]],1,2)*60,MID(Tabla142[[#This Row],[Duración]],6,2))</f>
        <v>15</v>
      </c>
      <c r="L1078" s="15" t="s">
        <v>77</v>
      </c>
      <c r="M1078" s="11" t="s">
        <v>239</v>
      </c>
      <c r="N1078" t="s">
        <v>240</v>
      </c>
      <c r="O1078" t="s">
        <v>382</v>
      </c>
      <c r="P1078" t="s">
        <v>363</v>
      </c>
      <c r="Q1078" s="20">
        <v>46032.649155092593</v>
      </c>
      <c r="R1078" s="11" t="s">
        <v>7</v>
      </c>
      <c r="T1078" t="s">
        <v>506</v>
      </c>
    </row>
    <row r="1079" spans="1:20" ht="15" customHeight="1" x14ac:dyDescent="0.25">
      <c r="A1079">
        <f t="shared" si="16"/>
        <v>151</v>
      </c>
      <c r="B1079" t="s">
        <v>1711</v>
      </c>
      <c r="C1079" s="11" t="s">
        <v>47</v>
      </c>
      <c r="D1079" s="11">
        <v>112</v>
      </c>
      <c r="E10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79">
        <f ca="1">IF(Tabla142[[#This Row],[frecuencia_new]]="Diaria"," ",RANDBETWEEN(1,6))</f>
        <v>5</v>
      </c>
      <c r="G1079">
        <f ca="1">IF(Tabla142[[#This Row],[frecuencia_new]]="Diaria","",IF(Tabla142[[#This Row],[frecuencia_new]]="Semanal","",IF(Tabla142[[#This Row],[frecuencia_new]]="Quincenal",RANDBETWEEN(1,2),RANDBETWEEN(1,4))))</f>
        <v>3</v>
      </c>
      <c r="H1079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79" s="11" t="s">
        <v>46</v>
      </c>
      <c r="K1079" s="11">
        <f>SUM(MID(Tabla142[[#This Row],[Duración]],1,2)*60,MID(Tabla142[[#This Row],[Duración]],6,2))</f>
        <v>15</v>
      </c>
      <c r="L1079" s="15" t="s">
        <v>77</v>
      </c>
      <c r="M1079" s="11" t="s">
        <v>239</v>
      </c>
      <c r="N1079" t="s">
        <v>29</v>
      </c>
      <c r="O1079" t="s">
        <v>380</v>
      </c>
      <c r="P1079" t="s">
        <v>360</v>
      </c>
      <c r="Q1079" s="20">
        <v>46032.649155092593</v>
      </c>
      <c r="R1079" s="11" t="s">
        <v>5</v>
      </c>
      <c r="T1079" t="s">
        <v>562</v>
      </c>
    </row>
    <row r="1080" spans="1:20" ht="15" customHeight="1" x14ac:dyDescent="0.25">
      <c r="A1080">
        <f t="shared" si="16"/>
        <v>151</v>
      </c>
      <c r="B1080" t="s">
        <v>1712</v>
      </c>
      <c r="C1080" s="11" t="s">
        <v>47</v>
      </c>
      <c r="D1080" s="11">
        <v>112</v>
      </c>
      <c r="E10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80">
        <f ca="1">IF(Tabla142[[#This Row],[frecuencia_new]]="Diaria"," ",RANDBETWEEN(1,6))</f>
        <v>2</v>
      </c>
      <c r="G1080">
        <f ca="1">IF(Tabla142[[#This Row],[frecuencia_new]]="Diaria","",IF(Tabla142[[#This Row],[frecuencia_new]]="Semanal","",IF(Tabla142[[#This Row],[frecuencia_new]]="Quincenal",RANDBETWEEN(1,2),RANDBETWEEN(1,4))))</f>
        <v>1</v>
      </c>
      <c r="H1080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080" s="11" t="s">
        <v>53</v>
      </c>
      <c r="K1080" s="11">
        <f>SUM(MID(Tabla142[[#This Row],[Duración]],1,2)*60,MID(Tabla142[[#This Row],[Duración]],6,2))</f>
        <v>15</v>
      </c>
      <c r="L1080" s="15" t="s">
        <v>77</v>
      </c>
      <c r="M1080" s="11" t="s">
        <v>239</v>
      </c>
      <c r="N1080" t="s">
        <v>29</v>
      </c>
      <c r="O1080" t="s">
        <v>380</v>
      </c>
      <c r="P1080" t="s">
        <v>360</v>
      </c>
      <c r="Q1080" s="20">
        <v>46032.649155092593</v>
      </c>
      <c r="R1080" s="11" t="s">
        <v>5</v>
      </c>
      <c r="T1080" t="s">
        <v>562</v>
      </c>
    </row>
    <row r="1081" spans="1:20" ht="15" customHeight="1" x14ac:dyDescent="0.25">
      <c r="A1081">
        <f t="shared" si="16"/>
        <v>151</v>
      </c>
      <c r="B1081" t="s">
        <v>1713</v>
      </c>
      <c r="C1081" s="11" t="s">
        <v>47</v>
      </c>
      <c r="D1081" s="11">
        <v>112</v>
      </c>
      <c r="E10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81">
        <f ca="1">IF(Tabla142[[#This Row],[frecuencia_new]]="Diaria"," ",RANDBETWEEN(1,6))</f>
        <v>2</v>
      </c>
      <c r="G1081">
        <f ca="1">IF(Tabla142[[#This Row],[frecuencia_new]]="Diaria","",IF(Tabla142[[#This Row],[frecuencia_new]]="Semanal","",IF(Tabla142[[#This Row],[frecuencia_new]]="Quincenal",RANDBETWEEN(1,2),RANDBETWEEN(1,4))))</f>
        <v>4</v>
      </c>
      <c r="H1081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81" s="11" t="s">
        <v>56</v>
      </c>
      <c r="K1081" s="11">
        <f>SUM(MID(Tabla142[[#This Row],[Duración]],1,2)*60,MID(Tabla142[[#This Row],[Duración]],6,2))</f>
        <v>30</v>
      </c>
      <c r="L1081" s="15" t="s">
        <v>48</v>
      </c>
      <c r="M1081" s="11" t="s">
        <v>239</v>
      </c>
      <c r="N1081" t="s">
        <v>29</v>
      </c>
      <c r="O1081" t="s">
        <v>380</v>
      </c>
      <c r="P1081" t="s">
        <v>360</v>
      </c>
      <c r="Q1081" s="20">
        <v>46032.649155092593</v>
      </c>
      <c r="R1081" s="11" t="s">
        <v>5</v>
      </c>
      <c r="T1081" t="s">
        <v>562</v>
      </c>
    </row>
    <row r="1082" spans="1:20" ht="15" customHeight="1" x14ac:dyDescent="0.25">
      <c r="A1082">
        <f t="shared" si="16"/>
        <v>183</v>
      </c>
      <c r="B1082" t="s">
        <v>1714</v>
      </c>
      <c r="C1082" s="11" t="s">
        <v>47</v>
      </c>
      <c r="D1082" s="11">
        <v>112</v>
      </c>
      <c r="E10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82" t="str">
        <f ca="1">IF(Tabla142[[#This Row],[frecuencia_new]]="Diaria"," ",RANDBETWEEN(1,6))</f>
        <v xml:space="preserve"> </v>
      </c>
      <c r="G1082" t="str">
        <f ca="1">IF(Tabla142[[#This Row],[frecuencia_new]]="Diaria","",IF(Tabla142[[#This Row],[frecuencia_new]]="Semanal","",IF(Tabla142[[#This Row],[frecuencia_new]]="Quincenal",RANDBETWEEN(1,2),RANDBETWEEN(1,4))))</f>
        <v/>
      </c>
      <c r="H10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82" s="11" t="s">
        <v>170</v>
      </c>
      <c r="K1082" s="11">
        <f>SUM(MID(Tabla142[[#This Row],[Duración]],1,2)*60,MID(Tabla142[[#This Row],[Duración]],6,2))</f>
        <v>2</v>
      </c>
      <c r="L1082" s="15" t="s">
        <v>60</v>
      </c>
      <c r="M1082" s="11" t="s">
        <v>239</v>
      </c>
      <c r="N1082" t="s">
        <v>29</v>
      </c>
      <c r="O1082" t="s">
        <v>393</v>
      </c>
      <c r="P1082" t="s">
        <v>361</v>
      </c>
      <c r="Q1082" s="20">
        <v>46032.649155092593</v>
      </c>
      <c r="R1082" s="11" t="s">
        <v>6</v>
      </c>
      <c r="T1082" t="s">
        <v>594</v>
      </c>
    </row>
    <row r="1083" spans="1:20" ht="15" customHeight="1" x14ac:dyDescent="0.25">
      <c r="A1083">
        <f t="shared" si="16"/>
        <v>183</v>
      </c>
      <c r="B1083" t="s">
        <v>1715</v>
      </c>
      <c r="C1083" s="11" t="s">
        <v>47</v>
      </c>
      <c r="D1083" s="11">
        <v>112</v>
      </c>
      <c r="E10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83" t="str">
        <f ca="1">IF(Tabla142[[#This Row],[frecuencia_new]]="Diaria"," ",RANDBETWEEN(1,6))</f>
        <v xml:space="preserve"> </v>
      </c>
      <c r="G1083" t="str">
        <f ca="1">IF(Tabla142[[#This Row],[frecuencia_new]]="Diaria","",IF(Tabla142[[#This Row],[frecuencia_new]]="Semanal","",IF(Tabla142[[#This Row],[frecuencia_new]]="Quincenal",RANDBETWEEN(1,2),RANDBETWEEN(1,4))))</f>
        <v/>
      </c>
      <c r="H10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83" s="11" t="s">
        <v>171</v>
      </c>
      <c r="K1083" s="11">
        <f>SUM(MID(Tabla142[[#This Row],[Duración]],1,2)*60,MID(Tabla142[[#This Row],[Duración]],6,2))</f>
        <v>2</v>
      </c>
      <c r="L1083" s="15" t="s">
        <v>60</v>
      </c>
      <c r="M1083" s="11" t="s">
        <v>239</v>
      </c>
      <c r="N1083" t="s">
        <v>29</v>
      </c>
      <c r="O1083" t="s">
        <v>393</v>
      </c>
      <c r="P1083" t="s">
        <v>361</v>
      </c>
      <c r="Q1083" s="20">
        <v>46032.649155092593</v>
      </c>
      <c r="R1083" s="11" t="s">
        <v>6</v>
      </c>
      <c r="T1083" t="s">
        <v>594</v>
      </c>
    </row>
    <row r="1084" spans="1:20" ht="15" customHeight="1" x14ac:dyDescent="0.25">
      <c r="A1084">
        <f t="shared" si="16"/>
        <v>183</v>
      </c>
      <c r="B1084" t="s">
        <v>1716</v>
      </c>
      <c r="C1084" s="11" t="s">
        <v>47</v>
      </c>
      <c r="D1084" s="11">
        <v>112</v>
      </c>
      <c r="E10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84" t="str">
        <f ca="1">IF(Tabla142[[#This Row],[frecuencia_new]]="Diaria"," ",RANDBETWEEN(1,6))</f>
        <v xml:space="preserve"> </v>
      </c>
      <c r="G1084" t="str">
        <f ca="1">IF(Tabla142[[#This Row],[frecuencia_new]]="Diaria","",IF(Tabla142[[#This Row],[frecuencia_new]]="Semanal","",IF(Tabla142[[#This Row],[frecuencia_new]]="Quincenal",RANDBETWEEN(1,2),RANDBETWEEN(1,4))))</f>
        <v/>
      </c>
      <c r="H108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84" s="11" t="s">
        <v>172</v>
      </c>
      <c r="K1084" s="11">
        <f>SUM(MID(Tabla142[[#This Row],[Duración]],1,2)*60,MID(Tabla142[[#This Row],[Duración]],6,2))</f>
        <v>3</v>
      </c>
      <c r="L1084" s="15" t="s">
        <v>150</v>
      </c>
      <c r="M1084" s="11" t="s">
        <v>239</v>
      </c>
      <c r="N1084" t="s">
        <v>29</v>
      </c>
      <c r="O1084" t="s">
        <v>393</v>
      </c>
      <c r="P1084" t="s">
        <v>361</v>
      </c>
      <c r="Q1084" s="20">
        <v>46032.649155092593</v>
      </c>
      <c r="R1084" s="11" t="s">
        <v>6</v>
      </c>
      <c r="T1084" t="s">
        <v>594</v>
      </c>
    </row>
    <row r="1085" spans="1:20" ht="15" customHeight="1" x14ac:dyDescent="0.25">
      <c r="A1085">
        <f t="shared" si="16"/>
        <v>183</v>
      </c>
      <c r="B1085" t="s">
        <v>1717</v>
      </c>
      <c r="C1085" s="12" t="s">
        <v>47</v>
      </c>
      <c r="D1085" s="12">
        <v>112</v>
      </c>
      <c r="E10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85">
        <f ca="1">IF(Tabla142[[#This Row],[frecuencia_new]]="Diaria"," ",RANDBETWEEN(1,6))</f>
        <v>4</v>
      </c>
      <c r="G1085">
        <f ca="1">IF(Tabla142[[#This Row],[frecuencia_new]]="Diaria","",IF(Tabla142[[#This Row],[frecuencia_new]]="Semanal","",IF(Tabla142[[#This Row],[frecuencia_new]]="Quincenal",RANDBETWEEN(1,2),RANDBETWEEN(1,4))))</f>
        <v>3</v>
      </c>
      <c r="H108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85" s="12" t="s">
        <v>173</v>
      </c>
      <c r="K1085" s="12">
        <f>SUM(MID(Tabla142[[#This Row],[Duración]],1,2)*60,MID(Tabla142[[#This Row],[Duración]],6,2))</f>
        <v>10</v>
      </c>
      <c r="L1085" s="17" t="s">
        <v>71</v>
      </c>
      <c r="M1085" s="12" t="s">
        <v>239</v>
      </c>
      <c r="N1085" t="s">
        <v>29</v>
      </c>
      <c r="O1085" t="s">
        <v>393</v>
      </c>
      <c r="P1085" t="s">
        <v>363</v>
      </c>
      <c r="Q1085" s="20">
        <v>46032.649155092593</v>
      </c>
      <c r="R1085" s="12" t="s">
        <v>7</v>
      </c>
      <c r="T1085" t="s">
        <v>594</v>
      </c>
    </row>
    <row r="1086" spans="1:20" ht="15" customHeight="1" x14ac:dyDescent="0.25">
      <c r="A1086">
        <f t="shared" si="16"/>
        <v>152</v>
      </c>
      <c r="B1086" t="s">
        <v>1718</v>
      </c>
      <c r="C1086" s="11" t="s">
        <v>47</v>
      </c>
      <c r="D1086" s="11">
        <v>113</v>
      </c>
      <c r="E10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86">
        <f ca="1">IF(Tabla142[[#This Row],[frecuencia_new]]="Diaria"," ",RANDBETWEEN(1,6))</f>
        <v>2</v>
      </c>
      <c r="G1086">
        <f ca="1">IF(Tabla142[[#This Row],[frecuencia_new]]="Diaria","",IF(Tabla142[[#This Row],[frecuencia_new]]="Semanal","",IF(Tabla142[[#This Row],[frecuencia_new]]="Quincenal",RANDBETWEEN(1,2),RANDBETWEEN(1,4))))</f>
        <v>2</v>
      </c>
      <c r="H1086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086" s="11" t="s">
        <v>46</v>
      </c>
      <c r="K1086" s="11">
        <f>SUM(MID(Tabla142[[#This Row],[Duración]],1,2)*60,MID(Tabla142[[#This Row],[Duración]],6,2))</f>
        <v>15</v>
      </c>
      <c r="L1086" s="15" t="s">
        <v>77</v>
      </c>
      <c r="M1086" s="11" t="s">
        <v>239</v>
      </c>
      <c r="N1086" t="s">
        <v>29</v>
      </c>
      <c r="O1086" t="s">
        <v>380</v>
      </c>
      <c r="P1086" t="s">
        <v>360</v>
      </c>
      <c r="Q1086" s="20">
        <v>46032.649155092593</v>
      </c>
      <c r="R1086" s="11" t="s">
        <v>5</v>
      </c>
      <c r="T1086" t="s">
        <v>563</v>
      </c>
    </row>
    <row r="1087" spans="1:20" ht="15" customHeight="1" x14ac:dyDescent="0.25">
      <c r="A1087">
        <f t="shared" si="16"/>
        <v>152</v>
      </c>
      <c r="B1087" t="s">
        <v>1719</v>
      </c>
      <c r="C1087" s="11" t="s">
        <v>47</v>
      </c>
      <c r="D1087" s="11">
        <v>113</v>
      </c>
      <c r="E10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87">
        <f ca="1">IF(Tabla142[[#This Row],[frecuencia_new]]="Diaria"," ",RANDBETWEEN(1,6))</f>
        <v>2</v>
      </c>
      <c r="G1087">
        <f ca="1">IF(Tabla142[[#This Row],[frecuencia_new]]="Diaria","",IF(Tabla142[[#This Row],[frecuencia_new]]="Semanal","",IF(Tabla142[[#This Row],[frecuencia_new]]="Quincenal",RANDBETWEEN(1,2),RANDBETWEEN(1,4))))</f>
        <v>3</v>
      </c>
      <c r="H1087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087" s="11" t="s">
        <v>53</v>
      </c>
      <c r="K1087" s="11">
        <f>SUM(MID(Tabla142[[#This Row],[Duración]],1,2)*60,MID(Tabla142[[#This Row],[Duración]],6,2))</f>
        <v>15</v>
      </c>
      <c r="L1087" s="15" t="s">
        <v>77</v>
      </c>
      <c r="M1087" s="11" t="s">
        <v>239</v>
      </c>
      <c r="N1087" t="s">
        <v>29</v>
      </c>
      <c r="O1087" t="s">
        <v>380</v>
      </c>
      <c r="P1087" t="s">
        <v>360</v>
      </c>
      <c r="Q1087" s="20">
        <v>46032.649155092593</v>
      </c>
      <c r="R1087" s="11" t="s">
        <v>5</v>
      </c>
      <c r="T1087" t="s">
        <v>563</v>
      </c>
    </row>
    <row r="1088" spans="1:20" ht="15" customHeight="1" x14ac:dyDescent="0.25">
      <c r="A1088">
        <f t="shared" si="16"/>
        <v>152</v>
      </c>
      <c r="B1088" t="s">
        <v>1720</v>
      </c>
      <c r="C1088" s="11" t="s">
        <v>47</v>
      </c>
      <c r="D1088" s="11">
        <v>113</v>
      </c>
      <c r="E10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88">
        <f ca="1">IF(Tabla142[[#This Row],[frecuencia_new]]="Diaria"," ",RANDBETWEEN(1,6))</f>
        <v>5</v>
      </c>
      <c r="G1088">
        <f ca="1">IF(Tabla142[[#This Row],[frecuencia_new]]="Diaria","",IF(Tabla142[[#This Row],[frecuencia_new]]="Semanal","",IF(Tabla142[[#This Row],[frecuencia_new]]="Quincenal",RANDBETWEEN(1,2),RANDBETWEEN(1,4))))</f>
        <v>4</v>
      </c>
      <c r="H1088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88" s="11" t="s">
        <v>56</v>
      </c>
      <c r="K1088" s="11">
        <f>SUM(MID(Tabla142[[#This Row],[Duración]],1,2)*60,MID(Tabla142[[#This Row],[Duración]],6,2))</f>
        <v>30</v>
      </c>
      <c r="L1088" s="15" t="s">
        <v>48</v>
      </c>
      <c r="M1088" s="11" t="s">
        <v>239</v>
      </c>
      <c r="N1088" t="s">
        <v>29</v>
      </c>
      <c r="O1088" t="s">
        <v>380</v>
      </c>
      <c r="P1088" t="s">
        <v>360</v>
      </c>
      <c r="Q1088" s="20">
        <v>46032.649155092593</v>
      </c>
      <c r="R1088" s="11" t="s">
        <v>5</v>
      </c>
      <c r="T1088" t="s">
        <v>563</v>
      </c>
    </row>
    <row r="1089" spans="1:20" ht="15" customHeight="1" x14ac:dyDescent="0.25">
      <c r="A1089">
        <f t="shared" si="16"/>
        <v>184</v>
      </c>
      <c r="B1089" t="s">
        <v>1721</v>
      </c>
      <c r="C1089" s="11" t="s">
        <v>47</v>
      </c>
      <c r="D1089" s="11">
        <v>113</v>
      </c>
      <c r="E10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89" t="str">
        <f ca="1">IF(Tabla142[[#This Row],[frecuencia_new]]="Diaria"," ",RANDBETWEEN(1,6))</f>
        <v xml:space="preserve"> </v>
      </c>
      <c r="G1089" t="str">
        <f ca="1">IF(Tabla142[[#This Row],[frecuencia_new]]="Diaria","",IF(Tabla142[[#This Row],[frecuencia_new]]="Semanal","",IF(Tabla142[[#This Row],[frecuencia_new]]="Quincenal",RANDBETWEEN(1,2),RANDBETWEEN(1,4))))</f>
        <v/>
      </c>
      <c r="H10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89" s="11" t="s">
        <v>170</v>
      </c>
      <c r="K1089" s="11">
        <f>SUM(MID(Tabla142[[#This Row],[Duración]],1,2)*60,MID(Tabla142[[#This Row],[Duración]],6,2))</f>
        <v>2</v>
      </c>
      <c r="L1089" s="15" t="s">
        <v>60</v>
      </c>
      <c r="M1089" s="11" t="s">
        <v>239</v>
      </c>
      <c r="N1089" t="s">
        <v>29</v>
      </c>
      <c r="O1089" t="s">
        <v>393</v>
      </c>
      <c r="P1089" t="s">
        <v>361</v>
      </c>
      <c r="Q1089" s="20">
        <v>46032.649155092593</v>
      </c>
      <c r="R1089" s="11" t="s">
        <v>6</v>
      </c>
      <c r="T1089" t="s">
        <v>595</v>
      </c>
    </row>
    <row r="1090" spans="1:20" ht="15" customHeight="1" x14ac:dyDescent="0.25">
      <c r="A1090">
        <f t="shared" ref="A1090:A1153" si="17">VLOOKUP(T1090,$V$2:$W$222,2,FALSE)</f>
        <v>184</v>
      </c>
      <c r="B1090" t="s">
        <v>1722</v>
      </c>
      <c r="C1090" s="11" t="s">
        <v>47</v>
      </c>
      <c r="D1090" s="11">
        <v>113</v>
      </c>
      <c r="E10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90" t="str">
        <f ca="1">IF(Tabla142[[#This Row],[frecuencia_new]]="Diaria"," ",RANDBETWEEN(1,6))</f>
        <v xml:space="preserve"> </v>
      </c>
      <c r="G1090" t="str">
        <f ca="1">IF(Tabla142[[#This Row],[frecuencia_new]]="Diaria","",IF(Tabla142[[#This Row],[frecuencia_new]]="Semanal","",IF(Tabla142[[#This Row],[frecuencia_new]]="Quincenal",RANDBETWEEN(1,2),RANDBETWEEN(1,4))))</f>
        <v/>
      </c>
      <c r="H10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0" s="11" t="s">
        <v>171</v>
      </c>
      <c r="K1090" s="11">
        <f>SUM(MID(Tabla142[[#This Row],[Duración]],1,2)*60,MID(Tabla142[[#This Row],[Duración]],6,2))</f>
        <v>2</v>
      </c>
      <c r="L1090" s="15" t="s">
        <v>60</v>
      </c>
      <c r="M1090" s="11" t="s">
        <v>239</v>
      </c>
      <c r="N1090" t="s">
        <v>29</v>
      </c>
      <c r="O1090" t="s">
        <v>393</v>
      </c>
      <c r="P1090" t="s">
        <v>361</v>
      </c>
      <c r="Q1090" s="20">
        <v>46032.649155092593</v>
      </c>
      <c r="R1090" s="11" t="s">
        <v>6</v>
      </c>
      <c r="T1090" t="s">
        <v>595</v>
      </c>
    </row>
    <row r="1091" spans="1:20" ht="15" customHeight="1" x14ac:dyDescent="0.25">
      <c r="A1091">
        <f t="shared" si="17"/>
        <v>184</v>
      </c>
      <c r="B1091" t="s">
        <v>1723</v>
      </c>
      <c r="C1091" s="11" t="s">
        <v>47</v>
      </c>
      <c r="D1091" s="11">
        <v>113</v>
      </c>
      <c r="E10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91" t="str">
        <f ca="1">IF(Tabla142[[#This Row],[frecuencia_new]]="Diaria"," ",RANDBETWEEN(1,6))</f>
        <v xml:space="preserve"> </v>
      </c>
      <c r="G1091" t="str">
        <f ca="1">IF(Tabla142[[#This Row],[frecuencia_new]]="Diaria","",IF(Tabla142[[#This Row],[frecuencia_new]]="Semanal","",IF(Tabla142[[#This Row],[frecuencia_new]]="Quincenal",RANDBETWEEN(1,2),RANDBETWEEN(1,4))))</f>
        <v/>
      </c>
      <c r="H10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1" s="11" t="s">
        <v>172</v>
      </c>
      <c r="K1091" s="11">
        <f>SUM(MID(Tabla142[[#This Row],[Duración]],1,2)*60,MID(Tabla142[[#This Row],[Duración]],6,2))</f>
        <v>3</v>
      </c>
      <c r="L1091" s="15" t="s">
        <v>150</v>
      </c>
      <c r="M1091" s="11" t="s">
        <v>239</v>
      </c>
      <c r="N1091" t="s">
        <v>29</v>
      </c>
      <c r="O1091" t="s">
        <v>393</v>
      </c>
      <c r="P1091" t="s">
        <v>361</v>
      </c>
      <c r="Q1091" s="20">
        <v>46032.649155092593</v>
      </c>
      <c r="R1091" s="11" t="s">
        <v>6</v>
      </c>
      <c r="T1091" t="s">
        <v>595</v>
      </c>
    </row>
    <row r="1092" spans="1:20" ht="15" customHeight="1" x14ac:dyDescent="0.25">
      <c r="A1092">
        <f t="shared" si="17"/>
        <v>184</v>
      </c>
      <c r="B1092" t="s">
        <v>1724</v>
      </c>
      <c r="C1092" s="11" t="s">
        <v>47</v>
      </c>
      <c r="D1092" s="11">
        <v>113</v>
      </c>
      <c r="E10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92">
        <f ca="1">IF(Tabla142[[#This Row],[frecuencia_new]]="Diaria"," ",RANDBETWEEN(1,6))</f>
        <v>6</v>
      </c>
      <c r="G1092">
        <f ca="1">IF(Tabla142[[#This Row],[frecuencia_new]]="Diaria","",IF(Tabla142[[#This Row],[frecuencia_new]]="Semanal","",IF(Tabla142[[#This Row],[frecuencia_new]]="Quincenal",RANDBETWEEN(1,2),RANDBETWEEN(1,4))))</f>
        <v>3</v>
      </c>
      <c r="H10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2" s="11" t="s">
        <v>173</v>
      </c>
      <c r="K1092" s="11">
        <f>SUM(MID(Tabla142[[#This Row],[Duración]],1,2)*60,MID(Tabla142[[#This Row],[Duración]],6,2))</f>
        <v>10</v>
      </c>
      <c r="L1092" s="15" t="s">
        <v>71</v>
      </c>
      <c r="M1092" s="11" t="s">
        <v>239</v>
      </c>
      <c r="N1092" t="s">
        <v>29</v>
      </c>
      <c r="O1092" t="s">
        <v>393</v>
      </c>
      <c r="P1092" t="s">
        <v>363</v>
      </c>
      <c r="Q1092" s="20">
        <v>46032.649155092593</v>
      </c>
      <c r="R1092" s="11" t="s">
        <v>7</v>
      </c>
      <c r="T1092" t="s">
        <v>595</v>
      </c>
    </row>
    <row r="1093" spans="1:20" ht="15" customHeight="1" x14ac:dyDescent="0.25">
      <c r="A1093">
        <f t="shared" si="17"/>
        <v>48</v>
      </c>
      <c r="B1093" t="s">
        <v>1725</v>
      </c>
      <c r="C1093" s="11" t="s">
        <v>47</v>
      </c>
      <c r="D1093" s="11">
        <v>114</v>
      </c>
      <c r="E10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93">
        <f ca="1">IF(Tabla142[[#This Row],[frecuencia_new]]="Diaria"," ",RANDBETWEEN(1,6))</f>
        <v>4</v>
      </c>
      <c r="G1093">
        <f ca="1">IF(Tabla142[[#This Row],[frecuencia_new]]="Diaria","",IF(Tabla142[[#This Row],[frecuencia_new]]="Semanal","",IF(Tabla142[[#This Row],[frecuencia_new]]="Quincenal",RANDBETWEEN(1,2),RANDBETWEEN(1,4))))</f>
        <v>1</v>
      </c>
      <c r="H1093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093" s="11" t="s">
        <v>46</v>
      </c>
      <c r="K1093" s="11">
        <f>SUM(MID(Tabla142[[#This Row],[Duración]],1,2)*60,MID(Tabla142[[#This Row],[Duración]],6,2))</f>
        <v>15</v>
      </c>
      <c r="L1093" s="15" t="s">
        <v>77</v>
      </c>
      <c r="M1093" s="11" t="s">
        <v>239</v>
      </c>
      <c r="N1093" t="s">
        <v>29</v>
      </c>
      <c r="O1093" t="s">
        <v>384</v>
      </c>
      <c r="P1093" t="s">
        <v>360</v>
      </c>
      <c r="Q1093" s="20">
        <v>46032.649155092593</v>
      </c>
      <c r="R1093" s="11" t="s">
        <v>5</v>
      </c>
      <c r="T1093" t="s">
        <v>459</v>
      </c>
    </row>
    <row r="1094" spans="1:20" ht="15" customHeight="1" x14ac:dyDescent="0.25">
      <c r="A1094">
        <f t="shared" si="17"/>
        <v>48</v>
      </c>
      <c r="B1094" t="s">
        <v>1726</v>
      </c>
      <c r="C1094" s="11" t="s">
        <v>47</v>
      </c>
      <c r="D1094" s="11">
        <v>114</v>
      </c>
      <c r="E10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94">
        <f ca="1">IF(Tabla142[[#This Row],[frecuencia_new]]="Diaria"," ",RANDBETWEEN(1,6))</f>
        <v>2</v>
      </c>
      <c r="G1094">
        <f ca="1">IF(Tabla142[[#This Row],[frecuencia_new]]="Diaria","",IF(Tabla142[[#This Row],[frecuencia_new]]="Semanal","",IF(Tabla142[[#This Row],[frecuencia_new]]="Quincenal",RANDBETWEEN(1,2),RANDBETWEEN(1,4))))</f>
        <v>1</v>
      </c>
      <c r="H1094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094" s="11" t="s">
        <v>53</v>
      </c>
      <c r="K1094" s="11">
        <f>SUM(MID(Tabla142[[#This Row],[Duración]],1,2)*60,MID(Tabla142[[#This Row],[Duración]],6,2))</f>
        <v>15</v>
      </c>
      <c r="L1094" s="15" t="s">
        <v>77</v>
      </c>
      <c r="M1094" s="11" t="s">
        <v>239</v>
      </c>
      <c r="N1094" t="s">
        <v>29</v>
      </c>
      <c r="O1094" t="s">
        <v>384</v>
      </c>
      <c r="P1094" t="s">
        <v>360</v>
      </c>
      <c r="Q1094" s="20">
        <v>46032.649155092593</v>
      </c>
      <c r="R1094" s="11" t="s">
        <v>5</v>
      </c>
      <c r="T1094" t="s">
        <v>459</v>
      </c>
    </row>
    <row r="1095" spans="1:20" ht="15" customHeight="1" x14ac:dyDescent="0.25">
      <c r="A1095">
        <f t="shared" si="17"/>
        <v>48</v>
      </c>
      <c r="B1095" t="s">
        <v>1727</v>
      </c>
      <c r="C1095" s="11" t="s">
        <v>47</v>
      </c>
      <c r="D1095" s="11">
        <v>114</v>
      </c>
      <c r="E10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095">
        <f ca="1">IF(Tabla142[[#This Row],[frecuencia_new]]="Diaria"," ",RANDBETWEEN(1,6))</f>
        <v>1</v>
      </c>
      <c r="G1095">
        <f ca="1">IF(Tabla142[[#This Row],[frecuencia_new]]="Diaria","",IF(Tabla142[[#This Row],[frecuencia_new]]="Semanal","",IF(Tabla142[[#This Row],[frecuencia_new]]="Quincenal",RANDBETWEEN(1,2),RANDBETWEEN(1,4))))</f>
        <v>1</v>
      </c>
      <c r="H1095">
        <f ca="1">IF(Tabla142[[#This Row],[frecuencia_new]]="Trimestral",RANDBETWEEN(1,3),IF(Tabla142[[#This Row],[frecuencia_new]]="Semestral",RANDBETWEEN(1,6),IF(Tabla142[[#This Row],[frecuencia_new]]="Anual",RANDBETWEEN(1,12),"")))</f>
        <v>5</v>
      </c>
      <c r="J1095" s="11" t="s">
        <v>56</v>
      </c>
      <c r="K1095" s="11">
        <f>SUM(MID(Tabla142[[#This Row],[Duración]],1,2)*60,MID(Tabla142[[#This Row],[Duración]],6,2))</f>
        <v>30</v>
      </c>
      <c r="L1095" s="15" t="s">
        <v>48</v>
      </c>
      <c r="M1095" s="11" t="s">
        <v>239</v>
      </c>
      <c r="N1095" t="s">
        <v>29</v>
      </c>
      <c r="O1095" t="s">
        <v>384</v>
      </c>
      <c r="P1095" t="s">
        <v>360</v>
      </c>
      <c r="Q1095" s="20">
        <v>46032.649155092593</v>
      </c>
      <c r="R1095" s="11" t="s">
        <v>5</v>
      </c>
      <c r="T1095" t="s">
        <v>459</v>
      </c>
    </row>
    <row r="1096" spans="1:20" ht="15" customHeight="1" x14ac:dyDescent="0.25">
      <c r="A1096">
        <f t="shared" si="17"/>
        <v>185</v>
      </c>
      <c r="B1096" t="s">
        <v>1728</v>
      </c>
      <c r="C1096" s="11" t="s">
        <v>47</v>
      </c>
      <c r="D1096" s="11">
        <v>114</v>
      </c>
      <c r="E10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96" t="str">
        <f ca="1">IF(Tabla142[[#This Row],[frecuencia_new]]="Diaria"," ",RANDBETWEEN(1,6))</f>
        <v xml:space="preserve"> </v>
      </c>
      <c r="G1096" t="str">
        <f ca="1">IF(Tabla142[[#This Row],[frecuencia_new]]="Diaria","",IF(Tabla142[[#This Row],[frecuencia_new]]="Semanal","",IF(Tabla142[[#This Row],[frecuencia_new]]="Quincenal",RANDBETWEEN(1,2),RANDBETWEEN(1,4))))</f>
        <v/>
      </c>
      <c r="H10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6" s="11" t="s">
        <v>170</v>
      </c>
      <c r="K1096" s="11">
        <f>SUM(MID(Tabla142[[#This Row],[Duración]],1,2)*60,MID(Tabla142[[#This Row],[Duración]],6,2))</f>
        <v>2</v>
      </c>
      <c r="L1096" s="15" t="s">
        <v>60</v>
      </c>
      <c r="M1096" s="11" t="s">
        <v>239</v>
      </c>
      <c r="N1096" t="s">
        <v>29</v>
      </c>
      <c r="O1096" t="s">
        <v>393</v>
      </c>
      <c r="P1096" t="s">
        <v>361</v>
      </c>
      <c r="Q1096" s="20">
        <v>46032.649155092593</v>
      </c>
      <c r="R1096" s="11" t="s">
        <v>6</v>
      </c>
      <c r="T1096" t="s">
        <v>596</v>
      </c>
    </row>
    <row r="1097" spans="1:20" ht="15" customHeight="1" x14ac:dyDescent="0.25">
      <c r="A1097">
        <f t="shared" si="17"/>
        <v>185</v>
      </c>
      <c r="B1097" t="s">
        <v>1729</v>
      </c>
      <c r="C1097" s="11" t="s">
        <v>47</v>
      </c>
      <c r="D1097" s="11">
        <v>114</v>
      </c>
      <c r="E10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97" t="str">
        <f ca="1">IF(Tabla142[[#This Row],[frecuencia_new]]="Diaria"," ",RANDBETWEEN(1,6))</f>
        <v xml:space="preserve"> </v>
      </c>
      <c r="G1097" t="str">
        <f ca="1">IF(Tabla142[[#This Row],[frecuencia_new]]="Diaria","",IF(Tabla142[[#This Row],[frecuencia_new]]="Semanal","",IF(Tabla142[[#This Row],[frecuencia_new]]="Quincenal",RANDBETWEEN(1,2),RANDBETWEEN(1,4))))</f>
        <v/>
      </c>
      <c r="H10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7" s="11" t="s">
        <v>171</v>
      </c>
      <c r="K1097" s="11">
        <f>SUM(MID(Tabla142[[#This Row],[Duración]],1,2)*60,MID(Tabla142[[#This Row],[Duración]],6,2))</f>
        <v>2</v>
      </c>
      <c r="L1097" s="15" t="s">
        <v>60</v>
      </c>
      <c r="M1097" s="11" t="s">
        <v>239</v>
      </c>
      <c r="N1097" t="s">
        <v>29</v>
      </c>
      <c r="O1097" t="s">
        <v>393</v>
      </c>
      <c r="P1097" t="s">
        <v>361</v>
      </c>
      <c r="Q1097" s="20">
        <v>46032.649155092593</v>
      </c>
      <c r="R1097" s="11" t="s">
        <v>6</v>
      </c>
      <c r="T1097" t="s">
        <v>596</v>
      </c>
    </row>
    <row r="1098" spans="1:20" ht="15" customHeight="1" x14ac:dyDescent="0.25">
      <c r="A1098">
        <f t="shared" si="17"/>
        <v>185</v>
      </c>
      <c r="B1098" t="s">
        <v>1730</v>
      </c>
      <c r="C1098" s="11" t="s">
        <v>47</v>
      </c>
      <c r="D1098" s="11">
        <v>114</v>
      </c>
      <c r="E10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098" t="str">
        <f ca="1">IF(Tabla142[[#This Row],[frecuencia_new]]="Diaria"," ",RANDBETWEEN(1,6))</f>
        <v xml:space="preserve"> </v>
      </c>
      <c r="G1098" t="str">
        <f ca="1">IF(Tabla142[[#This Row],[frecuencia_new]]="Diaria","",IF(Tabla142[[#This Row],[frecuencia_new]]="Semanal","",IF(Tabla142[[#This Row],[frecuencia_new]]="Quincenal",RANDBETWEEN(1,2),RANDBETWEEN(1,4))))</f>
        <v/>
      </c>
      <c r="H10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8" s="11" t="s">
        <v>172</v>
      </c>
      <c r="K1098" s="11">
        <f>SUM(MID(Tabla142[[#This Row],[Duración]],1,2)*60,MID(Tabla142[[#This Row],[Duración]],6,2))</f>
        <v>3</v>
      </c>
      <c r="L1098" s="15" t="s">
        <v>150</v>
      </c>
      <c r="M1098" s="11" t="s">
        <v>239</v>
      </c>
      <c r="N1098" t="s">
        <v>29</v>
      </c>
      <c r="O1098" t="s">
        <v>393</v>
      </c>
      <c r="P1098" t="s">
        <v>361</v>
      </c>
      <c r="Q1098" s="20">
        <v>46032.649155092593</v>
      </c>
      <c r="R1098" s="11" t="s">
        <v>6</v>
      </c>
      <c r="T1098" t="s">
        <v>596</v>
      </c>
    </row>
    <row r="1099" spans="1:20" ht="15" customHeight="1" x14ac:dyDescent="0.25">
      <c r="A1099">
        <f t="shared" si="17"/>
        <v>185</v>
      </c>
      <c r="B1099" t="s">
        <v>1731</v>
      </c>
      <c r="C1099" s="12" t="s">
        <v>47</v>
      </c>
      <c r="D1099" s="12">
        <v>114</v>
      </c>
      <c r="E10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099">
        <f ca="1">IF(Tabla142[[#This Row],[frecuencia_new]]="Diaria"," ",RANDBETWEEN(1,6))</f>
        <v>3</v>
      </c>
      <c r="G1099">
        <f ca="1">IF(Tabla142[[#This Row],[frecuencia_new]]="Diaria","",IF(Tabla142[[#This Row],[frecuencia_new]]="Semanal","",IF(Tabla142[[#This Row],[frecuencia_new]]="Quincenal",RANDBETWEEN(1,2),RANDBETWEEN(1,4))))</f>
        <v>3</v>
      </c>
      <c r="H109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099" s="12" t="s">
        <v>173</v>
      </c>
      <c r="K1099" s="12">
        <f>SUM(MID(Tabla142[[#This Row],[Duración]],1,2)*60,MID(Tabla142[[#This Row],[Duración]],6,2))</f>
        <v>10</v>
      </c>
      <c r="L1099" s="17" t="s">
        <v>71</v>
      </c>
      <c r="M1099" s="12" t="s">
        <v>239</v>
      </c>
      <c r="N1099" t="s">
        <v>29</v>
      </c>
      <c r="O1099" t="s">
        <v>393</v>
      </c>
      <c r="P1099" t="s">
        <v>363</v>
      </c>
      <c r="Q1099" s="20">
        <v>46032.649155092593</v>
      </c>
      <c r="R1099" s="12" t="s">
        <v>7</v>
      </c>
      <c r="T1099" t="s">
        <v>596</v>
      </c>
    </row>
    <row r="1100" spans="1:20" ht="15" customHeight="1" x14ac:dyDescent="0.25">
      <c r="A1100">
        <f t="shared" si="17"/>
        <v>153</v>
      </c>
      <c r="B1100" t="s">
        <v>1732</v>
      </c>
      <c r="C1100" s="11" t="s">
        <v>47</v>
      </c>
      <c r="D1100" s="11">
        <v>115</v>
      </c>
      <c r="E11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0">
        <f ca="1">IF(Tabla142[[#This Row],[frecuencia_new]]="Diaria"," ",RANDBETWEEN(1,6))</f>
        <v>3</v>
      </c>
      <c r="G1100">
        <f ca="1">IF(Tabla142[[#This Row],[frecuencia_new]]="Diaria","",IF(Tabla142[[#This Row],[frecuencia_new]]="Semanal","",IF(Tabla142[[#This Row],[frecuencia_new]]="Quincenal",RANDBETWEEN(1,2),RANDBETWEEN(1,4))))</f>
        <v>2</v>
      </c>
      <c r="H1100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100" s="11" t="s">
        <v>46</v>
      </c>
      <c r="K1100" s="11">
        <f>SUM(MID(Tabla142[[#This Row],[Duración]],1,2)*60,MID(Tabla142[[#This Row],[Duración]],6,2))</f>
        <v>15</v>
      </c>
      <c r="L1100" s="15" t="s">
        <v>77</v>
      </c>
      <c r="M1100" s="11" t="s">
        <v>239</v>
      </c>
      <c r="N1100" t="s">
        <v>29</v>
      </c>
      <c r="O1100" t="s">
        <v>380</v>
      </c>
      <c r="P1100" t="s">
        <v>360</v>
      </c>
      <c r="Q1100" s="20">
        <v>46032.649155092593</v>
      </c>
      <c r="R1100" s="11" t="s">
        <v>5</v>
      </c>
      <c r="T1100" t="s">
        <v>564</v>
      </c>
    </row>
    <row r="1101" spans="1:20" ht="15" customHeight="1" x14ac:dyDescent="0.25">
      <c r="A1101">
        <f t="shared" si="17"/>
        <v>153</v>
      </c>
      <c r="B1101" t="s">
        <v>1733</v>
      </c>
      <c r="C1101" s="11" t="s">
        <v>47</v>
      </c>
      <c r="D1101" s="11">
        <v>115</v>
      </c>
      <c r="E11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1">
        <f ca="1">IF(Tabla142[[#This Row],[frecuencia_new]]="Diaria"," ",RANDBETWEEN(1,6))</f>
        <v>5</v>
      </c>
      <c r="G1101">
        <f ca="1">IF(Tabla142[[#This Row],[frecuencia_new]]="Diaria","",IF(Tabla142[[#This Row],[frecuencia_new]]="Semanal","",IF(Tabla142[[#This Row],[frecuencia_new]]="Quincenal",RANDBETWEEN(1,2),RANDBETWEEN(1,4))))</f>
        <v>4</v>
      </c>
      <c r="H1101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101" s="11" t="s">
        <v>53</v>
      </c>
      <c r="K1101" s="11">
        <f>SUM(MID(Tabla142[[#This Row],[Duración]],1,2)*60,MID(Tabla142[[#This Row],[Duración]],6,2))</f>
        <v>15</v>
      </c>
      <c r="L1101" s="15" t="s">
        <v>77</v>
      </c>
      <c r="M1101" s="11" t="s">
        <v>239</v>
      </c>
      <c r="N1101" t="s">
        <v>29</v>
      </c>
      <c r="O1101" t="s">
        <v>380</v>
      </c>
      <c r="P1101" t="s">
        <v>360</v>
      </c>
      <c r="Q1101" s="20">
        <v>46032.649155092593</v>
      </c>
      <c r="R1101" s="11" t="s">
        <v>5</v>
      </c>
      <c r="T1101" t="s">
        <v>564</v>
      </c>
    </row>
    <row r="1102" spans="1:20" ht="15" customHeight="1" x14ac:dyDescent="0.25">
      <c r="A1102">
        <f t="shared" si="17"/>
        <v>153</v>
      </c>
      <c r="B1102" t="s">
        <v>1734</v>
      </c>
      <c r="C1102" s="11" t="s">
        <v>47</v>
      </c>
      <c r="D1102" s="11">
        <v>115</v>
      </c>
      <c r="E11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2">
        <f ca="1">IF(Tabla142[[#This Row],[frecuencia_new]]="Diaria"," ",RANDBETWEEN(1,6))</f>
        <v>5</v>
      </c>
      <c r="G1102">
        <f ca="1">IF(Tabla142[[#This Row],[frecuencia_new]]="Diaria","",IF(Tabla142[[#This Row],[frecuencia_new]]="Semanal","",IF(Tabla142[[#This Row],[frecuencia_new]]="Quincenal",RANDBETWEEN(1,2),RANDBETWEEN(1,4))))</f>
        <v>3</v>
      </c>
      <c r="H1102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102" s="11" t="s">
        <v>56</v>
      </c>
      <c r="K1102" s="11">
        <f>SUM(MID(Tabla142[[#This Row],[Duración]],1,2)*60,MID(Tabla142[[#This Row],[Duración]],6,2))</f>
        <v>30</v>
      </c>
      <c r="L1102" s="15" t="s">
        <v>48</v>
      </c>
      <c r="M1102" s="11" t="s">
        <v>239</v>
      </c>
      <c r="N1102" t="s">
        <v>29</v>
      </c>
      <c r="O1102" t="s">
        <v>380</v>
      </c>
      <c r="P1102" t="s">
        <v>360</v>
      </c>
      <c r="Q1102" s="20">
        <v>46032.649155092593</v>
      </c>
      <c r="R1102" s="11" t="s">
        <v>5</v>
      </c>
      <c r="T1102" t="s">
        <v>564</v>
      </c>
    </row>
    <row r="1103" spans="1:20" ht="15" customHeight="1" x14ac:dyDescent="0.25">
      <c r="A1103">
        <f t="shared" si="17"/>
        <v>186</v>
      </c>
      <c r="B1103" t="s">
        <v>1735</v>
      </c>
      <c r="C1103" s="11" t="s">
        <v>47</v>
      </c>
      <c r="D1103" s="11">
        <v>115</v>
      </c>
      <c r="E11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03" t="str">
        <f ca="1">IF(Tabla142[[#This Row],[frecuencia_new]]="Diaria"," ",RANDBETWEEN(1,6))</f>
        <v xml:space="preserve"> </v>
      </c>
      <c r="G1103" t="str">
        <f ca="1">IF(Tabla142[[#This Row],[frecuencia_new]]="Diaria","",IF(Tabla142[[#This Row],[frecuencia_new]]="Semanal","",IF(Tabla142[[#This Row],[frecuencia_new]]="Quincenal",RANDBETWEEN(1,2),RANDBETWEEN(1,4))))</f>
        <v/>
      </c>
      <c r="H11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03" s="11" t="s">
        <v>170</v>
      </c>
      <c r="K1103" s="11">
        <f>SUM(MID(Tabla142[[#This Row],[Duración]],1,2)*60,MID(Tabla142[[#This Row],[Duración]],6,2))</f>
        <v>2</v>
      </c>
      <c r="L1103" s="15" t="s">
        <v>60</v>
      </c>
      <c r="M1103" s="11" t="s">
        <v>239</v>
      </c>
      <c r="N1103" t="s">
        <v>29</v>
      </c>
      <c r="O1103" t="s">
        <v>393</v>
      </c>
      <c r="P1103" t="s">
        <v>367</v>
      </c>
      <c r="Q1103" s="20">
        <v>46032.649155092593</v>
      </c>
      <c r="R1103" s="11" t="s">
        <v>6</v>
      </c>
      <c r="T1103" t="s">
        <v>597</v>
      </c>
    </row>
    <row r="1104" spans="1:20" ht="15" customHeight="1" x14ac:dyDescent="0.25">
      <c r="A1104">
        <f t="shared" si="17"/>
        <v>186</v>
      </c>
      <c r="B1104" t="s">
        <v>1736</v>
      </c>
      <c r="C1104" s="11" t="s">
        <v>47</v>
      </c>
      <c r="D1104" s="11">
        <v>115</v>
      </c>
      <c r="E11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04" t="str">
        <f ca="1">IF(Tabla142[[#This Row],[frecuencia_new]]="Diaria"," ",RANDBETWEEN(1,6))</f>
        <v xml:space="preserve"> </v>
      </c>
      <c r="G1104" t="str">
        <f ca="1">IF(Tabla142[[#This Row],[frecuencia_new]]="Diaria","",IF(Tabla142[[#This Row],[frecuencia_new]]="Semanal","",IF(Tabla142[[#This Row],[frecuencia_new]]="Quincenal",RANDBETWEEN(1,2),RANDBETWEEN(1,4))))</f>
        <v/>
      </c>
      <c r="H11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04" s="11" t="s">
        <v>171</v>
      </c>
      <c r="K1104" s="11">
        <f>SUM(MID(Tabla142[[#This Row],[Duración]],1,2)*60,MID(Tabla142[[#This Row],[Duración]],6,2))</f>
        <v>2</v>
      </c>
      <c r="L1104" s="15" t="s">
        <v>60</v>
      </c>
      <c r="M1104" s="11" t="s">
        <v>239</v>
      </c>
      <c r="N1104" t="s">
        <v>29</v>
      </c>
      <c r="O1104" t="s">
        <v>393</v>
      </c>
      <c r="P1104" t="s">
        <v>361</v>
      </c>
      <c r="Q1104" s="20">
        <v>46032.649155092593</v>
      </c>
      <c r="R1104" s="11" t="s">
        <v>6</v>
      </c>
      <c r="T1104" t="s">
        <v>597</v>
      </c>
    </row>
    <row r="1105" spans="1:20" ht="15" customHeight="1" x14ac:dyDescent="0.25">
      <c r="A1105">
        <f t="shared" si="17"/>
        <v>186</v>
      </c>
      <c r="B1105" t="s">
        <v>1737</v>
      </c>
      <c r="C1105" s="11" t="s">
        <v>47</v>
      </c>
      <c r="D1105" s="11">
        <v>115</v>
      </c>
      <c r="E11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05" t="str">
        <f ca="1">IF(Tabla142[[#This Row],[frecuencia_new]]="Diaria"," ",RANDBETWEEN(1,6))</f>
        <v xml:space="preserve"> </v>
      </c>
      <c r="G1105" t="str">
        <f ca="1">IF(Tabla142[[#This Row],[frecuencia_new]]="Diaria","",IF(Tabla142[[#This Row],[frecuencia_new]]="Semanal","",IF(Tabla142[[#This Row],[frecuencia_new]]="Quincenal",RANDBETWEEN(1,2),RANDBETWEEN(1,4))))</f>
        <v/>
      </c>
      <c r="H11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05" s="11" t="s">
        <v>172</v>
      </c>
      <c r="K1105" s="11">
        <f>SUM(MID(Tabla142[[#This Row],[Duración]],1,2)*60,MID(Tabla142[[#This Row],[Duración]],6,2))</f>
        <v>3</v>
      </c>
      <c r="L1105" s="15" t="s">
        <v>150</v>
      </c>
      <c r="M1105" s="11" t="s">
        <v>239</v>
      </c>
      <c r="N1105" t="s">
        <v>29</v>
      </c>
      <c r="O1105" t="s">
        <v>393</v>
      </c>
      <c r="P1105" t="s">
        <v>361</v>
      </c>
      <c r="Q1105" s="20">
        <v>46032.649155092593</v>
      </c>
      <c r="R1105" s="11" t="s">
        <v>6</v>
      </c>
      <c r="T1105" t="s">
        <v>597</v>
      </c>
    </row>
    <row r="1106" spans="1:20" ht="15" customHeight="1" x14ac:dyDescent="0.25">
      <c r="A1106">
        <f t="shared" si="17"/>
        <v>186</v>
      </c>
      <c r="B1106" t="s">
        <v>1738</v>
      </c>
      <c r="C1106" s="11" t="s">
        <v>47</v>
      </c>
      <c r="D1106" s="11">
        <v>115</v>
      </c>
      <c r="E11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06">
        <f ca="1">IF(Tabla142[[#This Row],[frecuencia_new]]="Diaria"," ",RANDBETWEEN(1,6))</f>
        <v>4</v>
      </c>
      <c r="G1106">
        <f ca="1">IF(Tabla142[[#This Row],[frecuencia_new]]="Diaria","",IF(Tabla142[[#This Row],[frecuencia_new]]="Semanal","",IF(Tabla142[[#This Row],[frecuencia_new]]="Quincenal",RANDBETWEEN(1,2),RANDBETWEEN(1,4))))</f>
        <v>3</v>
      </c>
      <c r="H11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06" s="11" t="s">
        <v>173</v>
      </c>
      <c r="K1106" s="11">
        <f>SUM(MID(Tabla142[[#This Row],[Duración]],1,2)*60,MID(Tabla142[[#This Row],[Duración]],6,2))</f>
        <v>10</v>
      </c>
      <c r="L1106" s="15" t="s">
        <v>71</v>
      </c>
      <c r="M1106" s="11" t="s">
        <v>239</v>
      </c>
      <c r="N1106" t="s">
        <v>29</v>
      </c>
      <c r="O1106" t="s">
        <v>393</v>
      </c>
      <c r="P1106" t="s">
        <v>363</v>
      </c>
      <c r="Q1106" s="20">
        <v>46032.649155092593</v>
      </c>
      <c r="R1106" s="11" t="s">
        <v>7</v>
      </c>
      <c r="T1106" t="s">
        <v>597</v>
      </c>
    </row>
    <row r="1107" spans="1:20" ht="15" customHeight="1" x14ac:dyDescent="0.25">
      <c r="A1107">
        <f t="shared" si="17"/>
        <v>49</v>
      </c>
      <c r="B1107" t="s">
        <v>1739</v>
      </c>
      <c r="C1107" s="11" t="s">
        <v>47</v>
      </c>
      <c r="D1107" s="11">
        <v>116</v>
      </c>
      <c r="E11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7">
        <f ca="1">IF(Tabla142[[#This Row],[frecuencia_new]]="Diaria"," ",RANDBETWEEN(1,6))</f>
        <v>3</v>
      </c>
      <c r="G1107">
        <f ca="1">IF(Tabla142[[#This Row],[frecuencia_new]]="Diaria","",IF(Tabla142[[#This Row],[frecuencia_new]]="Semanal","",IF(Tabla142[[#This Row],[frecuencia_new]]="Quincenal",RANDBETWEEN(1,2),RANDBETWEEN(1,4))))</f>
        <v>2</v>
      </c>
      <c r="H1107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107" s="11" t="s">
        <v>46</v>
      </c>
      <c r="K1107" s="11">
        <f>SUM(MID(Tabla142[[#This Row],[Duración]],1,2)*60,MID(Tabla142[[#This Row],[Duración]],6,2))</f>
        <v>15</v>
      </c>
      <c r="L1107" s="15" t="s">
        <v>77</v>
      </c>
      <c r="M1107" s="11" t="s">
        <v>239</v>
      </c>
      <c r="N1107" t="s">
        <v>29</v>
      </c>
      <c r="O1107" t="s">
        <v>384</v>
      </c>
      <c r="P1107" t="s">
        <v>360</v>
      </c>
      <c r="Q1107" s="20">
        <v>46032.649155092593</v>
      </c>
      <c r="R1107" s="11" t="s">
        <v>5</v>
      </c>
      <c r="T1107" t="s">
        <v>460</v>
      </c>
    </row>
    <row r="1108" spans="1:20" ht="15" customHeight="1" x14ac:dyDescent="0.25">
      <c r="A1108">
        <f t="shared" si="17"/>
        <v>49</v>
      </c>
      <c r="B1108" t="s">
        <v>1740</v>
      </c>
      <c r="C1108" s="11" t="s">
        <v>47</v>
      </c>
      <c r="D1108" s="11">
        <v>116</v>
      </c>
      <c r="E11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8">
        <f ca="1">IF(Tabla142[[#This Row],[frecuencia_new]]="Diaria"," ",RANDBETWEEN(1,6))</f>
        <v>6</v>
      </c>
      <c r="G1108">
        <f ca="1">IF(Tabla142[[#This Row],[frecuencia_new]]="Diaria","",IF(Tabla142[[#This Row],[frecuencia_new]]="Semanal","",IF(Tabla142[[#This Row],[frecuencia_new]]="Quincenal",RANDBETWEEN(1,2),RANDBETWEEN(1,4))))</f>
        <v>2</v>
      </c>
      <c r="H1108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108" s="11" t="s">
        <v>53</v>
      </c>
      <c r="K1108" s="11">
        <f>SUM(MID(Tabla142[[#This Row],[Duración]],1,2)*60,MID(Tabla142[[#This Row],[Duración]],6,2))</f>
        <v>15</v>
      </c>
      <c r="L1108" s="15" t="s">
        <v>77</v>
      </c>
      <c r="M1108" s="11" t="s">
        <v>239</v>
      </c>
      <c r="N1108" t="s">
        <v>29</v>
      </c>
      <c r="O1108" t="s">
        <v>384</v>
      </c>
      <c r="P1108" t="s">
        <v>360</v>
      </c>
      <c r="Q1108" s="20">
        <v>46032.649155092593</v>
      </c>
      <c r="R1108" s="11" t="s">
        <v>5</v>
      </c>
      <c r="T1108" t="s">
        <v>460</v>
      </c>
    </row>
    <row r="1109" spans="1:20" ht="15" customHeight="1" x14ac:dyDescent="0.25">
      <c r="A1109">
        <f t="shared" si="17"/>
        <v>49</v>
      </c>
      <c r="B1109" t="s">
        <v>1741</v>
      </c>
      <c r="C1109" s="11" t="s">
        <v>47</v>
      </c>
      <c r="D1109" s="11">
        <v>116</v>
      </c>
      <c r="E11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09">
        <f ca="1">IF(Tabla142[[#This Row],[frecuencia_new]]="Diaria"," ",RANDBETWEEN(1,6))</f>
        <v>3</v>
      </c>
      <c r="G1109">
        <f ca="1">IF(Tabla142[[#This Row],[frecuencia_new]]="Diaria","",IF(Tabla142[[#This Row],[frecuencia_new]]="Semanal","",IF(Tabla142[[#This Row],[frecuencia_new]]="Quincenal",RANDBETWEEN(1,2),RANDBETWEEN(1,4))))</f>
        <v>3</v>
      </c>
      <c r="H1109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109" s="11" t="s">
        <v>56</v>
      </c>
      <c r="K1109" s="11">
        <f>SUM(MID(Tabla142[[#This Row],[Duración]],1,2)*60,MID(Tabla142[[#This Row],[Duración]],6,2))</f>
        <v>30</v>
      </c>
      <c r="L1109" s="15" t="s">
        <v>48</v>
      </c>
      <c r="M1109" s="11" t="s">
        <v>239</v>
      </c>
      <c r="N1109" t="s">
        <v>29</v>
      </c>
      <c r="O1109" t="s">
        <v>384</v>
      </c>
      <c r="P1109" t="s">
        <v>360</v>
      </c>
      <c r="Q1109" s="20">
        <v>46032.649155092593</v>
      </c>
      <c r="R1109" s="11" t="s">
        <v>5</v>
      </c>
      <c r="T1109" t="s">
        <v>460</v>
      </c>
    </row>
    <row r="1110" spans="1:20" ht="15" customHeight="1" x14ac:dyDescent="0.25">
      <c r="A1110">
        <f t="shared" si="17"/>
        <v>187</v>
      </c>
      <c r="B1110" t="s">
        <v>1742</v>
      </c>
      <c r="C1110" s="11" t="s">
        <v>47</v>
      </c>
      <c r="D1110" s="11">
        <v>116</v>
      </c>
      <c r="E11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10" t="str">
        <f ca="1">IF(Tabla142[[#This Row],[frecuencia_new]]="Diaria"," ",RANDBETWEEN(1,6))</f>
        <v xml:space="preserve"> </v>
      </c>
      <c r="G1110" t="str">
        <f ca="1">IF(Tabla142[[#This Row],[frecuencia_new]]="Diaria","",IF(Tabla142[[#This Row],[frecuencia_new]]="Semanal","",IF(Tabla142[[#This Row],[frecuencia_new]]="Quincenal",RANDBETWEEN(1,2),RANDBETWEEN(1,4))))</f>
        <v/>
      </c>
      <c r="H111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0" s="11" t="s">
        <v>170</v>
      </c>
      <c r="K1110" s="11">
        <f>SUM(MID(Tabla142[[#This Row],[Duración]],1,2)*60,MID(Tabla142[[#This Row],[Duración]],6,2))</f>
        <v>2</v>
      </c>
      <c r="L1110" s="15" t="s">
        <v>60</v>
      </c>
      <c r="M1110" s="11" t="s">
        <v>239</v>
      </c>
      <c r="N1110" t="s">
        <v>29</v>
      </c>
      <c r="O1110" t="s">
        <v>393</v>
      </c>
      <c r="P1110" t="s">
        <v>361</v>
      </c>
      <c r="Q1110" s="20">
        <v>46032.649155092593</v>
      </c>
      <c r="R1110" s="11" t="s">
        <v>6</v>
      </c>
      <c r="T1110" t="s">
        <v>598</v>
      </c>
    </row>
    <row r="1111" spans="1:20" ht="15" customHeight="1" x14ac:dyDescent="0.25">
      <c r="A1111">
        <f t="shared" si="17"/>
        <v>187</v>
      </c>
      <c r="B1111" t="s">
        <v>1743</v>
      </c>
      <c r="C1111" s="11" t="s">
        <v>47</v>
      </c>
      <c r="D1111" s="11">
        <v>116</v>
      </c>
      <c r="E11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11" t="str">
        <f ca="1">IF(Tabla142[[#This Row],[frecuencia_new]]="Diaria"," ",RANDBETWEEN(1,6))</f>
        <v xml:space="preserve"> </v>
      </c>
      <c r="G1111" t="str">
        <f ca="1">IF(Tabla142[[#This Row],[frecuencia_new]]="Diaria","",IF(Tabla142[[#This Row],[frecuencia_new]]="Semanal","",IF(Tabla142[[#This Row],[frecuencia_new]]="Quincenal",RANDBETWEEN(1,2),RANDBETWEEN(1,4))))</f>
        <v/>
      </c>
      <c r="H11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1" s="11" t="s">
        <v>171</v>
      </c>
      <c r="K1111" s="11">
        <f>SUM(MID(Tabla142[[#This Row],[Duración]],1,2)*60,MID(Tabla142[[#This Row],[Duración]],6,2))</f>
        <v>2</v>
      </c>
      <c r="L1111" s="15" t="s">
        <v>60</v>
      </c>
      <c r="M1111" s="11" t="s">
        <v>239</v>
      </c>
      <c r="N1111" t="s">
        <v>29</v>
      </c>
      <c r="O1111" t="s">
        <v>393</v>
      </c>
      <c r="P1111" t="s">
        <v>361</v>
      </c>
      <c r="Q1111" s="20">
        <v>46032.649155092593</v>
      </c>
      <c r="R1111" s="11" t="s">
        <v>6</v>
      </c>
      <c r="T1111" t="s">
        <v>598</v>
      </c>
    </row>
    <row r="1112" spans="1:20" ht="15" customHeight="1" x14ac:dyDescent="0.25">
      <c r="A1112">
        <f t="shared" si="17"/>
        <v>187</v>
      </c>
      <c r="B1112" t="s">
        <v>1744</v>
      </c>
      <c r="C1112" s="11" t="s">
        <v>47</v>
      </c>
      <c r="D1112" s="11">
        <v>116</v>
      </c>
      <c r="E11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12" t="str">
        <f ca="1">IF(Tabla142[[#This Row],[frecuencia_new]]="Diaria"," ",RANDBETWEEN(1,6))</f>
        <v xml:space="preserve"> </v>
      </c>
      <c r="G1112" t="str">
        <f ca="1">IF(Tabla142[[#This Row],[frecuencia_new]]="Diaria","",IF(Tabla142[[#This Row],[frecuencia_new]]="Semanal","",IF(Tabla142[[#This Row],[frecuencia_new]]="Quincenal",RANDBETWEEN(1,2),RANDBETWEEN(1,4))))</f>
        <v/>
      </c>
      <c r="H111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2" s="11" t="s">
        <v>172</v>
      </c>
      <c r="K1112" s="11">
        <f>SUM(MID(Tabla142[[#This Row],[Duración]],1,2)*60,MID(Tabla142[[#This Row],[Duración]],6,2))</f>
        <v>3</v>
      </c>
      <c r="L1112" s="15" t="s">
        <v>150</v>
      </c>
      <c r="M1112" s="11" t="s">
        <v>239</v>
      </c>
      <c r="N1112" t="s">
        <v>29</v>
      </c>
      <c r="O1112" t="s">
        <v>393</v>
      </c>
      <c r="P1112" t="s">
        <v>361</v>
      </c>
      <c r="Q1112" s="20">
        <v>46032.649155092593</v>
      </c>
      <c r="R1112" s="11" t="s">
        <v>6</v>
      </c>
      <c r="T1112" t="s">
        <v>598</v>
      </c>
    </row>
    <row r="1113" spans="1:20" ht="15" customHeight="1" x14ac:dyDescent="0.25">
      <c r="A1113">
        <f t="shared" si="17"/>
        <v>187</v>
      </c>
      <c r="B1113" t="s">
        <v>1745</v>
      </c>
      <c r="C1113" s="12" t="s">
        <v>47</v>
      </c>
      <c r="D1113" s="11">
        <v>116</v>
      </c>
      <c r="E11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13">
        <f ca="1">IF(Tabla142[[#This Row],[frecuencia_new]]="Diaria"," ",RANDBETWEEN(1,6))</f>
        <v>2</v>
      </c>
      <c r="G1113">
        <f ca="1">IF(Tabla142[[#This Row],[frecuencia_new]]="Diaria","",IF(Tabla142[[#This Row],[frecuencia_new]]="Semanal","",IF(Tabla142[[#This Row],[frecuencia_new]]="Quincenal",RANDBETWEEN(1,2),RANDBETWEEN(1,4))))</f>
        <v>1</v>
      </c>
      <c r="H11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3" s="12" t="s">
        <v>173</v>
      </c>
      <c r="K1113" s="12">
        <f>SUM(MID(Tabla142[[#This Row],[Duración]],1,2)*60,MID(Tabla142[[#This Row],[Duración]],6,2))</f>
        <v>10</v>
      </c>
      <c r="L1113" s="17" t="s">
        <v>71</v>
      </c>
      <c r="M1113" s="12" t="s">
        <v>239</v>
      </c>
      <c r="N1113" t="s">
        <v>29</v>
      </c>
      <c r="O1113" t="s">
        <v>393</v>
      </c>
      <c r="P1113" t="s">
        <v>363</v>
      </c>
      <c r="Q1113" s="20">
        <v>46032.649155092593</v>
      </c>
      <c r="R1113" s="12" t="s">
        <v>7</v>
      </c>
      <c r="T1113" t="s">
        <v>598</v>
      </c>
    </row>
    <row r="1114" spans="1:20" ht="15" customHeight="1" x14ac:dyDescent="0.25">
      <c r="A1114">
        <f t="shared" si="17"/>
        <v>154</v>
      </c>
      <c r="B1114" t="s">
        <v>1746</v>
      </c>
      <c r="C1114" s="12" t="s">
        <v>47</v>
      </c>
      <c r="D1114">
        <v>117</v>
      </c>
      <c r="E111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14">
        <f ca="1">IF(Tabla142[[#This Row],[frecuencia_new]]="Diaria"," ",RANDBETWEEN(1,6))</f>
        <v>1</v>
      </c>
      <c r="G1114">
        <f ca="1">IF(Tabla142[[#This Row],[frecuencia_new]]="Diaria","",IF(Tabla142[[#This Row],[frecuencia_new]]="Semanal","",IF(Tabla142[[#This Row],[frecuencia_new]]="Quincenal",RANDBETWEEN(1,2),RANDBETWEEN(1,4))))</f>
        <v>3</v>
      </c>
      <c r="H1114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114" t="s">
        <v>46</v>
      </c>
      <c r="K1114">
        <f>SUM(MID(Tabla142[[#This Row],[Duración]],1,2)*60,MID(Tabla142[[#This Row],[Duración]],6,2))</f>
        <v>15</v>
      </c>
      <c r="L1114" s="4" t="s">
        <v>77</v>
      </c>
      <c r="M1114" s="12" t="s">
        <v>239</v>
      </c>
      <c r="N1114" t="s">
        <v>29</v>
      </c>
      <c r="O1114" t="s">
        <v>380</v>
      </c>
      <c r="P1114" t="s">
        <v>360</v>
      </c>
      <c r="Q1114" s="20">
        <v>46032.649155092593</v>
      </c>
      <c r="R1114" t="s">
        <v>5</v>
      </c>
      <c r="T1114" t="s">
        <v>565</v>
      </c>
    </row>
    <row r="1115" spans="1:20" ht="15" customHeight="1" x14ac:dyDescent="0.25">
      <c r="A1115">
        <f t="shared" si="17"/>
        <v>154</v>
      </c>
      <c r="B1115" t="s">
        <v>1747</v>
      </c>
      <c r="C1115" s="12" t="s">
        <v>47</v>
      </c>
      <c r="D1115">
        <v>117</v>
      </c>
      <c r="E111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15">
        <f ca="1">IF(Tabla142[[#This Row],[frecuencia_new]]="Diaria"," ",RANDBETWEEN(1,6))</f>
        <v>3</v>
      </c>
      <c r="G1115">
        <f ca="1">IF(Tabla142[[#This Row],[frecuencia_new]]="Diaria","",IF(Tabla142[[#This Row],[frecuencia_new]]="Semanal","",IF(Tabla142[[#This Row],[frecuencia_new]]="Quincenal",RANDBETWEEN(1,2),RANDBETWEEN(1,4))))</f>
        <v>3</v>
      </c>
      <c r="H1115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115" t="s">
        <v>53</v>
      </c>
      <c r="K1115">
        <f>SUM(MID(Tabla142[[#This Row],[Duración]],1,2)*60,MID(Tabla142[[#This Row],[Duración]],6,2))</f>
        <v>15</v>
      </c>
      <c r="L1115" s="4" t="s">
        <v>77</v>
      </c>
      <c r="M1115" s="12" t="s">
        <v>239</v>
      </c>
      <c r="N1115" t="s">
        <v>29</v>
      </c>
      <c r="O1115" t="s">
        <v>380</v>
      </c>
      <c r="P1115" t="s">
        <v>360</v>
      </c>
      <c r="Q1115" s="20">
        <v>46032.649155092593</v>
      </c>
      <c r="R1115" t="s">
        <v>5</v>
      </c>
      <c r="T1115" t="s">
        <v>565</v>
      </c>
    </row>
    <row r="1116" spans="1:20" ht="15" customHeight="1" x14ac:dyDescent="0.25">
      <c r="A1116">
        <f t="shared" si="17"/>
        <v>154</v>
      </c>
      <c r="B1116" t="s">
        <v>1748</v>
      </c>
      <c r="C1116" s="12" t="s">
        <v>47</v>
      </c>
      <c r="D1116">
        <v>117</v>
      </c>
      <c r="E111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16">
        <f ca="1">IF(Tabla142[[#This Row],[frecuencia_new]]="Diaria"," ",RANDBETWEEN(1,6))</f>
        <v>5</v>
      </c>
      <c r="G1116">
        <f ca="1">IF(Tabla142[[#This Row],[frecuencia_new]]="Diaria","",IF(Tabla142[[#This Row],[frecuencia_new]]="Semanal","",IF(Tabla142[[#This Row],[frecuencia_new]]="Quincenal",RANDBETWEEN(1,2),RANDBETWEEN(1,4))))</f>
        <v>1</v>
      </c>
      <c r="H1116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16" t="s">
        <v>56</v>
      </c>
      <c r="K1116">
        <f>SUM(MID(Tabla142[[#This Row],[Duración]],1,2)*60,MID(Tabla142[[#This Row],[Duración]],6,2))</f>
        <v>30</v>
      </c>
      <c r="L1116" s="4" t="s">
        <v>48</v>
      </c>
      <c r="M1116" s="12" t="s">
        <v>239</v>
      </c>
      <c r="N1116" t="s">
        <v>29</v>
      </c>
      <c r="O1116" t="s">
        <v>380</v>
      </c>
      <c r="P1116" t="s">
        <v>360</v>
      </c>
      <c r="Q1116" s="20">
        <v>46032.649155092593</v>
      </c>
      <c r="R1116" t="s">
        <v>5</v>
      </c>
      <c r="T1116" t="s">
        <v>565</v>
      </c>
    </row>
    <row r="1117" spans="1:20" ht="15" customHeight="1" x14ac:dyDescent="0.25">
      <c r="A1117">
        <f t="shared" si="17"/>
        <v>188</v>
      </c>
      <c r="B1117" t="s">
        <v>1749</v>
      </c>
      <c r="C1117" s="12" t="s">
        <v>47</v>
      </c>
      <c r="D1117" s="18">
        <v>117</v>
      </c>
      <c r="E111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17" t="str">
        <f ca="1">IF(Tabla142[[#This Row],[frecuencia_new]]="Diaria"," ",RANDBETWEEN(1,6))</f>
        <v xml:space="preserve"> </v>
      </c>
      <c r="G1117" t="str">
        <f ca="1">IF(Tabla142[[#This Row],[frecuencia_new]]="Diaria","",IF(Tabla142[[#This Row],[frecuencia_new]]="Semanal","",IF(Tabla142[[#This Row],[frecuencia_new]]="Quincenal",RANDBETWEEN(1,2),RANDBETWEEN(1,4))))</f>
        <v/>
      </c>
      <c r="H111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7" s="18" t="s">
        <v>170</v>
      </c>
      <c r="K1117" s="18">
        <f>SUM(MID(Tabla142[[#This Row],[Duración]],1,2)*60,MID(Tabla142[[#This Row],[Duración]],6,2))</f>
        <v>2</v>
      </c>
      <c r="L1117" s="19" t="s">
        <v>60</v>
      </c>
      <c r="M1117" s="12" t="s">
        <v>239</v>
      </c>
      <c r="N1117" t="s">
        <v>29</v>
      </c>
      <c r="O1117" t="s">
        <v>393</v>
      </c>
      <c r="P1117" t="s">
        <v>361</v>
      </c>
      <c r="Q1117" s="20">
        <v>46032.649155092593</v>
      </c>
      <c r="R1117" s="18" t="s">
        <v>6</v>
      </c>
      <c r="T1117" t="s">
        <v>599</v>
      </c>
    </row>
    <row r="1118" spans="1:20" ht="15" customHeight="1" x14ac:dyDescent="0.25">
      <c r="A1118">
        <f t="shared" si="17"/>
        <v>188</v>
      </c>
      <c r="B1118" t="s">
        <v>1750</v>
      </c>
      <c r="C1118" s="12" t="s">
        <v>47</v>
      </c>
      <c r="D1118" s="18">
        <v>117</v>
      </c>
      <c r="E111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18" t="str">
        <f ca="1">IF(Tabla142[[#This Row],[frecuencia_new]]="Diaria"," ",RANDBETWEEN(1,6))</f>
        <v xml:space="preserve"> </v>
      </c>
      <c r="G1118" t="str">
        <f ca="1">IF(Tabla142[[#This Row],[frecuencia_new]]="Diaria","",IF(Tabla142[[#This Row],[frecuencia_new]]="Semanal","",IF(Tabla142[[#This Row],[frecuencia_new]]="Quincenal",RANDBETWEEN(1,2),RANDBETWEEN(1,4))))</f>
        <v/>
      </c>
      <c r="H111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8" s="18" t="s">
        <v>171</v>
      </c>
      <c r="K1118" s="18">
        <f>SUM(MID(Tabla142[[#This Row],[Duración]],1,2)*60,MID(Tabla142[[#This Row],[Duración]],6,2))</f>
        <v>2</v>
      </c>
      <c r="L1118" s="19" t="s">
        <v>60</v>
      </c>
      <c r="M1118" s="12" t="s">
        <v>239</v>
      </c>
      <c r="N1118" t="s">
        <v>29</v>
      </c>
      <c r="O1118" t="s">
        <v>393</v>
      </c>
      <c r="P1118" t="s">
        <v>361</v>
      </c>
      <c r="Q1118" s="20">
        <v>46032.649155092593</v>
      </c>
      <c r="R1118" s="18" t="s">
        <v>6</v>
      </c>
      <c r="T1118" t="s">
        <v>599</v>
      </c>
    </row>
    <row r="1119" spans="1:20" ht="15" customHeight="1" x14ac:dyDescent="0.25">
      <c r="A1119">
        <f t="shared" si="17"/>
        <v>188</v>
      </c>
      <c r="B1119" t="s">
        <v>1751</v>
      </c>
      <c r="C1119" s="12" t="s">
        <v>47</v>
      </c>
      <c r="D1119" s="18">
        <v>117</v>
      </c>
      <c r="E111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19" t="str">
        <f ca="1">IF(Tabla142[[#This Row],[frecuencia_new]]="Diaria"," ",RANDBETWEEN(1,6))</f>
        <v xml:space="preserve"> </v>
      </c>
      <c r="G1119" t="str">
        <f ca="1">IF(Tabla142[[#This Row],[frecuencia_new]]="Diaria","",IF(Tabla142[[#This Row],[frecuencia_new]]="Semanal","",IF(Tabla142[[#This Row],[frecuencia_new]]="Quincenal",RANDBETWEEN(1,2),RANDBETWEEN(1,4))))</f>
        <v/>
      </c>
      <c r="H111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19" s="18" t="s">
        <v>172</v>
      </c>
      <c r="K1119" s="18">
        <f>SUM(MID(Tabla142[[#This Row],[Duración]],1,2)*60,MID(Tabla142[[#This Row],[Duración]],6,2))</f>
        <v>3</v>
      </c>
      <c r="L1119" s="19" t="s">
        <v>150</v>
      </c>
      <c r="M1119" s="12" t="s">
        <v>239</v>
      </c>
      <c r="N1119" t="s">
        <v>29</v>
      </c>
      <c r="O1119" t="s">
        <v>393</v>
      </c>
      <c r="P1119" t="s">
        <v>361</v>
      </c>
      <c r="Q1119" s="20">
        <v>46032.649155092593</v>
      </c>
      <c r="R1119" s="18" t="s">
        <v>6</v>
      </c>
      <c r="T1119" t="s">
        <v>599</v>
      </c>
    </row>
    <row r="1120" spans="1:20" ht="15" customHeight="1" x14ac:dyDescent="0.25">
      <c r="A1120">
        <f t="shared" si="17"/>
        <v>188</v>
      </c>
      <c r="B1120" t="s">
        <v>1752</v>
      </c>
      <c r="C1120" s="12" t="s">
        <v>47</v>
      </c>
      <c r="D1120" s="18">
        <v>117</v>
      </c>
      <c r="E112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20">
        <f ca="1">IF(Tabla142[[#This Row],[frecuencia_new]]="Diaria"," ",RANDBETWEEN(1,6))</f>
        <v>1</v>
      </c>
      <c r="G1120">
        <f ca="1">IF(Tabla142[[#This Row],[frecuencia_new]]="Diaria","",IF(Tabla142[[#This Row],[frecuencia_new]]="Semanal","",IF(Tabla142[[#This Row],[frecuencia_new]]="Quincenal",RANDBETWEEN(1,2),RANDBETWEEN(1,4))))</f>
        <v>2</v>
      </c>
      <c r="H112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20" s="18" t="s">
        <v>173</v>
      </c>
      <c r="K1120" s="18">
        <f>SUM(MID(Tabla142[[#This Row],[Duración]],1,2)*60,MID(Tabla142[[#This Row],[Duración]],6,2))</f>
        <v>10</v>
      </c>
      <c r="L1120" s="19" t="s">
        <v>71</v>
      </c>
      <c r="M1120" s="12" t="s">
        <v>239</v>
      </c>
      <c r="N1120" t="s">
        <v>29</v>
      </c>
      <c r="O1120" t="s">
        <v>393</v>
      </c>
      <c r="P1120" t="s">
        <v>363</v>
      </c>
      <c r="Q1120" s="20">
        <v>46032.649155092593</v>
      </c>
      <c r="R1120" s="18" t="s">
        <v>7</v>
      </c>
      <c r="T1120" t="s">
        <v>599</v>
      </c>
    </row>
    <row r="1121" spans="1:20" ht="15" customHeight="1" x14ac:dyDescent="0.25">
      <c r="A1121">
        <f t="shared" si="17"/>
        <v>50</v>
      </c>
      <c r="B1121" t="s">
        <v>1753</v>
      </c>
      <c r="C1121" s="12" t="s">
        <v>47</v>
      </c>
      <c r="D1121">
        <v>118</v>
      </c>
      <c r="E112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21">
        <f ca="1">IF(Tabla142[[#This Row],[frecuencia_new]]="Diaria"," ",RANDBETWEEN(1,6))</f>
        <v>3</v>
      </c>
      <c r="G1121">
        <f ca="1">IF(Tabla142[[#This Row],[frecuencia_new]]="Diaria","",IF(Tabla142[[#This Row],[frecuencia_new]]="Semanal","",IF(Tabla142[[#This Row],[frecuencia_new]]="Quincenal",RANDBETWEEN(1,2),RANDBETWEEN(1,4))))</f>
        <v>1</v>
      </c>
      <c r="H112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121" t="s">
        <v>46</v>
      </c>
      <c r="K1121">
        <f>SUM(MID(Tabla142[[#This Row],[Duración]],1,2)*60,MID(Tabla142[[#This Row],[Duración]],6,2))</f>
        <v>15</v>
      </c>
      <c r="L1121" s="4" t="s">
        <v>77</v>
      </c>
      <c r="M1121" s="12" t="s">
        <v>239</v>
      </c>
      <c r="N1121" t="s">
        <v>29</v>
      </c>
      <c r="O1121" t="s">
        <v>384</v>
      </c>
      <c r="P1121" t="s">
        <v>360</v>
      </c>
      <c r="Q1121" s="20">
        <v>46032.649155092593</v>
      </c>
      <c r="R1121" t="s">
        <v>5</v>
      </c>
      <c r="T1121" t="s">
        <v>461</v>
      </c>
    </row>
    <row r="1122" spans="1:20" ht="15" customHeight="1" x14ac:dyDescent="0.25">
      <c r="A1122">
        <f t="shared" si="17"/>
        <v>50</v>
      </c>
      <c r="B1122" t="s">
        <v>1754</v>
      </c>
      <c r="C1122" s="12" t="s">
        <v>47</v>
      </c>
      <c r="D1122">
        <v>118</v>
      </c>
      <c r="E112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22">
        <f ca="1">IF(Tabla142[[#This Row],[frecuencia_new]]="Diaria"," ",RANDBETWEEN(1,6))</f>
        <v>6</v>
      </c>
      <c r="G1122">
        <f ca="1">IF(Tabla142[[#This Row],[frecuencia_new]]="Diaria","",IF(Tabla142[[#This Row],[frecuencia_new]]="Semanal","",IF(Tabla142[[#This Row],[frecuencia_new]]="Quincenal",RANDBETWEEN(1,2),RANDBETWEEN(1,4))))</f>
        <v>3</v>
      </c>
      <c r="H1122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122" t="s">
        <v>53</v>
      </c>
      <c r="K1122">
        <f>SUM(MID(Tabla142[[#This Row],[Duración]],1,2)*60,MID(Tabla142[[#This Row],[Duración]],6,2))</f>
        <v>15</v>
      </c>
      <c r="L1122" s="4" t="s">
        <v>77</v>
      </c>
      <c r="M1122" s="12" t="s">
        <v>239</v>
      </c>
      <c r="N1122" t="s">
        <v>29</v>
      </c>
      <c r="O1122" t="s">
        <v>384</v>
      </c>
      <c r="P1122" t="s">
        <v>360</v>
      </c>
      <c r="Q1122" s="20">
        <v>46032.649155092593</v>
      </c>
      <c r="R1122" t="s">
        <v>5</v>
      </c>
      <c r="T1122" t="s">
        <v>461</v>
      </c>
    </row>
    <row r="1123" spans="1:20" ht="15" customHeight="1" x14ac:dyDescent="0.25">
      <c r="A1123">
        <f t="shared" si="17"/>
        <v>50</v>
      </c>
      <c r="B1123" t="s">
        <v>1755</v>
      </c>
      <c r="C1123" s="12" t="s">
        <v>47</v>
      </c>
      <c r="D1123">
        <v>118</v>
      </c>
      <c r="E112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23">
        <f ca="1">IF(Tabla142[[#This Row],[frecuencia_new]]="Diaria"," ",RANDBETWEEN(1,6))</f>
        <v>6</v>
      </c>
      <c r="G1123">
        <f ca="1">IF(Tabla142[[#This Row],[frecuencia_new]]="Diaria","",IF(Tabla142[[#This Row],[frecuencia_new]]="Semanal","",IF(Tabla142[[#This Row],[frecuencia_new]]="Quincenal",RANDBETWEEN(1,2),RANDBETWEEN(1,4))))</f>
        <v>3</v>
      </c>
      <c r="H1123">
        <f ca="1">IF(Tabla142[[#This Row],[frecuencia_new]]="Trimestral",RANDBETWEEN(1,3),IF(Tabla142[[#This Row],[frecuencia_new]]="Semestral",RANDBETWEEN(1,6),IF(Tabla142[[#This Row],[frecuencia_new]]="Anual",RANDBETWEEN(1,12),"")))</f>
        <v>6</v>
      </c>
      <c r="J1123" t="s">
        <v>56</v>
      </c>
      <c r="K1123">
        <f>SUM(MID(Tabla142[[#This Row],[Duración]],1,2)*60,MID(Tabla142[[#This Row],[Duración]],6,2))</f>
        <v>30</v>
      </c>
      <c r="L1123" s="4" t="s">
        <v>48</v>
      </c>
      <c r="M1123" s="12" t="s">
        <v>239</v>
      </c>
      <c r="N1123" t="s">
        <v>29</v>
      </c>
      <c r="O1123" t="s">
        <v>384</v>
      </c>
      <c r="P1123" t="s">
        <v>360</v>
      </c>
      <c r="Q1123" s="20">
        <v>46032.649155092593</v>
      </c>
      <c r="R1123" t="s">
        <v>5</v>
      </c>
      <c r="T1123" t="s">
        <v>461</v>
      </c>
    </row>
    <row r="1124" spans="1:20" ht="15" customHeight="1" x14ac:dyDescent="0.25">
      <c r="A1124">
        <f t="shared" si="17"/>
        <v>189</v>
      </c>
      <c r="B1124" t="s">
        <v>1756</v>
      </c>
      <c r="C1124" s="12" t="s">
        <v>47</v>
      </c>
      <c r="D1124" s="18">
        <v>118</v>
      </c>
      <c r="E112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24" t="str">
        <f ca="1">IF(Tabla142[[#This Row],[frecuencia_new]]="Diaria"," ",RANDBETWEEN(1,6))</f>
        <v xml:space="preserve"> </v>
      </c>
      <c r="G1124" t="str">
        <f ca="1">IF(Tabla142[[#This Row],[frecuencia_new]]="Diaria","",IF(Tabla142[[#This Row],[frecuencia_new]]="Semanal","",IF(Tabla142[[#This Row],[frecuencia_new]]="Quincenal",RANDBETWEEN(1,2),RANDBETWEEN(1,4))))</f>
        <v/>
      </c>
      <c r="H112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24" s="18" t="s">
        <v>170</v>
      </c>
      <c r="K1124" s="18">
        <f>SUM(MID(Tabla142[[#This Row],[Duración]],1,2)*60,MID(Tabla142[[#This Row],[Duración]],6,2))</f>
        <v>2</v>
      </c>
      <c r="L1124" s="19" t="s">
        <v>60</v>
      </c>
      <c r="M1124" s="12" t="s">
        <v>239</v>
      </c>
      <c r="N1124" t="s">
        <v>29</v>
      </c>
      <c r="O1124" t="s">
        <v>393</v>
      </c>
      <c r="P1124" t="s">
        <v>361</v>
      </c>
      <c r="Q1124" s="20">
        <v>46032.649155092593</v>
      </c>
      <c r="R1124" s="18" t="s">
        <v>6</v>
      </c>
      <c r="T1124" t="s">
        <v>600</v>
      </c>
    </row>
    <row r="1125" spans="1:20" ht="15" customHeight="1" x14ac:dyDescent="0.25">
      <c r="A1125">
        <f t="shared" si="17"/>
        <v>189</v>
      </c>
      <c r="B1125" t="s">
        <v>1757</v>
      </c>
      <c r="C1125" s="12" t="s">
        <v>47</v>
      </c>
      <c r="D1125" s="18">
        <v>118</v>
      </c>
      <c r="E112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25" t="str">
        <f ca="1">IF(Tabla142[[#This Row],[frecuencia_new]]="Diaria"," ",RANDBETWEEN(1,6))</f>
        <v xml:space="preserve"> </v>
      </c>
      <c r="G1125" t="str">
        <f ca="1">IF(Tabla142[[#This Row],[frecuencia_new]]="Diaria","",IF(Tabla142[[#This Row],[frecuencia_new]]="Semanal","",IF(Tabla142[[#This Row],[frecuencia_new]]="Quincenal",RANDBETWEEN(1,2),RANDBETWEEN(1,4))))</f>
        <v/>
      </c>
      <c r="H112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25" s="18" t="s">
        <v>171</v>
      </c>
      <c r="K1125" s="18">
        <f>SUM(MID(Tabla142[[#This Row],[Duración]],1,2)*60,MID(Tabla142[[#This Row],[Duración]],6,2))</f>
        <v>2</v>
      </c>
      <c r="L1125" s="19" t="s">
        <v>60</v>
      </c>
      <c r="M1125" s="12" t="s">
        <v>239</v>
      </c>
      <c r="N1125" t="s">
        <v>29</v>
      </c>
      <c r="O1125" t="s">
        <v>393</v>
      </c>
      <c r="P1125" t="s">
        <v>361</v>
      </c>
      <c r="Q1125" s="20">
        <v>46032.649155092593</v>
      </c>
      <c r="R1125" s="18" t="s">
        <v>6</v>
      </c>
      <c r="T1125" t="s">
        <v>600</v>
      </c>
    </row>
    <row r="1126" spans="1:20" ht="15" customHeight="1" x14ac:dyDescent="0.25">
      <c r="A1126">
        <f t="shared" si="17"/>
        <v>189</v>
      </c>
      <c r="B1126" t="s">
        <v>1758</v>
      </c>
      <c r="C1126" s="12" t="s">
        <v>47</v>
      </c>
      <c r="D1126" s="18">
        <v>118</v>
      </c>
      <c r="E112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26" t="str">
        <f ca="1">IF(Tabla142[[#This Row],[frecuencia_new]]="Diaria"," ",RANDBETWEEN(1,6))</f>
        <v xml:space="preserve"> </v>
      </c>
      <c r="G1126" t="str">
        <f ca="1">IF(Tabla142[[#This Row],[frecuencia_new]]="Diaria","",IF(Tabla142[[#This Row],[frecuencia_new]]="Semanal","",IF(Tabla142[[#This Row],[frecuencia_new]]="Quincenal",RANDBETWEEN(1,2),RANDBETWEEN(1,4))))</f>
        <v/>
      </c>
      <c r="H112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26" s="18" t="s">
        <v>172</v>
      </c>
      <c r="K1126" s="18">
        <f>SUM(MID(Tabla142[[#This Row],[Duración]],1,2)*60,MID(Tabla142[[#This Row],[Duración]],6,2))</f>
        <v>3</v>
      </c>
      <c r="L1126" s="19" t="s">
        <v>150</v>
      </c>
      <c r="M1126" s="12" t="s">
        <v>239</v>
      </c>
      <c r="N1126" t="s">
        <v>29</v>
      </c>
      <c r="O1126" t="s">
        <v>393</v>
      </c>
      <c r="P1126" t="s">
        <v>361</v>
      </c>
      <c r="Q1126" s="20">
        <v>46032.649155092593</v>
      </c>
      <c r="R1126" s="18" t="s">
        <v>6</v>
      </c>
      <c r="T1126" t="s">
        <v>600</v>
      </c>
    </row>
    <row r="1127" spans="1:20" ht="15" customHeight="1" x14ac:dyDescent="0.25">
      <c r="A1127">
        <f t="shared" si="17"/>
        <v>189</v>
      </c>
      <c r="B1127" t="s">
        <v>1759</v>
      </c>
      <c r="C1127" s="12" t="s">
        <v>47</v>
      </c>
      <c r="D1127" s="18">
        <v>118</v>
      </c>
      <c r="E112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27">
        <f ca="1">IF(Tabla142[[#This Row],[frecuencia_new]]="Diaria"," ",RANDBETWEEN(1,6))</f>
        <v>4</v>
      </c>
      <c r="G1127">
        <f ca="1">IF(Tabla142[[#This Row],[frecuencia_new]]="Diaria","",IF(Tabla142[[#This Row],[frecuencia_new]]="Semanal","",IF(Tabla142[[#This Row],[frecuencia_new]]="Quincenal",RANDBETWEEN(1,2),RANDBETWEEN(1,4))))</f>
        <v>4</v>
      </c>
      <c r="H112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27" s="18" t="s">
        <v>173</v>
      </c>
      <c r="K1127" s="18">
        <f>SUM(MID(Tabla142[[#This Row],[Duración]],1,2)*60,MID(Tabla142[[#This Row],[Duración]],6,2))</f>
        <v>10</v>
      </c>
      <c r="L1127" s="19" t="s">
        <v>71</v>
      </c>
      <c r="M1127" s="12" t="s">
        <v>239</v>
      </c>
      <c r="N1127" t="s">
        <v>29</v>
      </c>
      <c r="O1127" t="s">
        <v>393</v>
      </c>
      <c r="P1127" t="s">
        <v>363</v>
      </c>
      <c r="Q1127" s="20">
        <v>46032.649155092593</v>
      </c>
      <c r="R1127" s="18" t="s">
        <v>7</v>
      </c>
      <c r="T1127" t="s">
        <v>600</v>
      </c>
    </row>
    <row r="1128" spans="1:20" ht="15" customHeight="1" x14ac:dyDescent="0.25">
      <c r="A1128">
        <f t="shared" si="17"/>
        <v>155</v>
      </c>
      <c r="B1128" t="s">
        <v>1760</v>
      </c>
      <c r="C1128" s="12" t="s">
        <v>47</v>
      </c>
      <c r="D1128">
        <v>119</v>
      </c>
      <c r="E112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28">
        <f ca="1">IF(Tabla142[[#This Row],[frecuencia_new]]="Diaria"," ",RANDBETWEEN(1,6))</f>
        <v>6</v>
      </c>
      <c r="G1128">
        <f ca="1">IF(Tabla142[[#This Row],[frecuencia_new]]="Diaria","",IF(Tabla142[[#This Row],[frecuencia_new]]="Semanal","",IF(Tabla142[[#This Row],[frecuencia_new]]="Quincenal",RANDBETWEEN(1,2),RANDBETWEEN(1,4))))</f>
        <v>4</v>
      </c>
      <c r="H1128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28" t="s">
        <v>46</v>
      </c>
      <c r="K1128">
        <f>SUM(MID(Tabla142[[#This Row],[Duración]],1,2)*60,MID(Tabla142[[#This Row],[Duración]],6,2))</f>
        <v>15</v>
      </c>
      <c r="L1128" s="4" t="s">
        <v>77</v>
      </c>
      <c r="M1128" s="12" t="s">
        <v>239</v>
      </c>
      <c r="N1128" t="s">
        <v>29</v>
      </c>
      <c r="O1128" t="s">
        <v>380</v>
      </c>
      <c r="P1128" t="s">
        <v>360</v>
      </c>
      <c r="Q1128" s="20">
        <v>46032.649155092593</v>
      </c>
      <c r="R1128" t="s">
        <v>5</v>
      </c>
      <c r="T1128" t="s">
        <v>566</v>
      </c>
    </row>
    <row r="1129" spans="1:20" ht="15" customHeight="1" x14ac:dyDescent="0.25">
      <c r="A1129">
        <f t="shared" si="17"/>
        <v>155</v>
      </c>
      <c r="B1129" t="s">
        <v>1761</v>
      </c>
      <c r="C1129" s="12" t="s">
        <v>47</v>
      </c>
      <c r="D1129">
        <v>119</v>
      </c>
      <c r="E112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29">
        <f ca="1">IF(Tabla142[[#This Row],[frecuencia_new]]="Diaria"," ",RANDBETWEEN(1,6))</f>
        <v>3</v>
      </c>
      <c r="G1129">
        <f ca="1">IF(Tabla142[[#This Row],[frecuencia_new]]="Diaria","",IF(Tabla142[[#This Row],[frecuencia_new]]="Semanal","",IF(Tabla142[[#This Row],[frecuencia_new]]="Quincenal",RANDBETWEEN(1,2),RANDBETWEEN(1,4))))</f>
        <v>2</v>
      </c>
      <c r="H112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29" t="s">
        <v>53</v>
      </c>
      <c r="K1129">
        <f>SUM(MID(Tabla142[[#This Row],[Duración]],1,2)*60,MID(Tabla142[[#This Row],[Duración]],6,2))</f>
        <v>15</v>
      </c>
      <c r="L1129" s="4" t="s">
        <v>77</v>
      </c>
      <c r="M1129" s="12" t="s">
        <v>239</v>
      </c>
      <c r="N1129" t="s">
        <v>29</v>
      </c>
      <c r="O1129" t="s">
        <v>380</v>
      </c>
      <c r="P1129" t="s">
        <v>360</v>
      </c>
      <c r="Q1129" s="20">
        <v>46032.649155092593</v>
      </c>
      <c r="R1129" t="s">
        <v>5</v>
      </c>
      <c r="T1129" t="s">
        <v>566</v>
      </c>
    </row>
    <row r="1130" spans="1:20" ht="15" customHeight="1" x14ac:dyDescent="0.25">
      <c r="A1130">
        <f t="shared" si="17"/>
        <v>155</v>
      </c>
      <c r="B1130" t="s">
        <v>1762</v>
      </c>
      <c r="C1130" s="12" t="s">
        <v>47</v>
      </c>
      <c r="D1130">
        <v>119</v>
      </c>
      <c r="E113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30">
        <f ca="1">IF(Tabla142[[#This Row],[frecuencia_new]]="Diaria"," ",RANDBETWEEN(1,6))</f>
        <v>6</v>
      </c>
      <c r="G1130">
        <f ca="1">IF(Tabla142[[#This Row],[frecuencia_new]]="Diaria","",IF(Tabla142[[#This Row],[frecuencia_new]]="Semanal","",IF(Tabla142[[#This Row],[frecuencia_new]]="Quincenal",RANDBETWEEN(1,2),RANDBETWEEN(1,4))))</f>
        <v>2</v>
      </c>
      <c r="H1130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130" t="s">
        <v>56</v>
      </c>
      <c r="K1130">
        <f>SUM(MID(Tabla142[[#This Row],[Duración]],1,2)*60,MID(Tabla142[[#This Row],[Duración]],6,2))</f>
        <v>30</v>
      </c>
      <c r="L1130" s="4" t="s">
        <v>48</v>
      </c>
      <c r="M1130" s="12" t="s">
        <v>239</v>
      </c>
      <c r="N1130" t="s">
        <v>29</v>
      </c>
      <c r="O1130" t="s">
        <v>380</v>
      </c>
      <c r="P1130" t="s">
        <v>360</v>
      </c>
      <c r="Q1130" s="20">
        <v>46032.649155092593</v>
      </c>
      <c r="R1130" t="s">
        <v>5</v>
      </c>
      <c r="T1130" t="s">
        <v>566</v>
      </c>
    </row>
    <row r="1131" spans="1:20" ht="15" customHeight="1" x14ac:dyDescent="0.25">
      <c r="A1131">
        <f t="shared" si="17"/>
        <v>190</v>
      </c>
      <c r="B1131" t="s">
        <v>1763</v>
      </c>
      <c r="C1131" s="12" t="s">
        <v>47</v>
      </c>
      <c r="D1131" s="18">
        <v>119</v>
      </c>
      <c r="E113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31" t="str">
        <f ca="1">IF(Tabla142[[#This Row],[frecuencia_new]]="Diaria"," ",RANDBETWEEN(1,6))</f>
        <v xml:space="preserve"> </v>
      </c>
      <c r="G1131" t="str">
        <f ca="1">IF(Tabla142[[#This Row],[frecuencia_new]]="Diaria","",IF(Tabla142[[#This Row],[frecuencia_new]]="Semanal","",IF(Tabla142[[#This Row],[frecuencia_new]]="Quincenal",RANDBETWEEN(1,2),RANDBETWEEN(1,4))))</f>
        <v/>
      </c>
      <c r="H113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31" s="18" t="s">
        <v>170</v>
      </c>
      <c r="K1131" s="18">
        <f>SUM(MID(Tabla142[[#This Row],[Duración]],1,2)*60,MID(Tabla142[[#This Row],[Duración]],6,2))</f>
        <v>2</v>
      </c>
      <c r="L1131" s="19" t="s">
        <v>60</v>
      </c>
      <c r="M1131" s="12" t="s">
        <v>239</v>
      </c>
      <c r="N1131" t="s">
        <v>29</v>
      </c>
      <c r="O1131" t="s">
        <v>393</v>
      </c>
      <c r="P1131" t="s">
        <v>361</v>
      </c>
      <c r="Q1131" s="20">
        <v>46032.649155092593</v>
      </c>
      <c r="R1131" s="18" t="s">
        <v>6</v>
      </c>
      <c r="T1131" t="s">
        <v>601</v>
      </c>
    </row>
    <row r="1132" spans="1:20" ht="15" customHeight="1" x14ac:dyDescent="0.25">
      <c r="A1132">
        <f t="shared" si="17"/>
        <v>190</v>
      </c>
      <c r="B1132" t="s">
        <v>1764</v>
      </c>
      <c r="C1132" s="12" t="s">
        <v>47</v>
      </c>
      <c r="D1132" s="18">
        <v>119</v>
      </c>
      <c r="E113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32" t="str">
        <f ca="1">IF(Tabla142[[#This Row],[frecuencia_new]]="Diaria"," ",RANDBETWEEN(1,6))</f>
        <v xml:space="preserve"> </v>
      </c>
      <c r="G1132" t="str">
        <f ca="1">IF(Tabla142[[#This Row],[frecuencia_new]]="Diaria","",IF(Tabla142[[#This Row],[frecuencia_new]]="Semanal","",IF(Tabla142[[#This Row],[frecuencia_new]]="Quincenal",RANDBETWEEN(1,2),RANDBETWEEN(1,4))))</f>
        <v/>
      </c>
      <c r="H113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32" s="18" t="s">
        <v>171</v>
      </c>
      <c r="K1132" s="18">
        <f>SUM(MID(Tabla142[[#This Row],[Duración]],1,2)*60,MID(Tabla142[[#This Row],[Duración]],6,2))</f>
        <v>2</v>
      </c>
      <c r="L1132" s="19" t="s">
        <v>60</v>
      </c>
      <c r="M1132" s="12" t="s">
        <v>239</v>
      </c>
      <c r="N1132" t="s">
        <v>29</v>
      </c>
      <c r="O1132" t="s">
        <v>393</v>
      </c>
      <c r="P1132" t="s">
        <v>361</v>
      </c>
      <c r="Q1132" s="20">
        <v>46032.649155092593</v>
      </c>
      <c r="R1132" s="18" t="s">
        <v>6</v>
      </c>
      <c r="T1132" t="s">
        <v>601</v>
      </c>
    </row>
    <row r="1133" spans="1:20" ht="15" customHeight="1" x14ac:dyDescent="0.25">
      <c r="A1133">
        <f t="shared" si="17"/>
        <v>190</v>
      </c>
      <c r="B1133" t="s">
        <v>1765</v>
      </c>
      <c r="C1133" s="12" t="s">
        <v>47</v>
      </c>
      <c r="D1133" s="18">
        <v>119</v>
      </c>
      <c r="E113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33" t="str">
        <f ca="1">IF(Tabla142[[#This Row],[frecuencia_new]]="Diaria"," ",RANDBETWEEN(1,6))</f>
        <v xml:space="preserve"> </v>
      </c>
      <c r="G1133" t="str">
        <f ca="1">IF(Tabla142[[#This Row],[frecuencia_new]]="Diaria","",IF(Tabla142[[#This Row],[frecuencia_new]]="Semanal","",IF(Tabla142[[#This Row],[frecuencia_new]]="Quincenal",RANDBETWEEN(1,2),RANDBETWEEN(1,4))))</f>
        <v/>
      </c>
      <c r="H113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33" s="18" t="s">
        <v>172</v>
      </c>
      <c r="K1133" s="18">
        <f>SUM(MID(Tabla142[[#This Row],[Duración]],1,2)*60,MID(Tabla142[[#This Row],[Duración]],6,2))</f>
        <v>3</v>
      </c>
      <c r="L1133" s="19" t="s">
        <v>150</v>
      </c>
      <c r="M1133" s="12" t="s">
        <v>239</v>
      </c>
      <c r="N1133" t="s">
        <v>29</v>
      </c>
      <c r="O1133" t="s">
        <v>393</v>
      </c>
      <c r="P1133" t="s">
        <v>361</v>
      </c>
      <c r="Q1133" s="20">
        <v>46032.649155092593</v>
      </c>
      <c r="R1133" s="18" t="s">
        <v>6</v>
      </c>
      <c r="T1133" t="s">
        <v>601</v>
      </c>
    </row>
    <row r="1134" spans="1:20" ht="15" customHeight="1" x14ac:dyDescent="0.25">
      <c r="A1134">
        <f t="shared" si="17"/>
        <v>190</v>
      </c>
      <c r="B1134" t="s">
        <v>1766</v>
      </c>
      <c r="C1134" s="12" t="s">
        <v>47</v>
      </c>
      <c r="D1134" s="18">
        <v>119</v>
      </c>
      <c r="E113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34">
        <f ca="1">IF(Tabla142[[#This Row],[frecuencia_new]]="Diaria"," ",RANDBETWEEN(1,6))</f>
        <v>2</v>
      </c>
      <c r="G1134">
        <f ca="1">IF(Tabla142[[#This Row],[frecuencia_new]]="Diaria","",IF(Tabla142[[#This Row],[frecuencia_new]]="Semanal","",IF(Tabla142[[#This Row],[frecuencia_new]]="Quincenal",RANDBETWEEN(1,2),RANDBETWEEN(1,4))))</f>
        <v>4</v>
      </c>
      <c r="H113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34" s="18" t="s">
        <v>173</v>
      </c>
      <c r="K1134" s="18">
        <f>SUM(MID(Tabla142[[#This Row],[Duración]],1,2)*60,MID(Tabla142[[#This Row],[Duración]],6,2))</f>
        <v>10</v>
      </c>
      <c r="L1134" s="19" t="s">
        <v>71</v>
      </c>
      <c r="M1134" s="12" t="s">
        <v>239</v>
      </c>
      <c r="N1134" t="s">
        <v>29</v>
      </c>
      <c r="O1134" t="s">
        <v>393</v>
      </c>
      <c r="P1134" t="s">
        <v>363</v>
      </c>
      <c r="Q1134" s="20">
        <v>46032.649155092593</v>
      </c>
      <c r="R1134" s="18" t="s">
        <v>7</v>
      </c>
      <c r="T1134" t="s">
        <v>601</v>
      </c>
    </row>
    <row r="1135" spans="1:20" ht="15" customHeight="1" x14ac:dyDescent="0.25">
      <c r="A1135">
        <f t="shared" si="17"/>
        <v>51</v>
      </c>
      <c r="B1135" t="s">
        <v>1767</v>
      </c>
      <c r="C1135" s="12" t="s">
        <v>47</v>
      </c>
      <c r="D1135">
        <v>120</v>
      </c>
      <c r="E113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35">
        <f ca="1">IF(Tabla142[[#This Row],[frecuencia_new]]="Diaria"," ",RANDBETWEEN(1,6))</f>
        <v>5</v>
      </c>
      <c r="G1135">
        <f ca="1">IF(Tabla142[[#This Row],[frecuencia_new]]="Diaria","",IF(Tabla142[[#This Row],[frecuencia_new]]="Semanal","",IF(Tabla142[[#This Row],[frecuencia_new]]="Quincenal",RANDBETWEEN(1,2),RANDBETWEEN(1,4))))</f>
        <v>4</v>
      </c>
      <c r="H113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135" t="s">
        <v>46</v>
      </c>
      <c r="K1135">
        <f>SUM(MID(Tabla142[[#This Row],[Duración]],1,2)*60,MID(Tabla142[[#This Row],[Duración]],6,2))</f>
        <v>15</v>
      </c>
      <c r="L1135" s="4" t="s">
        <v>77</v>
      </c>
      <c r="M1135" s="12" t="s">
        <v>239</v>
      </c>
      <c r="N1135" t="s">
        <v>29</v>
      </c>
      <c r="O1135" t="s">
        <v>384</v>
      </c>
      <c r="P1135" t="s">
        <v>360</v>
      </c>
      <c r="Q1135" s="20">
        <v>46032.649155092593</v>
      </c>
      <c r="R1135" t="s">
        <v>5</v>
      </c>
      <c r="T1135" t="s">
        <v>462</v>
      </c>
    </row>
    <row r="1136" spans="1:20" ht="15" customHeight="1" x14ac:dyDescent="0.25">
      <c r="A1136">
        <f t="shared" si="17"/>
        <v>51</v>
      </c>
      <c r="B1136" t="s">
        <v>1768</v>
      </c>
      <c r="C1136" s="12" t="s">
        <v>47</v>
      </c>
      <c r="D1136">
        <v>120</v>
      </c>
      <c r="E113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36">
        <f ca="1">IF(Tabla142[[#This Row],[frecuencia_new]]="Diaria"," ",RANDBETWEEN(1,6))</f>
        <v>1</v>
      </c>
      <c r="G1136">
        <f ca="1">IF(Tabla142[[#This Row],[frecuencia_new]]="Diaria","",IF(Tabla142[[#This Row],[frecuencia_new]]="Semanal","",IF(Tabla142[[#This Row],[frecuencia_new]]="Quincenal",RANDBETWEEN(1,2),RANDBETWEEN(1,4))))</f>
        <v>2</v>
      </c>
      <c r="H1136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36" t="s">
        <v>53</v>
      </c>
      <c r="K1136">
        <f>SUM(MID(Tabla142[[#This Row],[Duración]],1,2)*60,MID(Tabla142[[#This Row],[Duración]],6,2))</f>
        <v>15</v>
      </c>
      <c r="L1136" s="4" t="s">
        <v>77</v>
      </c>
      <c r="M1136" s="12" t="s">
        <v>239</v>
      </c>
      <c r="N1136" t="s">
        <v>29</v>
      </c>
      <c r="O1136" t="s">
        <v>384</v>
      </c>
      <c r="P1136" t="s">
        <v>360</v>
      </c>
      <c r="Q1136" s="20">
        <v>46032.649155092593</v>
      </c>
      <c r="R1136" t="s">
        <v>5</v>
      </c>
      <c r="T1136" t="s">
        <v>462</v>
      </c>
    </row>
    <row r="1137" spans="1:20" ht="15" customHeight="1" x14ac:dyDescent="0.25">
      <c r="A1137">
        <f t="shared" si="17"/>
        <v>51</v>
      </c>
      <c r="B1137" t="s">
        <v>1769</v>
      </c>
      <c r="C1137" s="12" t="s">
        <v>47</v>
      </c>
      <c r="D1137">
        <v>120</v>
      </c>
      <c r="E113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37">
        <f ca="1">IF(Tabla142[[#This Row],[frecuencia_new]]="Diaria"," ",RANDBETWEEN(1,6))</f>
        <v>4</v>
      </c>
      <c r="G1137">
        <f ca="1">IF(Tabla142[[#This Row],[frecuencia_new]]="Diaria","",IF(Tabla142[[#This Row],[frecuencia_new]]="Semanal","",IF(Tabla142[[#This Row],[frecuencia_new]]="Quincenal",RANDBETWEEN(1,2),RANDBETWEEN(1,4))))</f>
        <v>1</v>
      </c>
      <c r="H1137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137" t="s">
        <v>56</v>
      </c>
      <c r="K1137">
        <f>SUM(MID(Tabla142[[#This Row],[Duración]],1,2)*60,MID(Tabla142[[#This Row],[Duración]],6,2))</f>
        <v>30</v>
      </c>
      <c r="L1137" s="4" t="s">
        <v>48</v>
      </c>
      <c r="M1137" s="12" t="s">
        <v>239</v>
      </c>
      <c r="N1137" t="s">
        <v>29</v>
      </c>
      <c r="O1137" t="s">
        <v>384</v>
      </c>
      <c r="P1137" t="s">
        <v>360</v>
      </c>
      <c r="Q1137" s="20">
        <v>46032.649155092593</v>
      </c>
      <c r="R1137" t="s">
        <v>5</v>
      </c>
      <c r="T1137" t="s">
        <v>462</v>
      </c>
    </row>
    <row r="1138" spans="1:20" ht="15" customHeight="1" x14ac:dyDescent="0.25">
      <c r="A1138">
        <f t="shared" si="17"/>
        <v>191</v>
      </c>
      <c r="B1138" t="s">
        <v>1770</v>
      </c>
      <c r="C1138" s="12" t="s">
        <v>47</v>
      </c>
      <c r="D1138" s="18">
        <v>120</v>
      </c>
      <c r="E113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38" t="str">
        <f ca="1">IF(Tabla142[[#This Row],[frecuencia_new]]="Diaria"," ",RANDBETWEEN(1,6))</f>
        <v xml:space="preserve"> </v>
      </c>
      <c r="G1138" t="str">
        <f ca="1">IF(Tabla142[[#This Row],[frecuencia_new]]="Diaria","",IF(Tabla142[[#This Row],[frecuencia_new]]="Semanal","",IF(Tabla142[[#This Row],[frecuencia_new]]="Quincenal",RANDBETWEEN(1,2),RANDBETWEEN(1,4))))</f>
        <v/>
      </c>
      <c r="H113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38" s="18" t="s">
        <v>170</v>
      </c>
      <c r="K1138" s="18">
        <f>SUM(MID(Tabla142[[#This Row],[Duración]],1,2)*60,MID(Tabla142[[#This Row],[Duración]],6,2))</f>
        <v>2</v>
      </c>
      <c r="L1138" s="19" t="s">
        <v>60</v>
      </c>
      <c r="M1138" s="12" t="s">
        <v>239</v>
      </c>
      <c r="N1138" t="s">
        <v>29</v>
      </c>
      <c r="O1138" t="s">
        <v>393</v>
      </c>
      <c r="P1138" t="s">
        <v>361</v>
      </c>
      <c r="Q1138" s="20">
        <v>46032.649155092593</v>
      </c>
      <c r="R1138" s="18" t="s">
        <v>6</v>
      </c>
      <c r="T1138" t="s">
        <v>602</v>
      </c>
    </row>
    <row r="1139" spans="1:20" ht="15" customHeight="1" x14ac:dyDescent="0.25">
      <c r="A1139">
        <f t="shared" si="17"/>
        <v>191</v>
      </c>
      <c r="B1139" t="s">
        <v>1771</v>
      </c>
      <c r="C1139" s="12" t="s">
        <v>47</v>
      </c>
      <c r="D1139" s="18">
        <v>120</v>
      </c>
      <c r="E113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39" t="str">
        <f ca="1">IF(Tabla142[[#This Row],[frecuencia_new]]="Diaria"," ",RANDBETWEEN(1,6))</f>
        <v xml:space="preserve"> </v>
      </c>
      <c r="G1139" t="str">
        <f ca="1">IF(Tabla142[[#This Row],[frecuencia_new]]="Diaria","",IF(Tabla142[[#This Row],[frecuencia_new]]="Semanal","",IF(Tabla142[[#This Row],[frecuencia_new]]="Quincenal",RANDBETWEEN(1,2),RANDBETWEEN(1,4))))</f>
        <v/>
      </c>
      <c r="H113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39" s="18" t="s">
        <v>171</v>
      </c>
      <c r="K1139" s="18">
        <f>SUM(MID(Tabla142[[#This Row],[Duración]],1,2)*60,MID(Tabla142[[#This Row],[Duración]],6,2))</f>
        <v>2</v>
      </c>
      <c r="L1139" s="19" t="s">
        <v>60</v>
      </c>
      <c r="M1139" s="12" t="s">
        <v>239</v>
      </c>
      <c r="N1139" t="s">
        <v>29</v>
      </c>
      <c r="O1139" t="s">
        <v>393</v>
      </c>
      <c r="P1139" t="s">
        <v>361</v>
      </c>
      <c r="Q1139" s="20">
        <v>46032.649155092593</v>
      </c>
      <c r="R1139" s="18" t="s">
        <v>6</v>
      </c>
      <c r="T1139" t="s">
        <v>602</v>
      </c>
    </row>
    <row r="1140" spans="1:20" ht="15" customHeight="1" x14ac:dyDescent="0.25">
      <c r="A1140">
        <f t="shared" si="17"/>
        <v>191</v>
      </c>
      <c r="B1140" t="s">
        <v>1772</v>
      </c>
      <c r="C1140" s="12" t="s">
        <v>47</v>
      </c>
      <c r="D1140" s="18">
        <v>120</v>
      </c>
      <c r="E114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40" t="str">
        <f ca="1">IF(Tabla142[[#This Row],[frecuencia_new]]="Diaria"," ",RANDBETWEEN(1,6))</f>
        <v xml:space="preserve"> </v>
      </c>
      <c r="G1140" t="str">
        <f ca="1">IF(Tabla142[[#This Row],[frecuencia_new]]="Diaria","",IF(Tabla142[[#This Row],[frecuencia_new]]="Semanal","",IF(Tabla142[[#This Row],[frecuencia_new]]="Quincenal",RANDBETWEEN(1,2),RANDBETWEEN(1,4))))</f>
        <v/>
      </c>
      <c r="H114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40" s="18" t="s">
        <v>172</v>
      </c>
      <c r="K1140" s="18">
        <f>SUM(MID(Tabla142[[#This Row],[Duración]],1,2)*60,MID(Tabla142[[#This Row],[Duración]],6,2))</f>
        <v>3</v>
      </c>
      <c r="L1140" s="19" t="s">
        <v>150</v>
      </c>
      <c r="M1140" s="12" t="s">
        <v>239</v>
      </c>
      <c r="N1140" t="s">
        <v>29</v>
      </c>
      <c r="O1140" t="s">
        <v>393</v>
      </c>
      <c r="P1140" t="s">
        <v>361</v>
      </c>
      <c r="Q1140" s="20">
        <v>46032.649155092593</v>
      </c>
      <c r="R1140" s="18" t="s">
        <v>6</v>
      </c>
      <c r="T1140" t="s">
        <v>602</v>
      </c>
    </row>
    <row r="1141" spans="1:20" ht="15" customHeight="1" x14ac:dyDescent="0.25">
      <c r="A1141">
        <f t="shared" si="17"/>
        <v>191</v>
      </c>
      <c r="B1141" t="s">
        <v>1773</v>
      </c>
      <c r="C1141" s="12" t="s">
        <v>47</v>
      </c>
      <c r="D1141" s="18">
        <v>120</v>
      </c>
      <c r="E114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41">
        <f ca="1">IF(Tabla142[[#This Row],[frecuencia_new]]="Diaria"," ",RANDBETWEEN(1,6))</f>
        <v>2</v>
      </c>
      <c r="G1141">
        <f ca="1">IF(Tabla142[[#This Row],[frecuencia_new]]="Diaria","",IF(Tabla142[[#This Row],[frecuencia_new]]="Semanal","",IF(Tabla142[[#This Row],[frecuencia_new]]="Quincenal",RANDBETWEEN(1,2),RANDBETWEEN(1,4))))</f>
        <v>2</v>
      </c>
      <c r="H114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41" s="18" t="s">
        <v>173</v>
      </c>
      <c r="K1141" s="18">
        <f>SUM(MID(Tabla142[[#This Row],[Duración]],1,2)*60,MID(Tabla142[[#This Row],[Duración]],6,2))</f>
        <v>10</v>
      </c>
      <c r="L1141" s="19" t="s">
        <v>71</v>
      </c>
      <c r="M1141" s="12" t="s">
        <v>239</v>
      </c>
      <c r="N1141" t="s">
        <v>29</v>
      </c>
      <c r="O1141" t="s">
        <v>393</v>
      </c>
      <c r="P1141" t="s">
        <v>363</v>
      </c>
      <c r="Q1141" s="20">
        <v>46032.649155092593</v>
      </c>
      <c r="R1141" s="18" t="s">
        <v>7</v>
      </c>
      <c r="T1141" t="s">
        <v>602</v>
      </c>
    </row>
    <row r="1142" spans="1:20" ht="15" customHeight="1" x14ac:dyDescent="0.25">
      <c r="A1142">
        <f t="shared" si="17"/>
        <v>156</v>
      </c>
      <c r="B1142" t="s">
        <v>1774</v>
      </c>
      <c r="C1142" s="12" t="s">
        <v>47</v>
      </c>
      <c r="D1142">
        <v>121</v>
      </c>
      <c r="E114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42">
        <f ca="1">IF(Tabla142[[#This Row],[frecuencia_new]]="Diaria"," ",RANDBETWEEN(1,6))</f>
        <v>4</v>
      </c>
      <c r="G1142">
        <f ca="1">IF(Tabla142[[#This Row],[frecuencia_new]]="Diaria","",IF(Tabla142[[#This Row],[frecuencia_new]]="Semanal","",IF(Tabla142[[#This Row],[frecuencia_new]]="Quincenal",RANDBETWEEN(1,2),RANDBETWEEN(1,4))))</f>
        <v>1</v>
      </c>
      <c r="H1142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142" t="s">
        <v>46</v>
      </c>
      <c r="K1142">
        <f>SUM(MID(Tabla142[[#This Row],[Duración]],1,2)*60,MID(Tabla142[[#This Row],[Duración]],6,2))</f>
        <v>15</v>
      </c>
      <c r="L1142" s="4" t="s">
        <v>77</v>
      </c>
      <c r="M1142" s="12" t="s">
        <v>239</v>
      </c>
      <c r="N1142" t="s">
        <v>29</v>
      </c>
      <c r="O1142" t="s">
        <v>380</v>
      </c>
      <c r="P1142" t="s">
        <v>360</v>
      </c>
      <c r="Q1142" s="20">
        <v>46032.649155092593</v>
      </c>
      <c r="R1142" t="s">
        <v>5</v>
      </c>
      <c r="T1142" t="s">
        <v>567</v>
      </c>
    </row>
    <row r="1143" spans="1:20" ht="15" customHeight="1" x14ac:dyDescent="0.25">
      <c r="A1143">
        <f t="shared" si="17"/>
        <v>156</v>
      </c>
      <c r="B1143" t="s">
        <v>1775</v>
      </c>
      <c r="C1143" s="12" t="s">
        <v>47</v>
      </c>
      <c r="D1143">
        <v>121</v>
      </c>
      <c r="E114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43">
        <f ca="1">IF(Tabla142[[#This Row],[frecuencia_new]]="Diaria"," ",RANDBETWEEN(1,6))</f>
        <v>3</v>
      </c>
      <c r="G1143">
        <f ca="1">IF(Tabla142[[#This Row],[frecuencia_new]]="Diaria","",IF(Tabla142[[#This Row],[frecuencia_new]]="Semanal","",IF(Tabla142[[#This Row],[frecuencia_new]]="Quincenal",RANDBETWEEN(1,2),RANDBETWEEN(1,4))))</f>
        <v>3</v>
      </c>
      <c r="H1143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43" t="s">
        <v>53</v>
      </c>
      <c r="K1143">
        <f>SUM(MID(Tabla142[[#This Row],[Duración]],1,2)*60,MID(Tabla142[[#This Row],[Duración]],6,2))</f>
        <v>15</v>
      </c>
      <c r="L1143" s="4" t="s">
        <v>77</v>
      </c>
      <c r="M1143" s="12" t="s">
        <v>239</v>
      </c>
      <c r="N1143" t="s">
        <v>29</v>
      </c>
      <c r="O1143" t="s">
        <v>380</v>
      </c>
      <c r="P1143" t="s">
        <v>360</v>
      </c>
      <c r="Q1143" s="20">
        <v>46032.649155092593</v>
      </c>
      <c r="R1143" t="s">
        <v>5</v>
      </c>
      <c r="T1143" t="s">
        <v>567</v>
      </c>
    </row>
    <row r="1144" spans="1:20" ht="15" customHeight="1" x14ac:dyDescent="0.25">
      <c r="A1144">
        <f t="shared" si="17"/>
        <v>156</v>
      </c>
      <c r="B1144" t="s">
        <v>1776</v>
      </c>
      <c r="C1144" s="12" t="s">
        <v>47</v>
      </c>
      <c r="D1144">
        <v>121</v>
      </c>
      <c r="E114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44">
        <f ca="1">IF(Tabla142[[#This Row],[frecuencia_new]]="Diaria"," ",RANDBETWEEN(1,6))</f>
        <v>4</v>
      </c>
      <c r="G1144">
        <f ca="1">IF(Tabla142[[#This Row],[frecuencia_new]]="Diaria","",IF(Tabla142[[#This Row],[frecuencia_new]]="Semanal","",IF(Tabla142[[#This Row],[frecuencia_new]]="Quincenal",RANDBETWEEN(1,2),RANDBETWEEN(1,4))))</f>
        <v>3</v>
      </c>
      <c r="H1144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144" t="s">
        <v>56</v>
      </c>
      <c r="K1144">
        <f>SUM(MID(Tabla142[[#This Row],[Duración]],1,2)*60,MID(Tabla142[[#This Row],[Duración]],6,2))</f>
        <v>30</v>
      </c>
      <c r="L1144" s="4" t="s">
        <v>48</v>
      </c>
      <c r="M1144" s="12" t="s">
        <v>239</v>
      </c>
      <c r="N1144" t="s">
        <v>29</v>
      </c>
      <c r="O1144" t="s">
        <v>380</v>
      </c>
      <c r="P1144" t="s">
        <v>360</v>
      </c>
      <c r="Q1144" s="20">
        <v>46032.649155092593</v>
      </c>
      <c r="R1144" t="s">
        <v>5</v>
      </c>
      <c r="T1144" t="s">
        <v>567</v>
      </c>
    </row>
    <row r="1145" spans="1:20" ht="15" customHeight="1" x14ac:dyDescent="0.25">
      <c r="A1145">
        <f t="shared" si="17"/>
        <v>192</v>
      </c>
      <c r="B1145" t="s">
        <v>1777</v>
      </c>
      <c r="C1145" s="12" t="s">
        <v>47</v>
      </c>
      <c r="D1145" s="18">
        <v>121</v>
      </c>
      <c r="E114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45" t="str">
        <f ca="1">IF(Tabla142[[#This Row],[frecuencia_new]]="Diaria"," ",RANDBETWEEN(1,6))</f>
        <v xml:space="preserve"> </v>
      </c>
      <c r="G1145" t="str">
        <f ca="1">IF(Tabla142[[#This Row],[frecuencia_new]]="Diaria","",IF(Tabla142[[#This Row],[frecuencia_new]]="Semanal","",IF(Tabla142[[#This Row],[frecuencia_new]]="Quincenal",RANDBETWEEN(1,2),RANDBETWEEN(1,4))))</f>
        <v/>
      </c>
      <c r="H114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45" s="18" t="s">
        <v>170</v>
      </c>
      <c r="K1145" s="18">
        <f>SUM(MID(Tabla142[[#This Row],[Duración]],1,2)*60,MID(Tabla142[[#This Row],[Duración]],6,2))</f>
        <v>2</v>
      </c>
      <c r="L1145" s="19" t="s">
        <v>60</v>
      </c>
      <c r="M1145" s="12" t="s">
        <v>239</v>
      </c>
      <c r="N1145" t="s">
        <v>29</v>
      </c>
      <c r="O1145" t="s">
        <v>393</v>
      </c>
      <c r="P1145" t="s">
        <v>361</v>
      </c>
      <c r="Q1145" s="20">
        <v>46032.649155092593</v>
      </c>
      <c r="R1145" s="18" t="s">
        <v>6</v>
      </c>
      <c r="T1145" t="s">
        <v>603</v>
      </c>
    </row>
    <row r="1146" spans="1:20" ht="15" customHeight="1" x14ac:dyDescent="0.25">
      <c r="A1146">
        <f t="shared" si="17"/>
        <v>192</v>
      </c>
      <c r="B1146" t="s">
        <v>1778</v>
      </c>
      <c r="C1146" s="12" t="s">
        <v>47</v>
      </c>
      <c r="D1146" s="18">
        <v>121</v>
      </c>
      <c r="E114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46" t="str">
        <f ca="1">IF(Tabla142[[#This Row],[frecuencia_new]]="Diaria"," ",RANDBETWEEN(1,6))</f>
        <v xml:space="preserve"> </v>
      </c>
      <c r="G1146" t="str">
        <f ca="1">IF(Tabla142[[#This Row],[frecuencia_new]]="Diaria","",IF(Tabla142[[#This Row],[frecuencia_new]]="Semanal","",IF(Tabla142[[#This Row],[frecuencia_new]]="Quincenal",RANDBETWEEN(1,2),RANDBETWEEN(1,4))))</f>
        <v/>
      </c>
      <c r="H114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46" s="18" t="s">
        <v>171</v>
      </c>
      <c r="K1146" s="18">
        <f>SUM(MID(Tabla142[[#This Row],[Duración]],1,2)*60,MID(Tabla142[[#This Row],[Duración]],6,2))</f>
        <v>2</v>
      </c>
      <c r="L1146" s="19" t="s">
        <v>60</v>
      </c>
      <c r="M1146" s="12" t="s">
        <v>239</v>
      </c>
      <c r="N1146" t="s">
        <v>29</v>
      </c>
      <c r="O1146" t="s">
        <v>393</v>
      </c>
      <c r="P1146" t="s">
        <v>361</v>
      </c>
      <c r="Q1146" s="20">
        <v>46032.649155092593</v>
      </c>
      <c r="R1146" s="18" t="s">
        <v>6</v>
      </c>
      <c r="T1146" t="s">
        <v>603</v>
      </c>
    </row>
    <row r="1147" spans="1:20" ht="15" customHeight="1" x14ac:dyDescent="0.25">
      <c r="A1147">
        <f t="shared" si="17"/>
        <v>192</v>
      </c>
      <c r="B1147" t="s">
        <v>1779</v>
      </c>
      <c r="C1147" s="12" t="s">
        <v>47</v>
      </c>
      <c r="D1147" s="18">
        <v>121</v>
      </c>
      <c r="E114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47" t="str">
        <f ca="1">IF(Tabla142[[#This Row],[frecuencia_new]]="Diaria"," ",RANDBETWEEN(1,6))</f>
        <v xml:space="preserve"> </v>
      </c>
      <c r="G1147" t="str">
        <f ca="1">IF(Tabla142[[#This Row],[frecuencia_new]]="Diaria","",IF(Tabla142[[#This Row],[frecuencia_new]]="Semanal","",IF(Tabla142[[#This Row],[frecuencia_new]]="Quincenal",RANDBETWEEN(1,2),RANDBETWEEN(1,4))))</f>
        <v/>
      </c>
      <c r="H114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47" s="18" t="s">
        <v>172</v>
      </c>
      <c r="K1147" s="18">
        <f>SUM(MID(Tabla142[[#This Row],[Duración]],1,2)*60,MID(Tabla142[[#This Row],[Duración]],6,2))</f>
        <v>3</v>
      </c>
      <c r="L1147" s="19" t="s">
        <v>150</v>
      </c>
      <c r="M1147" s="12" t="s">
        <v>239</v>
      </c>
      <c r="N1147" t="s">
        <v>29</v>
      </c>
      <c r="O1147" t="s">
        <v>393</v>
      </c>
      <c r="P1147" t="s">
        <v>361</v>
      </c>
      <c r="Q1147" s="20">
        <v>46032.649155092593</v>
      </c>
      <c r="R1147" s="18" t="s">
        <v>6</v>
      </c>
      <c r="T1147" t="s">
        <v>603</v>
      </c>
    </row>
    <row r="1148" spans="1:20" ht="15" customHeight="1" x14ac:dyDescent="0.25">
      <c r="A1148">
        <f t="shared" si="17"/>
        <v>192</v>
      </c>
      <c r="B1148" t="s">
        <v>1780</v>
      </c>
      <c r="C1148" s="18" t="s">
        <v>47</v>
      </c>
      <c r="D1148" s="18">
        <v>121</v>
      </c>
      <c r="E114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48">
        <f ca="1">IF(Tabla142[[#This Row],[frecuencia_new]]="Diaria"," ",RANDBETWEEN(1,6))</f>
        <v>1</v>
      </c>
      <c r="G1148">
        <f ca="1">IF(Tabla142[[#This Row],[frecuencia_new]]="Diaria","",IF(Tabla142[[#This Row],[frecuencia_new]]="Semanal","",IF(Tabla142[[#This Row],[frecuencia_new]]="Quincenal",RANDBETWEEN(1,2),RANDBETWEEN(1,4))))</f>
        <v>3</v>
      </c>
      <c r="H114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48" s="18" t="s">
        <v>173</v>
      </c>
      <c r="K1148" s="18">
        <f>SUM(MID(Tabla142[[#This Row],[Duración]],1,2)*60,MID(Tabla142[[#This Row],[Duración]],6,2))</f>
        <v>10</v>
      </c>
      <c r="L1148" s="19" t="s">
        <v>71</v>
      </c>
      <c r="M1148" s="18" t="s">
        <v>239</v>
      </c>
      <c r="N1148" t="s">
        <v>29</v>
      </c>
      <c r="O1148" t="s">
        <v>393</v>
      </c>
      <c r="P1148" t="s">
        <v>363</v>
      </c>
      <c r="Q1148" s="20">
        <v>46032.649155092593</v>
      </c>
      <c r="R1148" s="18" t="s">
        <v>7</v>
      </c>
      <c r="T1148" t="s">
        <v>603</v>
      </c>
    </row>
    <row r="1149" spans="1:20" ht="15" customHeight="1" x14ac:dyDescent="0.25">
      <c r="A1149">
        <f t="shared" si="17"/>
        <v>52</v>
      </c>
      <c r="B1149" t="s">
        <v>1781</v>
      </c>
      <c r="C1149" t="s">
        <v>47</v>
      </c>
      <c r="D1149">
        <v>122</v>
      </c>
      <c r="E114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49">
        <f ca="1">IF(Tabla142[[#This Row],[frecuencia_new]]="Diaria"," ",RANDBETWEEN(1,6))</f>
        <v>2</v>
      </c>
      <c r="G1149">
        <f ca="1">IF(Tabla142[[#This Row],[frecuencia_new]]="Diaria","",IF(Tabla142[[#This Row],[frecuencia_new]]="Semanal","",IF(Tabla142[[#This Row],[frecuencia_new]]="Quincenal",RANDBETWEEN(1,2),RANDBETWEEN(1,4))))</f>
        <v>1</v>
      </c>
      <c r="H114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49" t="s">
        <v>46</v>
      </c>
      <c r="K1149">
        <f>SUM(MID(Tabla142[[#This Row],[Duración]],1,2)*60,MID(Tabla142[[#This Row],[Duración]],6,2))</f>
        <v>15</v>
      </c>
      <c r="L1149" s="4" t="s">
        <v>77</v>
      </c>
      <c r="M1149" t="s">
        <v>239</v>
      </c>
      <c r="N1149" t="s">
        <v>29</v>
      </c>
      <c r="O1149" t="s">
        <v>384</v>
      </c>
      <c r="P1149" t="s">
        <v>360</v>
      </c>
      <c r="Q1149" s="20">
        <v>46032.649155092593</v>
      </c>
      <c r="R1149" t="s">
        <v>5</v>
      </c>
      <c r="T1149" t="s">
        <v>463</v>
      </c>
    </row>
    <row r="1150" spans="1:20" ht="15" customHeight="1" x14ac:dyDescent="0.25">
      <c r="A1150">
        <f t="shared" si="17"/>
        <v>52</v>
      </c>
      <c r="B1150" t="s">
        <v>1782</v>
      </c>
      <c r="C1150" t="s">
        <v>47</v>
      </c>
      <c r="D1150">
        <v>122</v>
      </c>
      <c r="E115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50">
        <f ca="1">IF(Tabla142[[#This Row],[frecuencia_new]]="Diaria"," ",RANDBETWEEN(1,6))</f>
        <v>3</v>
      </c>
      <c r="G1150">
        <f ca="1">IF(Tabla142[[#This Row],[frecuencia_new]]="Diaria","",IF(Tabla142[[#This Row],[frecuencia_new]]="Semanal","",IF(Tabla142[[#This Row],[frecuencia_new]]="Quincenal",RANDBETWEEN(1,2),RANDBETWEEN(1,4))))</f>
        <v>3</v>
      </c>
      <c r="H1150">
        <f ca="1">IF(Tabla142[[#This Row],[frecuencia_new]]="Trimestral",RANDBETWEEN(1,3),IF(Tabla142[[#This Row],[frecuencia_new]]="Semestral",RANDBETWEEN(1,6),IF(Tabla142[[#This Row],[frecuencia_new]]="Anual",RANDBETWEEN(1,12),"")))</f>
        <v>8</v>
      </c>
      <c r="J1150" t="s">
        <v>53</v>
      </c>
      <c r="K1150">
        <f>SUM(MID(Tabla142[[#This Row],[Duración]],1,2)*60,MID(Tabla142[[#This Row],[Duración]],6,2))</f>
        <v>15</v>
      </c>
      <c r="L1150" s="4" t="s">
        <v>77</v>
      </c>
      <c r="M1150" t="s">
        <v>239</v>
      </c>
      <c r="N1150" t="s">
        <v>29</v>
      </c>
      <c r="O1150" t="s">
        <v>384</v>
      </c>
      <c r="P1150" t="s">
        <v>360</v>
      </c>
      <c r="Q1150" s="20">
        <v>46032.649155092593</v>
      </c>
      <c r="R1150" t="s">
        <v>5</v>
      </c>
      <c r="T1150" t="s">
        <v>463</v>
      </c>
    </row>
    <row r="1151" spans="1:20" ht="15" customHeight="1" x14ac:dyDescent="0.25">
      <c r="A1151">
        <f t="shared" si="17"/>
        <v>52</v>
      </c>
      <c r="B1151" t="s">
        <v>1783</v>
      </c>
      <c r="C1151" t="s">
        <v>47</v>
      </c>
      <c r="D1151">
        <v>122</v>
      </c>
      <c r="E115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51">
        <f ca="1">IF(Tabla142[[#This Row],[frecuencia_new]]="Diaria"," ",RANDBETWEEN(1,6))</f>
        <v>6</v>
      </c>
      <c r="G1151">
        <f ca="1">IF(Tabla142[[#This Row],[frecuencia_new]]="Diaria","",IF(Tabla142[[#This Row],[frecuencia_new]]="Semanal","",IF(Tabla142[[#This Row],[frecuencia_new]]="Quincenal",RANDBETWEEN(1,2),RANDBETWEEN(1,4))))</f>
        <v>3</v>
      </c>
      <c r="H1151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151" t="s">
        <v>56</v>
      </c>
      <c r="K1151">
        <f>SUM(MID(Tabla142[[#This Row],[Duración]],1,2)*60,MID(Tabla142[[#This Row],[Duración]],6,2))</f>
        <v>30</v>
      </c>
      <c r="L1151" s="4" t="s">
        <v>48</v>
      </c>
      <c r="M1151" t="s">
        <v>239</v>
      </c>
      <c r="N1151" t="s">
        <v>29</v>
      </c>
      <c r="O1151" t="s">
        <v>384</v>
      </c>
      <c r="P1151" t="s">
        <v>360</v>
      </c>
      <c r="Q1151" s="20">
        <v>46032.649155092593</v>
      </c>
      <c r="R1151" t="s">
        <v>5</v>
      </c>
      <c r="T1151" t="s">
        <v>463</v>
      </c>
    </row>
    <row r="1152" spans="1:20" ht="15" customHeight="1" x14ac:dyDescent="0.25">
      <c r="A1152">
        <f t="shared" si="17"/>
        <v>193</v>
      </c>
      <c r="B1152" t="s">
        <v>1784</v>
      </c>
      <c r="C1152" s="18" t="s">
        <v>47</v>
      </c>
      <c r="D1152" s="18">
        <v>122</v>
      </c>
      <c r="E115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52" t="str">
        <f ca="1">IF(Tabla142[[#This Row],[frecuencia_new]]="Diaria"," ",RANDBETWEEN(1,6))</f>
        <v xml:space="preserve"> </v>
      </c>
      <c r="G1152" t="str">
        <f ca="1">IF(Tabla142[[#This Row],[frecuencia_new]]="Diaria","",IF(Tabla142[[#This Row],[frecuencia_new]]="Semanal","",IF(Tabla142[[#This Row],[frecuencia_new]]="Quincenal",RANDBETWEEN(1,2),RANDBETWEEN(1,4))))</f>
        <v/>
      </c>
      <c r="H115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2" s="18" t="s">
        <v>170</v>
      </c>
      <c r="K1152" s="18">
        <f>SUM(MID(Tabla142[[#This Row],[Duración]],1,2)*60,MID(Tabla142[[#This Row],[Duración]],6,2))</f>
        <v>2</v>
      </c>
      <c r="L1152" s="19" t="s">
        <v>60</v>
      </c>
      <c r="M1152" s="18" t="s">
        <v>239</v>
      </c>
      <c r="N1152" t="s">
        <v>29</v>
      </c>
      <c r="O1152" t="s">
        <v>393</v>
      </c>
      <c r="P1152" t="s">
        <v>361</v>
      </c>
      <c r="Q1152" s="20">
        <v>46032.649155092593</v>
      </c>
      <c r="R1152" s="18" t="s">
        <v>6</v>
      </c>
      <c r="T1152" t="s">
        <v>604</v>
      </c>
    </row>
    <row r="1153" spans="1:20" ht="15" customHeight="1" x14ac:dyDescent="0.25">
      <c r="A1153">
        <f t="shared" si="17"/>
        <v>193</v>
      </c>
      <c r="B1153" t="s">
        <v>1785</v>
      </c>
      <c r="C1153" s="18" t="s">
        <v>47</v>
      </c>
      <c r="D1153" s="18">
        <v>122</v>
      </c>
      <c r="E115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53" t="str">
        <f ca="1">IF(Tabla142[[#This Row],[frecuencia_new]]="Diaria"," ",RANDBETWEEN(1,6))</f>
        <v xml:space="preserve"> </v>
      </c>
      <c r="G1153" t="str">
        <f ca="1">IF(Tabla142[[#This Row],[frecuencia_new]]="Diaria","",IF(Tabla142[[#This Row],[frecuencia_new]]="Semanal","",IF(Tabla142[[#This Row],[frecuencia_new]]="Quincenal",RANDBETWEEN(1,2),RANDBETWEEN(1,4))))</f>
        <v/>
      </c>
      <c r="H115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3" s="18" t="s">
        <v>171</v>
      </c>
      <c r="K1153" s="18">
        <f>SUM(MID(Tabla142[[#This Row],[Duración]],1,2)*60,MID(Tabla142[[#This Row],[Duración]],6,2))</f>
        <v>2</v>
      </c>
      <c r="L1153" s="19" t="s">
        <v>60</v>
      </c>
      <c r="M1153" s="18" t="s">
        <v>239</v>
      </c>
      <c r="N1153" t="s">
        <v>29</v>
      </c>
      <c r="O1153" t="s">
        <v>393</v>
      </c>
      <c r="P1153" t="s">
        <v>361</v>
      </c>
      <c r="Q1153" s="20">
        <v>46032.649155092593</v>
      </c>
      <c r="R1153" s="18" t="s">
        <v>6</v>
      </c>
      <c r="T1153" t="s">
        <v>604</v>
      </c>
    </row>
    <row r="1154" spans="1:20" ht="15" customHeight="1" x14ac:dyDescent="0.25">
      <c r="A1154">
        <f t="shared" ref="A1154:A1213" si="18">VLOOKUP(T1154,$V$2:$W$222,2,FALSE)</f>
        <v>193</v>
      </c>
      <c r="B1154" t="s">
        <v>1786</v>
      </c>
      <c r="C1154" s="18" t="s">
        <v>47</v>
      </c>
      <c r="D1154" s="18">
        <v>122</v>
      </c>
      <c r="E115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54" t="str">
        <f ca="1">IF(Tabla142[[#This Row],[frecuencia_new]]="Diaria"," ",RANDBETWEEN(1,6))</f>
        <v xml:space="preserve"> </v>
      </c>
      <c r="G1154" t="str">
        <f ca="1">IF(Tabla142[[#This Row],[frecuencia_new]]="Diaria","",IF(Tabla142[[#This Row],[frecuencia_new]]="Semanal","",IF(Tabla142[[#This Row],[frecuencia_new]]="Quincenal",RANDBETWEEN(1,2),RANDBETWEEN(1,4))))</f>
        <v/>
      </c>
      <c r="H115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4" s="18" t="s">
        <v>172</v>
      </c>
      <c r="K1154" s="18">
        <f>SUM(MID(Tabla142[[#This Row],[Duración]],1,2)*60,MID(Tabla142[[#This Row],[Duración]],6,2))</f>
        <v>3</v>
      </c>
      <c r="L1154" s="19" t="s">
        <v>150</v>
      </c>
      <c r="M1154" s="18" t="s">
        <v>239</v>
      </c>
      <c r="N1154" t="s">
        <v>29</v>
      </c>
      <c r="O1154" t="s">
        <v>393</v>
      </c>
      <c r="P1154" t="s">
        <v>361</v>
      </c>
      <c r="Q1154" s="20">
        <v>46032.649155092593</v>
      </c>
      <c r="R1154" s="18" t="s">
        <v>6</v>
      </c>
      <c r="T1154" t="s">
        <v>604</v>
      </c>
    </row>
    <row r="1155" spans="1:20" ht="15" customHeight="1" x14ac:dyDescent="0.25">
      <c r="A1155">
        <f t="shared" si="18"/>
        <v>193</v>
      </c>
      <c r="B1155" t="s">
        <v>1787</v>
      </c>
      <c r="C1155" s="18" t="s">
        <v>47</v>
      </c>
      <c r="D1155" s="18">
        <v>122</v>
      </c>
      <c r="E115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55">
        <f ca="1">IF(Tabla142[[#This Row],[frecuencia_new]]="Diaria"," ",RANDBETWEEN(1,6))</f>
        <v>2</v>
      </c>
      <c r="G1155">
        <f ca="1">IF(Tabla142[[#This Row],[frecuencia_new]]="Diaria","",IF(Tabla142[[#This Row],[frecuencia_new]]="Semanal","",IF(Tabla142[[#This Row],[frecuencia_new]]="Quincenal",RANDBETWEEN(1,2),RANDBETWEEN(1,4))))</f>
        <v>2</v>
      </c>
      <c r="H115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5" s="18" t="s">
        <v>173</v>
      </c>
      <c r="K1155" s="18">
        <f>SUM(MID(Tabla142[[#This Row],[Duración]],1,2)*60,MID(Tabla142[[#This Row],[Duración]],6,2))</f>
        <v>10</v>
      </c>
      <c r="L1155" s="19" t="s">
        <v>71</v>
      </c>
      <c r="M1155" s="18" t="s">
        <v>239</v>
      </c>
      <c r="N1155" t="s">
        <v>29</v>
      </c>
      <c r="O1155" t="s">
        <v>393</v>
      </c>
      <c r="P1155" t="s">
        <v>363</v>
      </c>
      <c r="Q1155" s="20">
        <v>46032.649155092593</v>
      </c>
      <c r="R1155" s="18" t="s">
        <v>7</v>
      </c>
      <c r="T1155" t="s">
        <v>604</v>
      </c>
    </row>
    <row r="1156" spans="1:20" ht="15" customHeight="1" x14ac:dyDescent="0.25">
      <c r="A1156">
        <f t="shared" si="18"/>
        <v>4</v>
      </c>
      <c r="B1156" t="s">
        <v>1788</v>
      </c>
      <c r="C1156" t="s">
        <v>47</v>
      </c>
      <c r="D1156">
        <v>123</v>
      </c>
      <c r="E115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56" t="str">
        <f ca="1">IF(Tabla142[[#This Row],[frecuencia_new]]="Diaria"," ",RANDBETWEEN(1,6))</f>
        <v xml:space="preserve"> </v>
      </c>
      <c r="G1156" t="str">
        <f ca="1">IF(Tabla142[[#This Row],[frecuencia_new]]="Diaria","",IF(Tabla142[[#This Row],[frecuencia_new]]="Semanal","",IF(Tabla142[[#This Row],[frecuencia_new]]="Quincenal",RANDBETWEEN(1,2),RANDBETWEEN(1,4))))</f>
        <v/>
      </c>
      <c r="H115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6" t="s">
        <v>170</v>
      </c>
      <c r="K1156">
        <f>SUM(MID(Tabla142[[#This Row],[Duración]],1,2)*60,MID(Tabla142[[#This Row],[Duración]],6,2))</f>
        <v>2</v>
      </c>
      <c r="L1156" s="4" t="s">
        <v>60</v>
      </c>
      <c r="M1156" t="s">
        <v>239</v>
      </c>
      <c r="N1156" t="s">
        <v>29</v>
      </c>
      <c r="O1156" t="s">
        <v>397</v>
      </c>
      <c r="P1156" t="s">
        <v>361</v>
      </c>
      <c r="Q1156" s="20">
        <v>46032.649155092593</v>
      </c>
      <c r="R1156" t="s">
        <v>6</v>
      </c>
      <c r="T1156" t="s">
        <v>415</v>
      </c>
    </row>
    <row r="1157" spans="1:20" ht="15" customHeight="1" x14ac:dyDescent="0.25">
      <c r="A1157">
        <f t="shared" si="18"/>
        <v>4</v>
      </c>
      <c r="B1157" t="s">
        <v>1789</v>
      </c>
      <c r="C1157" t="s">
        <v>47</v>
      </c>
      <c r="D1157">
        <v>123</v>
      </c>
      <c r="E115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157">
        <f ca="1">IF(Tabla142[[#This Row],[frecuencia_new]]="Diaria"," ",RANDBETWEEN(1,6))</f>
        <v>4</v>
      </c>
      <c r="G1157" t="str">
        <f ca="1">IF(Tabla142[[#This Row],[frecuencia_new]]="Diaria","",IF(Tabla142[[#This Row],[frecuencia_new]]="Semanal","",IF(Tabla142[[#This Row],[frecuencia_new]]="Quincenal",RANDBETWEEN(1,2),RANDBETWEEN(1,4))))</f>
        <v/>
      </c>
      <c r="H115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7" t="s">
        <v>179</v>
      </c>
      <c r="K1157">
        <f>SUM(MID(Tabla142[[#This Row],[Duración]],1,2)*60,MID(Tabla142[[#This Row],[Duración]],6,2))</f>
        <v>15</v>
      </c>
      <c r="L1157" s="4" t="s">
        <v>77</v>
      </c>
      <c r="M1157" t="s">
        <v>239</v>
      </c>
      <c r="N1157" t="s">
        <v>29</v>
      </c>
      <c r="O1157" t="s">
        <v>397</v>
      </c>
      <c r="P1157" t="s">
        <v>361</v>
      </c>
      <c r="Q1157" s="20">
        <v>46032.649155092593</v>
      </c>
      <c r="R1157" t="s">
        <v>8</v>
      </c>
      <c r="T1157" t="s">
        <v>415</v>
      </c>
    </row>
    <row r="1158" spans="1:20" ht="15" customHeight="1" x14ac:dyDescent="0.25">
      <c r="A1158">
        <f t="shared" si="18"/>
        <v>4</v>
      </c>
      <c r="B1158" t="s">
        <v>1790</v>
      </c>
      <c r="C1158" t="s">
        <v>47</v>
      </c>
      <c r="D1158">
        <v>123</v>
      </c>
      <c r="E115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58" t="str">
        <f ca="1">IF(Tabla142[[#This Row],[frecuencia_new]]="Diaria"," ",RANDBETWEEN(1,6))</f>
        <v xml:space="preserve"> </v>
      </c>
      <c r="G1158" t="str">
        <f ca="1">IF(Tabla142[[#This Row],[frecuencia_new]]="Diaria","",IF(Tabla142[[#This Row],[frecuencia_new]]="Semanal","",IF(Tabla142[[#This Row],[frecuencia_new]]="Quincenal",RANDBETWEEN(1,2),RANDBETWEEN(1,4))))</f>
        <v/>
      </c>
      <c r="H115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58" t="s">
        <v>172</v>
      </c>
      <c r="K1158">
        <f>SUM(MID(Tabla142[[#This Row],[Duración]],1,2)*60,MID(Tabla142[[#This Row],[Duración]],6,2))</f>
        <v>3</v>
      </c>
      <c r="L1158" s="4" t="s">
        <v>150</v>
      </c>
      <c r="M1158" t="s">
        <v>239</v>
      </c>
      <c r="N1158" t="s">
        <v>29</v>
      </c>
      <c r="O1158" t="s">
        <v>397</v>
      </c>
      <c r="P1158" t="s">
        <v>361</v>
      </c>
      <c r="Q1158" s="20">
        <v>46032.649155092593</v>
      </c>
      <c r="R1158" t="s">
        <v>6</v>
      </c>
      <c r="T1158" t="s">
        <v>415</v>
      </c>
    </row>
    <row r="1159" spans="1:20" ht="15" customHeight="1" x14ac:dyDescent="0.25">
      <c r="A1159">
        <f t="shared" si="18"/>
        <v>53</v>
      </c>
      <c r="B1159" t="s">
        <v>1791</v>
      </c>
      <c r="C1159" t="s">
        <v>47</v>
      </c>
      <c r="D1159">
        <v>123</v>
      </c>
      <c r="E115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59">
        <f ca="1">IF(Tabla142[[#This Row],[frecuencia_new]]="Diaria"," ",RANDBETWEEN(1,6))</f>
        <v>5</v>
      </c>
      <c r="G1159">
        <f ca="1">IF(Tabla142[[#This Row],[frecuencia_new]]="Diaria","",IF(Tabla142[[#This Row],[frecuencia_new]]="Semanal","",IF(Tabla142[[#This Row],[frecuencia_new]]="Quincenal",RANDBETWEEN(1,2),RANDBETWEEN(1,4))))</f>
        <v>2</v>
      </c>
      <c r="H1159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59" t="s">
        <v>46</v>
      </c>
      <c r="K1159">
        <f>SUM(MID(Tabla142[[#This Row],[Duración]],1,2)*60,MID(Tabla142[[#This Row],[Duración]],6,2))</f>
        <v>15</v>
      </c>
      <c r="L1159" s="4" t="s">
        <v>77</v>
      </c>
      <c r="M1159" t="s">
        <v>239</v>
      </c>
      <c r="N1159" t="s">
        <v>29</v>
      </c>
      <c r="O1159" t="s">
        <v>384</v>
      </c>
      <c r="P1159" t="s">
        <v>360</v>
      </c>
      <c r="Q1159" s="20">
        <v>46032.649155092593</v>
      </c>
      <c r="R1159" t="s">
        <v>5</v>
      </c>
      <c r="T1159" t="s">
        <v>464</v>
      </c>
    </row>
    <row r="1160" spans="1:20" ht="15" customHeight="1" x14ac:dyDescent="0.25">
      <c r="A1160">
        <f t="shared" si="18"/>
        <v>53</v>
      </c>
      <c r="B1160" t="s">
        <v>1792</v>
      </c>
      <c r="C1160" t="s">
        <v>47</v>
      </c>
      <c r="D1160">
        <v>123</v>
      </c>
      <c r="E116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60">
        <f ca="1">IF(Tabla142[[#This Row],[frecuencia_new]]="Diaria"," ",RANDBETWEEN(1,6))</f>
        <v>6</v>
      </c>
      <c r="G1160">
        <f ca="1">IF(Tabla142[[#This Row],[frecuencia_new]]="Diaria","",IF(Tabla142[[#This Row],[frecuencia_new]]="Semanal","",IF(Tabla142[[#This Row],[frecuencia_new]]="Quincenal",RANDBETWEEN(1,2),RANDBETWEEN(1,4))))</f>
        <v>1</v>
      </c>
      <c r="H1160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60" t="s">
        <v>53</v>
      </c>
      <c r="K1160">
        <f>SUM(MID(Tabla142[[#This Row],[Duración]],1,2)*60,MID(Tabla142[[#This Row],[Duración]],6,2))</f>
        <v>15</v>
      </c>
      <c r="L1160" s="4" t="s">
        <v>77</v>
      </c>
      <c r="M1160" t="s">
        <v>239</v>
      </c>
      <c r="N1160" t="s">
        <v>29</v>
      </c>
      <c r="O1160" t="s">
        <v>384</v>
      </c>
      <c r="P1160" t="s">
        <v>365</v>
      </c>
      <c r="Q1160" s="20">
        <v>46032.649155092593</v>
      </c>
      <c r="R1160" t="s">
        <v>5</v>
      </c>
      <c r="T1160" t="s">
        <v>464</v>
      </c>
    </row>
    <row r="1161" spans="1:20" ht="15" customHeight="1" x14ac:dyDescent="0.25">
      <c r="A1161">
        <f t="shared" si="18"/>
        <v>53</v>
      </c>
      <c r="B1161" t="s">
        <v>1793</v>
      </c>
      <c r="C1161" t="s">
        <v>47</v>
      </c>
      <c r="D1161">
        <v>123</v>
      </c>
      <c r="E116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61">
        <f ca="1">IF(Tabla142[[#This Row],[frecuencia_new]]="Diaria"," ",RANDBETWEEN(1,6))</f>
        <v>4</v>
      </c>
      <c r="G1161">
        <f ca="1">IF(Tabla142[[#This Row],[frecuencia_new]]="Diaria","",IF(Tabla142[[#This Row],[frecuencia_new]]="Semanal","",IF(Tabla142[[#This Row],[frecuencia_new]]="Quincenal",RANDBETWEEN(1,2),RANDBETWEEN(1,4))))</f>
        <v>1</v>
      </c>
      <c r="H1161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161" t="s">
        <v>56</v>
      </c>
      <c r="K1161">
        <f>SUM(MID(Tabla142[[#This Row],[Duración]],1,2)*60,MID(Tabla142[[#This Row],[Duración]],6,2))</f>
        <v>30</v>
      </c>
      <c r="L1161" s="4" t="s">
        <v>48</v>
      </c>
      <c r="M1161" t="s">
        <v>239</v>
      </c>
      <c r="N1161" t="s">
        <v>29</v>
      </c>
      <c r="O1161" t="s">
        <v>384</v>
      </c>
      <c r="P1161" t="s">
        <v>360</v>
      </c>
      <c r="Q1161" s="20">
        <v>46032.649155092593</v>
      </c>
      <c r="R1161" t="s">
        <v>5</v>
      </c>
      <c r="T1161" t="s">
        <v>464</v>
      </c>
    </row>
    <row r="1162" spans="1:20" ht="15" customHeight="1" x14ac:dyDescent="0.25">
      <c r="A1162">
        <f t="shared" si="18"/>
        <v>53</v>
      </c>
      <c r="B1162" t="s">
        <v>1794</v>
      </c>
      <c r="C1162" t="s">
        <v>47</v>
      </c>
      <c r="D1162">
        <v>123</v>
      </c>
      <c r="E116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62">
        <f ca="1">IF(Tabla142[[#This Row],[frecuencia_new]]="Diaria"," ",RANDBETWEEN(1,6))</f>
        <v>5</v>
      </c>
      <c r="G1162">
        <f ca="1">IF(Tabla142[[#This Row],[frecuencia_new]]="Diaria","",IF(Tabla142[[#This Row],[frecuencia_new]]="Semanal","",IF(Tabla142[[#This Row],[frecuencia_new]]="Quincenal",RANDBETWEEN(1,2),RANDBETWEEN(1,4))))</f>
        <v>2</v>
      </c>
      <c r="H116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2" t="s">
        <v>185</v>
      </c>
      <c r="K1162">
        <f>SUM(MID(Tabla142[[#This Row],[Duración]],1,2)*60,MID(Tabla142[[#This Row],[Duración]],6,2))</f>
        <v>20</v>
      </c>
      <c r="L1162" s="4" t="s">
        <v>82</v>
      </c>
      <c r="M1162" t="s">
        <v>239</v>
      </c>
      <c r="N1162" t="s">
        <v>29</v>
      </c>
      <c r="O1162" t="s">
        <v>384</v>
      </c>
      <c r="P1162" t="s">
        <v>360</v>
      </c>
      <c r="Q1162" s="20">
        <v>46032.649155092593</v>
      </c>
      <c r="R1162" t="s">
        <v>7</v>
      </c>
      <c r="T1162" t="s">
        <v>464</v>
      </c>
    </row>
    <row r="1163" spans="1:20" ht="15" customHeight="1" x14ac:dyDescent="0.25">
      <c r="A1163">
        <f t="shared" si="18"/>
        <v>91</v>
      </c>
      <c r="B1163" t="s">
        <v>1795</v>
      </c>
      <c r="C1163" t="s">
        <v>47</v>
      </c>
      <c r="D1163">
        <v>123</v>
      </c>
      <c r="E116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63">
        <f ca="1">IF(Tabla142[[#This Row],[frecuencia_new]]="Diaria"," ",RANDBETWEEN(1,6))</f>
        <v>3</v>
      </c>
      <c r="G1163">
        <f ca="1">IF(Tabla142[[#This Row],[frecuencia_new]]="Diaria","",IF(Tabla142[[#This Row],[frecuencia_new]]="Semanal","",IF(Tabla142[[#This Row],[frecuencia_new]]="Quincenal",RANDBETWEEN(1,2),RANDBETWEEN(1,4))))</f>
        <v>3</v>
      </c>
      <c r="H116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3" t="s">
        <v>174</v>
      </c>
      <c r="K1163">
        <f>SUM(MID(Tabla142[[#This Row],[Duración]],1,2)*60,MID(Tabla142[[#This Row],[Duración]],6,2))</f>
        <v>45</v>
      </c>
      <c r="L1163" s="4" t="s">
        <v>175</v>
      </c>
      <c r="M1163" t="s">
        <v>239</v>
      </c>
      <c r="N1163" t="s">
        <v>29</v>
      </c>
      <c r="O1163" t="s">
        <v>382</v>
      </c>
      <c r="P1163" t="s">
        <v>363</v>
      </c>
      <c r="Q1163" s="20">
        <v>46032.649155092593</v>
      </c>
      <c r="R1163" t="s">
        <v>7</v>
      </c>
      <c r="T1163" t="s">
        <v>502</v>
      </c>
    </row>
    <row r="1164" spans="1:20" ht="15" customHeight="1" x14ac:dyDescent="0.25">
      <c r="A1164">
        <f t="shared" si="18"/>
        <v>91</v>
      </c>
      <c r="B1164" t="s">
        <v>1796</v>
      </c>
      <c r="C1164" t="s">
        <v>54</v>
      </c>
      <c r="D1164">
        <v>123</v>
      </c>
      <c r="E116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64" t="str">
        <f ca="1">IF(Tabla142[[#This Row],[frecuencia_new]]="Diaria"," ",RANDBETWEEN(1,6))</f>
        <v xml:space="preserve"> </v>
      </c>
      <c r="G1164" t="str">
        <f ca="1">IF(Tabla142[[#This Row],[frecuencia_new]]="Diaria","",IF(Tabla142[[#This Row],[frecuencia_new]]="Semanal","",IF(Tabla142[[#This Row],[frecuencia_new]]="Quincenal",RANDBETWEEN(1,2),RANDBETWEEN(1,4))))</f>
        <v/>
      </c>
      <c r="H116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4" t="s">
        <v>176</v>
      </c>
      <c r="K1164">
        <f>SUM(MID(Tabla142[[#This Row],[Duración]],1,2)*60,MID(Tabla142[[#This Row],[Duración]],6,2))</f>
        <v>15</v>
      </c>
      <c r="L1164" s="4" t="s">
        <v>77</v>
      </c>
      <c r="M1164" t="s">
        <v>239</v>
      </c>
      <c r="N1164" t="s">
        <v>29</v>
      </c>
      <c r="O1164" t="s">
        <v>382</v>
      </c>
      <c r="P1164" t="s">
        <v>363</v>
      </c>
      <c r="Q1164" s="20">
        <v>46032.649155092593</v>
      </c>
      <c r="R1164" t="s">
        <v>6</v>
      </c>
      <c r="T1164" t="s">
        <v>502</v>
      </c>
    </row>
    <row r="1165" spans="1:20" ht="15" customHeight="1" x14ac:dyDescent="0.25">
      <c r="A1165">
        <f t="shared" si="18"/>
        <v>91</v>
      </c>
      <c r="B1165" t="s">
        <v>1797</v>
      </c>
      <c r="C1165" t="s">
        <v>47</v>
      </c>
      <c r="D1165">
        <v>123</v>
      </c>
      <c r="E116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65" t="str">
        <f ca="1">IF(Tabla142[[#This Row],[frecuencia_new]]="Diaria"," ",RANDBETWEEN(1,6))</f>
        <v xml:space="preserve"> </v>
      </c>
      <c r="G1165" t="str">
        <f ca="1">IF(Tabla142[[#This Row],[frecuencia_new]]="Diaria","",IF(Tabla142[[#This Row],[frecuencia_new]]="Semanal","",IF(Tabla142[[#This Row],[frecuencia_new]]="Quincenal",RANDBETWEEN(1,2),RANDBETWEEN(1,4))))</f>
        <v/>
      </c>
      <c r="H116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5" t="s">
        <v>177</v>
      </c>
      <c r="K1165">
        <f>SUM(MID(Tabla142[[#This Row],[Duración]],1,2)*60,MID(Tabla142[[#This Row],[Duración]],6,2))</f>
        <v>15</v>
      </c>
      <c r="L1165" s="4" t="s">
        <v>77</v>
      </c>
      <c r="M1165" t="s">
        <v>239</v>
      </c>
      <c r="N1165" t="s">
        <v>29</v>
      </c>
      <c r="O1165" t="s">
        <v>382</v>
      </c>
      <c r="P1165" t="s">
        <v>363</v>
      </c>
      <c r="Q1165" s="20">
        <v>46032.649155092593</v>
      </c>
      <c r="R1165" t="s">
        <v>6</v>
      </c>
      <c r="T1165" t="s">
        <v>502</v>
      </c>
    </row>
    <row r="1166" spans="1:20" ht="15" customHeight="1" x14ac:dyDescent="0.25">
      <c r="A1166">
        <f t="shared" si="18"/>
        <v>91</v>
      </c>
      <c r="B1166" t="s">
        <v>1798</v>
      </c>
      <c r="C1166" t="s">
        <v>47</v>
      </c>
      <c r="D1166">
        <v>123</v>
      </c>
      <c r="E116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66" t="str">
        <f ca="1">IF(Tabla142[[#This Row],[frecuencia_new]]="Diaria"," ",RANDBETWEEN(1,6))</f>
        <v xml:space="preserve"> </v>
      </c>
      <c r="G1166" t="str">
        <f ca="1">IF(Tabla142[[#This Row],[frecuencia_new]]="Diaria","",IF(Tabla142[[#This Row],[frecuencia_new]]="Semanal","",IF(Tabla142[[#This Row],[frecuencia_new]]="Quincenal",RANDBETWEEN(1,2),RANDBETWEEN(1,4))))</f>
        <v/>
      </c>
      <c r="H116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6" t="s">
        <v>171</v>
      </c>
      <c r="K1166">
        <f>SUM(MID(Tabla142[[#This Row],[Duración]],1,2)*60,MID(Tabla142[[#This Row],[Duración]],6,2))</f>
        <v>20</v>
      </c>
      <c r="L1166" s="4" t="s">
        <v>82</v>
      </c>
      <c r="M1166" t="s">
        <v>239</v>
      </c>
      <c r="N1166" t="s">
        <v>29</v>
      </c>
      <c r="O1166" t="s">
        <v>382</v>
      </c>
      <c r="P1166" t="s">
        <v>363</v>
      </c>
      <c r="Q1166" s="20">
        <v>46032.649155092593</v>
      </c>
      <c r="R1166" t="s">
        <v>6</v>
      </c>
      <c r="T1166" t="s">
        <v>502</v>
      </c>
    </row>
    <row r="1167" spans="1:20" ht="15" customHeight="1" x14ac:dyDescent="0.25">
      <c r="A1167">
        <f t="shared" si="18"/>
        <v>91</v>
      </c>
      <c r="B1167" t="s">
        <v>1799</v>
      </c>
      <c r="C1167" t="s">
        <v>47</v>
      </c>
      <c r="D1167">
        <v>123</v>
      </c>
      <c r="E116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67">
        <f ca="1">IF(Tabla142[[#This Row],[frecuencia_new]]="Diaria"," ",RANDBETWEEN(1,6))</f>
        <v>3</v>
      </c>
      <c r="G1167">
        <f ca="1">IF(Tabla142[[#This Row],[frecuencia_new]]="Diaria","",IF(Tabla142[[#This Row],[frecuencia_new]]="Semanal","",IF(Tabla142[[#This Row],[frecuencia_new]]="Quincenal",RANDBETWEEN(1,2),RANDBETWEEN(1,4))))</f>
        <v>2</v>
      </c>
      <c r="H116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7" t="s">
        <v>178</v>
      </c>
      <c r="K1167">
        <f>SUM(MID(Tabla142[[#This Row],[Duración]],1,2)*60,MID(Tabla142[[#This Row],[Duración]],6,2))</f>
        <v>60</v>
      </c>
      <c r="L1167" s="4" t="s">
        <v>58</v>
      </c>
      <c r="M1167" t="s">
        <v>239</v>
      </c>
      <c r="N1167" t="s">
        <v>29</v>
      </c>
      <c r="O1167" t="s">
        <v>382</v>
      </c>
      <c r="P1167" t="s">
        <v>363</v>
      </c>
      <c r="Q1167" s="20">
        <v>46032.649155092593</v>
      </c>
      <c r="R1167" t="s">
        <v>7</v>
      </c>
      <c r="T1167" t="s">
        <v>502</v>
      </c>
    </row>
    <row r="1168" spans="1:20" ht="15" customHeight="1" x14ac:dyDescent="0.25">
      <c r="A1168">
        <f t="shared" si="18"/>
        <v>91</v>
      </c>
      <c r="B1168" t="s">
        <v>1800</v>
      </c>
      <c r="C1168" t="s">
        <v>47</v>
      </c>
      <c r="D1168">
        <v>123</v>
      </c>
      <c r="E116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168">
        <f ca="1">IF(Tabla142[[#This Row],[frecuencia_new]]="Diaria"," ",RANDBETWEEN(1,6))</f>
        <v>1</v>
      </c>
      <c r="G1168" t="str">
        <f ca="1">IF(Tabla142[[#This Row],[frecuencia_new]]="Diaria","",IF(Tabla142[[#This Row],[frecuencia_new]]="Semanal","",IF(Tabla142[[#This Row],[frecuencia_new]]="Quincenal",RANDBETWEEN(1,2),RANDBETWEEN(1,4))))</f>
        <v/>
      </c>
      <c r="H116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68" t="s">
        <v>180</v>
      </c>
      <c r="K1168">
        <f>SUM(MID(Tabla142[[#This Row],[Duración]],1,2)*60,MID(Tabla142[[#This Row],[Duración]],6,2))</f>
        <v>15</v>
      </c>
      <c r="L1168" s="4" t="s">
        <v>77</v>
      </c>
      <c r="M1168" t="s">
        <v>239</v>
      </c>
      <c r="N1168" t="s">
        <v>29</v>
      </c>
      <c r="O1168" t="s">
        <v>382</v>
      </c>
      <c r="P1168" t="s">
        <v>363</v>
      </c>
      <c r="Q1168" s="20">
        <v>46032.649155092593</v>
      </c>
      <c r="R1168" t="s">
        <v>8</v>
      </c>
      <c r="T1168" t="s">
        <v>502</v>
      </c>
    </row>
    <row r="1169" spans="1:20" ht="15" customHeight="1" x14ac:dyDescent="0.25">
      <c r="A1169">
        <f t="shared" si="18"/>
        <v>91</v>
      </c>
      <c r="B1169" t="s">
        <v>1801</v>
      </c>
      <c r="C1169" t="s">
        <v>47</v>
      </c>
      <c r="D1169">
        <v>123</v>
      </c>
      <c r="E116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169">
        <f ca="1">IF(Tabla142[[#This Row],[frecuencia_new]]="Diaria"," ",RANDBETWEEN(1,6))</f>
        <v>5</v>
      </c>
      <c r="G1169">
        <f ca="1">IF(Tabla142[[#This Row],[frecuencia_new]]="Diaria","",IF(Tabla142[[#This Row],[frecuencia_new]]="Semanal","",IF(Tabla142[[#This Row],[frecuencia_new]]="Quincenal",RANDBETWEEN(1,2),RANDBETWEEN(1,4))))</f>
        <v>4</v>
      </c>
      <c r="H1169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69" t="s">
        <v>181</v>
      </c>
      <c r="K1169">
        <f>SUM(MID(Tabla142[[#This Row],[Duración]],1,2)*60,MID(Tabla142[[#This Row],[Duración]],6,2))</f>
        <v>30</v>
      </c>
      <c r="L1169" s="4" t="s">
        <v>48</v>
      </c>
      <c r="M1169" t="s">
        <v>239</v>
      </c>
      <c r="N1169" t="s">
        <v>29</v>
      </c>
      <c r="O1169" t="s">
        <v>382</v>
      </c>
      <c r="P1169" t="s">
        <v>363</v>
      </c>
      <c r="Q1169" s="20">
        <v>46032.649155092593</v>
      </c>
      <c r="R1169" t="s">
        <v>18</v>
      </c>
      <c r="T1169" t="s">
        <v>502</v>
      </c>
    </row>
    <row r="1170" spans="1:20" ht="15" customHeight="1" x14ac:dyDescent="0.25">
      <c r="A1170">
        <f t="shared" si="18"/>
        <v>91</v>
      </c>
      <c r="B1170" t="s">
        <v>1802</v>
      </c>
      <c r="C1170" t="s">
        <v>47</v>
      </c>
      <c r="D1170">
        <v>123</v>
      </c>
      <c r="E117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170">
        <f ca="1">IF(Tabla142[[#This Row],[frecuencia_new]]="Diaria"," ",RANDBETWEEN(1,6))</f>
        <v>3</v>
      </c>
      <c r="G1170">
        <f ca="1">IF(Tabla142[[#This Row],[frecuencia_new]]="Diaria","",IF(Tabla142[[#This Row],[frecuencia_new]]="Semanal","",IF(Tabla142[[#This Row],[frecuencia_new]]="Quincenal",RANDBETWEEN(1,2),RANDBETWEEN(1,4))))</f>
        <v>4</v>
      </c>
      <c r="H1170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170" t="s">
        <v>182</v>
      </c>
      <c r="K1170">
        <f>SUM(MID(Tabla142[[#This Row],[Duración]],1,2)*60,MID(Tabla142[[#This Row],[Duración]],6,2))</f>
        <v>30</v>
      </c>
      <c r="L1170" s="4" t="s">
        <v>48</v>
      </c>
      <c r="M1170" t="s">
        <v>239</v>
      </c>
      <c r="N1170" t="s">
        <v>29</v>
      </c>
      <c r="O1170" t="s">
        <v>382</v>
      </c>
      <c r="P1170" t="s">
        <v>363</v>
      </c>
      <c r="Q1170" s="20">
        <v>46032.649155092593</v>
      </c>
      <c r="R1170" t="s">
        <v>18</v>
      </c>
      <c r="T1170" t="s">
        <v>502</v>
      </c>
    </row>
    <row r="1171" spans="1:20" ht="15" customHeight="1" x14ac:dyDescent="0.25">
      <c r="A1171">
        <f t="shared" si="18"/>
        <v>91</v>
      </c>
      <c r="B1171" t="s">
        <v>1803</v>
      </c>
      <c r="C1171" t="s">
        <v>47</v>
      </c>
      <c r="D1171">
        <v>123</v>
      </c>
      <c r="E117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171">
        <f ca="1">IF(Tabla142[[#This Row],[frecuencia_new]]="Diaria"," ",RANDBETWEEN(1,6))</f>
        <v>4</v>
      </c>
      <c r="G1171">
        <f ca="1">IF(Tabla142[[#This Row],[frecuencia_new]]="Diaria","",IF(Tabla142[[#This Row],[frecuencia_new]]="Semanal","",IF(Tabla142[[#This Row],[frecuencia_new]]="Quincenal",RANDBETWEEN(1,2),RANDBETWEEN(1,4))))</f>
        <v>3</v>
      </c>
      <c r="H1171">
        <f ca="1">IF(Tabla142[[#This Row],[frecuencia_new]]="Trimestral",RANDBETWEEN(1,3),IF(Tabla142[[#This Row],[frecuencia_new]]="Semestral",RANDBETWEEN(1,6),IF(Tabla142[[#This Row],[frecuencia_new]]="Anual",RANDBETWEEN(1,12),"")))</f>
        <v>1</v>
      </c>
      <c r="J1171" t="s">
        <v>183</v>
      </c>
      <c r="K1171">
        <f>SUM(MID(Tabla142[[#This Row],[Duración]],1,2)*60,MID(Tabla142[[#This Row],[Duración]],6,2))</f>
        <v>25</v>
      </c>
      <c r="L1171" s="4" t="s">
        <v>184</v>
      </c>
      <c r="M1171" t="s">
        <v>239</v>
      </c>
      <c r="N1171" t="s">
        <v>29</v>
      </c>
      <c r="O1171" t="s">
        <v>382</v>
      </c>
      <c r="P1171" t="s">
        <v>363</v>
      </c>
      <c r="Q1171" s="20">
        <v>46032.649155092593</v>
      </c>
      <c r="R1171" t="s">
        <v>18</v>
      </c>
      <c r="T1171" t="s">
        <v>502</v>
      </c>
    </row>
    <row r="1172" spans="1:20" ht="15" customHeight="1" x14ac:dyDescent="0.25">
      <c r="A1172">
        <f t="shared" si="18"/>
        <v>91</v>
      </c>
      <c r="B1172" t="s">
        <v>1804</v>
      </c>
      <c r="C1172" t="s">
        <v>47</v>
      </c>
      <c r="D1172">
        <v>123</v>
      </c>
      <c r="E117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72">
        <f ca="1">IF(Tabla142[[#This Row],[frecuencia_new]]="Diaria"," ",RANDBETWEEN(1,6))</f>
        <v>6</v>
      </c>
      <c r="G1172">
        <f ca="1">IF(Tabla142[[#This Row],[frecuencia_new]]="Diaria","",IF(Tabla142[[#This Row],[frecuencia_new]]="Semanal","",IF(Tabla142[[#This Row],[frecuencia_new]]="Quincenal",RANDBETWEEN(1,2),RANDBETWEEN(1,4))))</f>
        <v>3</v>
      </c>
      <c r="H117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72" t="s">
        <v>173</v>
      </c>
      <c r="K1172">
        <f>SUM(MID(Tabla142[[#This Row],[Duración]],1,2)*60,MID(Tabla142[[#This Row],[Duración]],6,2))</f>
        <v>10</v>
      </c>
      <c r="L1172" s="4" t="s">
        <v>71</v>
      </c>
      <c r="M1172" t="s">
        <v>239</v>
      </c>
      <c r="N1172" t="s">
        <v>29</v>
      </c>
      <c r="O1172" t="s">
        <v>382</v>
      </c>
      <c r="P1172" t="s">
        <v>363</v>
      </c>
      <c r="Q1172" s="20">
        <v>46032.649155092593</v>
      </c>
      <c r="R1172" t="s">
        <v>7</v>
      </c>
      <c r="T1172" t="s">
        <v>502</v>
      </c>
    </row>
    <row r="1173" spans="1:20" ht="15" customHeight="1" x14ac:dyDescent="0.25">
      <c r="A1173">
        <f t="shared" si="18"/>
        <v>91</v>
      </c>
      <c r="B1173" t="s">
        <v>1805</v>
      </c>
      <c r="C1173" t="s">
        <v>47</v>
      </c>
      <c r="D1173">
        <v>123</v>
      </c>
      <c r="E117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73" t="str">
        <f ca="1">IF(Tabla142[[#This Row],[frecuencia_new]]="Diaria"," ",RANDBETWEEN(1,6))</f>
        <v xml:space="preserve"> </v>
      </c>
      <c r="G1173" t="str">
        <f ca="1">IF(Tabla142[[#This Row],[frecuencia_new]]="Diaria","",IF(Tabla142[[#This Row],[frecuencia_new]]="Semanal","",IF(Tabla142[[#This Row],[frecuencia_new]]="Quincenal",RANDBETWEEN(1,2),RANDBETWEEN(1,4))))</f>
        <v/>
      </c>
      <c r="H117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73" t="s">
        <v>186</v>
      </c>
      <c r="K1173">
        <f>SUM(MID(Tabla142[[#This Row],[Duración]],1,2)*60,MID(Tabla142[[#This Row],[Duración]],6,2))</f>
        <v>10</v>
      </c>
      <c r="L1173" s="4" t="s">
        <v>71</v>
      </c>
      <c r="M1173" t="s">
        <v>239</v>
      </c>
      <c r="N1173" t="s">
        <v>29</v>
      </c>
      <c r="O1173" t="s">
        <v>382</v>
      </c>
      <c r="P1173" t="s">
        <v>363</v>
      </c>
      <c r="Q1173" s="20">
        <v>46032.649155092593</v>
      </c>
      <c r="R1173" t="s">
        <v>6</v>
      </c>
      <c r="T1173" t="s">
        <v>502</v>
      </c>
    </row>
    <row r="1174" spans="1:20" ht="15" customHeight="1" x14ac:dyDescent="0.25">
      <c r="A1174">
        <f t="shared" si="18"/>
        <v>157</v>
      </c>
      <c r="B1174" t="s">
        <v>1806</v>
      </c>
      <c r="C1174" t="s">
        <v>47</v>
      </c>
      <c r="D1174">
        <v>124</v>
      </c>
      <c r="E117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74">
        <f ca="1">IF(Tabla142[[#This Row],[frecuencia_new]]="Diaria"," ",RANDBETWEEN(1,6))</f>
        <v>6</v>
      </c>
      <c r="G1174">
        <f ca="1">IF(Tabla142[[#This Row],[frecuencia_new]]="Diaria","",IF(Tabla142[[#This Row],[frecuencia_new]]="Semanal","",IF(Tabla142[[#This Row],[frecuencia_new]]="Quincenal",RANDBETWEEN(1,2),RANDBETWEEN(1,4))))</f>
        <v>4</v>
      </c>
      <c r="H117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174" t="s">
        <v>46</v>
      </c>
      <c r="K1174">
        <f>SUM(MID(Tabla142[[#This Row],[Duración]],1,2)*60,MID(Tabla142[[#This Row],[Duración]],6,2))</f>
        <v>15</v>
      </c>
      <c r="L1174" s="4" t="s">
        <v>77</v>
      </c>
      <c r="M1174" t="s">
        <v>239</v>
      </c>
      <c r="N1174" t="s">
        <v>29</v>
      </c>
      <c r="O1174" t="s">
        <v>380</v>
      </c>
      <c r="P1174" t="s">
        <v>360</v>
      </c>
      <c r="Q1174" s="20">
        <v>46032.649155092593</v>
      </c>
      <c r="R1174" t="s">
        <v>5</v>
      </c>
      <c r="T1174" t="s">
        <v>568</v>
      </c>
    </row>
    <row r="1175" spans="1:20" ht="15" customHeight="1" x14ac:dyDescent="0.25">
      <c r="A1175">
        <f t="shared" si="18"/>
        <v>157</v>
      </c>
      <c r="B1175" t="s">
        <v>1807</v>
      </c>
      <c r="C1175" t="s">
        <v>47</v>
      </c>
      <c r="D1175">
        <v>124</v>
      </c>
      <c r="E117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75">
        <f ca="1">IF(Tabla142[[#This Row],[frecuencia_new]]="Diaria"," ",RANDBETWEEN(1,6))</f>
        <v>4</v>
      </c>
      <c r="G1175">
        <f ca="1">IF(Tabla142[[#This Row],[frecuencia_new]]="Diaria","",IF(Tabla142[[#This Row],[frecuencia_new]]="Semanal","",IF(Tabla142[[#This Row],[frecuencia_new]]="Quincenal",RANDBETWEEN(1,2),RANDBETWEEN(1,4))))</f>
        <v>1</v>
      </c>
      <c r="H1175">
        <f ca="1">IF(Tabla142[[#This Row],[frecuencia_new]]="Trimestral",RANDBETWEEN(1,3),IF(Tabla142[[#This Row],[frecuencia_new]]="Semestral",RANDBETWEEN(1,6),IF(Tabla142[[#This Row],[frecuencia_new]]="Anual",RANDBETWEEN(1,12),"")))</f>
        <v>9</v>
      </c>
      <c r="J1175" t="s">
        <v>53</v>
      </c>
      <c r="K1175">
        <f>SUM(MID(Tabla142[[#This Row],[Duración]],1,2)*60,MID(Tabla142[[#This Row],[Duración]],6,2))</f>
        <v>15</v>
      </c>
      <c r="L1175" s="4" t="s">
        <v>77</v>
      </c>
      <c r="M1175" t="s">
        <v>239</v>
      </c>
      <c r="N1175" t="s">
        <v>29</v>
      </c>
      <c r="O1175" t="s">
        <v>380</v>
      </c>
      <c r="P1175" t="s">
        <v>360</v>
      </c>
      <c r="Q1175" s="20">
        <v>46032.649155092593</v>
      </c>
      <c r="R1175" t="s">
        <v>5</v>
      </c>
      <c r="T1175" t="s">
        <v>568</v>
      </c>
    </row>
    <row r="1176" spans="1:20" ht="15" customHeight="1" x14ac:dyDescent="0.25">
      <c r="A1176">
        <f t="shared" si="18"/>
        <v>157</v>
      </c>
      <c r="B1176" t="s">
        <v>1808</v>
      </c>
      <c r="C1176" t="s">
        <v>47</v>
      </c>
      <c r="D1176">
        <v>124</v>
      </c>
      <c r="E117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76">
        <f ca="1">IF(Tabla142[[#This Row],[frecuencia_new]]="Diaria"," ",RANDBETWEEN(1,6))</f>
        <v>5</v>
      </c>
      <c r="G1176">
        <f ca="1">IF(Tabla142[[#This Row],[frecuencia_new]]="Diaria","",IF(Tabla142[[#This Row],[frecuencia_new]]="Semanal","",IF(Tabla142[[#This Row],[frecuencia_new]]="Quincenal",RANDBETWEEN(1,2),RANDBETWEEN(1,4))))</f>
        <v>3</v>
      </c>
      <c r="H1176">
        <f ca="1">IF(Tabla142[[#This Row],[frecuencia_new]]="Trimestral",RANDBETWEEN(1,3),IF(Tabla142[[#This Row],[frecuencia_new]]="Semestral",RANDBETWEEN(1,6),IF(Tabla142[[#This Row],[frecuencia_new]]="Anual",RANDBETWEEN(1,12),"")))</f>
        <v>12</v>
      </c>
      <c r="J1176" t="s">
        <v>56</v>
      </c>
      <c r="K1176">
        <f>SUM(MID(Tabla142[[#This Row],[Duración]],1,2)*60,MID(Tabla142[[#This Row],[Duración]],6,2))</f>
        <v>30</v>
      </c>
      <c r="L1176" s="4" t="s">
        <v>48</v>
      </c>
      <c r="M1176" t="s">
        <v>239</v>
      </c>
      <c r="N1176" t="s">
        <v>29</v>
      </c>
      <c r="O1176" t="s">
        <v>380</v>
      </c>
      <c r="P1176" t="s">
        <v>360</v>
      </c>
      <c r="Q1176" s="20">
        <v>46032.649155092593</v>
      </c>
      <c r="R1176" t="s">
        <v>5</v>
      </c>
      <c r="T1176" t="s">
        <v>568</v>
      </c>
    </row>
    <row r="1177" spans="1:20" ht="15" customHeight="1" x14ac:dyDescent="0.25">
      <c r="A1177">
        <f t="shared" si="18"/>
        <v>157</v>
      </c>
      <c r="B1177" t="s">
        <v>1809</v>
      </c>
      <c r="C1177" t="s">
        <v>47</v>
      </c>
      <c r="D1177">
        <v>124</v>
      </c>
      <c r="E117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77">
        <f ca="1">IF(Tabla142[[#This Row],[frecuencia_new]]="Diaria"," ",RANDBETWEEN(1,6))</f>
        <v>1</v>
      </c>
      <c r="G1177">
        <f ca="1">IF(Tabla142[[#This Row],[frecuencia_new]]="Diaria","",IF(Tabla142[[#This Row],[frecuencia_new]]="Semanal","",IF(Tabla142[[#This Row],[frecuencia_new]]="Quincenal",RANDBETWEEN(1,2),RANDBETWEEN(1,4))))</f>
        <v>2</v>
      </c>
      <c r="H117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77" t="s">
        <v>185</v>
      </c>
      <c r="K1177">
        <f>SUM(MID(Tabla142[[#This Row],[Duración]],1,2)*60,MID(Tabla142[[#This Row],[Duración]],6,2))</f>
        <v>20</v>
      </c>
      <c r="L1177" s="4" t="s">
        <v>82</v>
      </c>
      <c r="M1177" t="s">
        <v>239</v>
      </c>
      <c r="N1177" t="s">
        <v>29</v>
      </c>
      <c r="O1177" t="s">
        <v>380</v>
      </c>
      <c r="P1177" t="s">
        <v>360</v>
      </c>
      <c r="Q1177" s="20">
        <v>46032.649155092593</v>
      </c>
      <c r="R1177" t="s">
        <v>7</v>
      </c>
      <c r="T1177" t="s">
        <v>568</v>
      </c>
    </row>
    <row r="1178" spans="1:20" ht="15" customHeight="1" x14ac:dyDescent="0.25">
      <c r="A1178">
        <f t="shared" si="18"/>
        <v>180</v>
      </c>
      <c r="B1178" t="s">
        <v>1810</v>
      </c>
      <c r="C1178" t="s">
        <v>47</v>
      </c>
      <c r="D1178">
        <v>124</v>
      </c>
      <c r="E117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78">
        <f ca="1">IF(Tabla142[[#This Row],[frecuencia_new]]="Diaria"," ",RANDBETWEEN(1,6))</f>
        <v>5</v>
      </c>
      <c r="G1178">
        <f ca="1">IF(Tabla142[[#This Row],[frecuencia_new]]="Diaria","",IF(Tabla142[[#This Row],[frecuencia_new]]="Semanal","",IF(Tabla142[[#This Row],[frecuencia_new]]="Quincenal",RANDBETWEEN(1,2),RANDBETWEEN(1,4))))</f>
        <v>3</v>
      </c>
      <c r="H117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78" t="s">
        <v>174</v>
      </c>
      <c r="K1178">
        <f>SUM(MID(Tabla142[[#This Row],[Duración]],1,2)*60,MID(Tabla142[[#This Row],[Duración]],6,2))</f>
        <v>45</v>
      </c>
      <c r="L1178" s="4" t="s">
        <v>175</v>
      </c>
      <c r="M1178" t="s">
        <v>239</v>
      </c>
      <c r="N1178" t="s">
        <v>29</v>
      </c>
      <c r="O1178" t="s">
        <v>389</v>
      </c>
      <c r="P1178" t="s">
        <v>363</v>
      </c>
      <c r="Q1178" s="20">
        <v>46032.649155092593</v>
      </c>
      <c r="R1178" t="s">
        <v>7</v>
      </c>
      <c r="T1178" t="s">
        <v>591</v>
      </c>
    </row>
    <row r="1179" spans="1:20" ht="15" customHeight="1" x14ac:dyDescent="0.25">
      <c r="A1179">
        <f t="shared" si="18"/>
        <v>180</v>
      </c>
      <c r="B1179" t="s">
        <v>1811</v>
      </c>
      <c r="C1179" t="s">
        <v>54</v>
      </c>
      <c r="D1179">
        <v>124</v>
      </c>
      <c r="E117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79" t="str">
        <f ca="1">IF(Tabla142[[#This Row],[frecuencia_new]]="Diaria"," ",RANDBETWEEN(1,6))</f>
        <v xml:space="preserve"> </v>
      </c>
      <c r="G1179" t="str">
        <f ca="1">IF(Tabla142[[#This Row],[frecuencia_new]]="Diaria","",IF(Tabla142[[#This Row],[frecuencia_new]]="Semanal","",IF(Tabla142[[#This Row],[frecuencia_new]]="Quincenal",RANDBETWEEN(1,2),RANDBETWEEN(1,4))))</f>
        <v/>
      </c>
      <c r="H117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79" t="s">
        <v>176</v>
      </c>
      <c r="K1179">
        <f>SUM(MID(Tabla142[[#This Row],[Duración]],1,2)*60,MID(Tabla142[[#This Row],[Duración]],6,2))</f>
        <v>15</v>
      </c>
      <c r="L1179" s="4" t="s">
        <v>77</v>
      </c>
      <c r="M1179" t="s">
        <v>239</v>
      </c>
      <c r="N1179" t="s">
        <v>29</v>
      </c>
      <c r="O1179" t="s">
        <v>389</v>
      </c>
      <c r="P1179" t="s">
        <v>363</v>
      </c>
      <c r="Q1179" s="20">
        <v>46032.649155092593</v>
      </c>
      <c r="R1179" t="s">
        <v>6</v>
      </c>
      <c r="T1179" t="s">
        <v>591</v>
      </c>
    </row>
    <row r="1180" spans="1:20" ht="15" customHeight="1" x14ac:dyDescent="0.25">
      <c r="A1180">
        <f t="shared" si="18"/>
        <v>180</v>
      </c>
      <c r="B1180" t="s">
        <v>1812</v>
      </c>
      <c r="C1180" t="s">
        <v>47</v>
      </c>
      <c r="D1180">
        <v>124</v>
      </c>
      <c r="E118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80" t="str">
        <f ca="1">IF(Tabla142[[#This Row],[frecuencia_new]]="Diaria"," ",RANDBETWEEN(1,6))</f>
        <v xml:space="preserve"> </v>
      </c>
      <c r="G1180" t="str">
        <f ca="1">IF(Tabla142[[#This Row],[frecuencia_new]]="Diaria","",IF(Tabla142[[#This Row],[frecuencia_new]]="Semanal","",IF(Tabla142[[#This Row],[frecuencia_new]]="Quincenal",RANDBETWEEN(1,2),RANDBETWEEN(1,4))))</f>
        <v/>
      </c>
      <c r="H118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0" t="s">
        <v>177</v>
      </c>
      <c r="K1180">
        <f>SUM(MID(Tabla142[[#This Row],[Duración]],1,2)*60,MID(Tabla142[[#This Row],[Duración]],6,2))</f>
        <v>15</v>
      </c>
      <c r="L1180" s="4" t="s">
        <v>77</v>
      </c>
      <c r="M1180" t="s">
        <v>239</v>
      </c>
      <c r="N1180" t="s">
        <v>29</v>
      </c>
      <c r="O1180" t="s">
        <v>389</v>
      </c>
      <c r="P1180" t="s">
        <v>363</v>
      </c>
      <c r="Q1180" s="20">
        <v>46032.649155092593</v>
      </c>
      <c r="R1180" t="s">
        <v>6</v>
      </c>
      <c r="T1180" t="s">
        <v>591</v>
      </c>
    </row>
    <row r="1181" spans="1:20" ht="15" customHeight="1" x14ac:dyDescent="0.25">
      <c r="A1181">
        <f t="shared" si="18"/>
        <v>180</v>
      </c>
      <c r="B1181" t="s">
        <v>1813</v>
      </c>
      <c r="C1181" t="s">
        <v>47</v>
      </c>
      <c r="D1181">
        <v>124</v>
      </c>
      <c r="E118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81" t="str">
        <f ca="1">IF(Tabla142[[#This Row],[frecuencia_new]]="Diaria"," ",RANDBETWEEN(1,6))</f>
        <v xml:space="preserve"> </v>
      </c>
      <c r="G1181" t="str">
        <f ca="1">IF(Tabla142[[#This Row],[frecuencia_new]]="Diaria","",IF(Tabla142[[#This Row],[frecuencia_new]]="Semanal","",IF(Tabla142[[#This Row],[frecuencia_new]]="Quincenal",RANDBETWEEN(1,2),RANDBETWEEN(1,4))))</f>
        <v/>
      </c>
      <c r="H118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1" t="s">
        <v>171</v>
      </c>
      <c r="K1181">
        <f>SUM(MID(Tabla142[[#This Row],[Duración]],1,2)*60,MID(Tabla142[[#This Row],[Duración]],6,2))</f>
        <v>20</v>
      </c>
      <c r="L1181" s="4" t="s">
        <v>82</v>
      </c>
      <c r="M1181" t="s">
        <v>239</v>
      </c>
      <c r="N1181" t="s">
        <v>29</v>
      </c>
      <c r="O1181" t="s">
        <v>389</v>
      </c>
      <c r="P1181" t="s">
        <v>363</v>
      </c>
      <c r="Q1181" s="20">
        <v>46032.649155092593</v>
      </c>
      <c r="R1181" t="s">
        <v>6</v>
      </c>
      <c r="T1181" t="s">
        <v>591</v>
      </c>
    </row>
    <row r="1182" spans="1:20" ht="15" customHeight="1" x14ac:dyDescent="0.25">
      <c r="A1182">
        <f t="shared" si="18"/>
        <v>180</v>
      </c>
      <c r="B1182" t="s">
        <v>1814</v>
      </c>
      <c r="C1182" t="s">
        <v>47</v>
      </c>
      <c r="D1182">
        <v>124</v>
      </c>
      <c r="E118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82">
        <f ca="1">IF(Tabla142[[#This Row],[frecuencia_new]]="Diaria"," ",RANDBETWEEN(1,6))</f>
        <v>5</v>
      </c>
      <c r="G1182">
        <f ca="1">IF(Tabla142[[#This Row],[frecuencia_new]]="Diaria","",IF(Tabla142[[#This Row],[frecuencia_new]]="Semanal","",IF(Tabla142[[#This Row],[frecuencia_new]]="Quincenal",RANDBETWEEN(1,2),RANDBETWEEN(1,4))))</f>
        <v>4</v>
      </c>
      <c r="H118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2" t="s">
        <v>178</v>
      </c>
      <c r="K1182">
        <f>SUM(MID(Tabla142[[#This Row],[Duración]],1,2)*60,MID(Tabla142[[#This Row],[Duración]],6,2))</f>
        <v>60</v>
      </c>
      <c r="L1182" s="4" t="s">
        <v>58</v>
      </c>
      <c r="M1182" t="s">
        <v>239</v>
      </c>
      <c r="N1182" t="s">
        <v>29</v>
      </c>
      <c r="O1182" t="s">
        <v>389</v>
      </c>
      <c r="P1182" t="s">
        <v>363</v>
      </c>
      <c r="Q1182" s="20">
        <v>46032.649155092593</v>
      </c>
      <c r="R1182" t="s">
        <v>7</v>
      </c>
      <c r="T1182" t="s">
        <v>591</v>
      </c>
    </row>
    <row r="1183" spans="1:20" ht="15" customHeight="1" x14ac:dyDescent="0.25">
      <c r="A1183">
        <f t="shared" si="18"/>
        <v>180</v>
      </c>
      <c r="B1183" t="s">
        <v>1815</v>
      </c>
      <c r="C1183" t="s">
        <v>47</v>
      </c>
      <c r="D1183">
        <v>124</v>
      </c>
      <c r="E118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183">
        <f ca="1">IF(Tabla142[[#This Row],[frecuencia_new]]="Diaria"," ",RANDBETWEEN(1,6))</f>
        <v>3</v>
      </c>
      <c r="G1183" t="str">
        <f ca="1">IF(Tabla142[[#This Row],[frecuencia_new]]="Diaria","",IF(Tabla142[[#This Row],[frecuencia_new]]="Semanal","",IF(Tabla142[[#This Row],[frecuencia_new]]="Quincenal",RANDBETWEEN(1,2),RANDBETWEEN(1,4))))</f>
        <v/>
      </c>
      <c r="H118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3" t="s">
        <v>180</v>
      </c>
      <c r="K1183">
        <f>SUM(MID(Tabla142[[#This Row],[Duración]],1,2)*60,MID(Tabla142[[#This Row],[Duración]],6,2))</f>
        <v>15</v>
      </c>
      <c r="L1183" s="4" t="s">
        <v>77</v>
      </c>
      <c r="M1183" t="s">
        <v>239</v>
      </c>
      <c r="N1183" t="s">
        <v>29</v>
      </c>
      <c r="O1183" t="s">
        <v>389</v>
      </c>
      <c r="P1183" t="s">
        <v>363</v>
      </c>
      <c r="Q1183" s="20">
        <v>46032.649155092593</v>
      </c>
      <c r="R1183" t="s">
        <v>8</v>
      </c>
      <c r="T1183" t="s">
        <v>591</v>
      </c>
    </row>
    <row r="1184" spans="1:20" ht="15" customHeight="1" x14ac:dyDescent="0.25">
      <c r="A1184">
        <f t="shared" si="18"/>
        <v>180</v>
      </c>
      <c r="B1184" t="s">
        <v>1816</v>
      </c>
      <c r="C1184" t="s">
        <v>47</v>
      </c>
      <c r="D1184">
        <v>124</v>
      </c>
      <c r="E118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184">
        <f ca="1">IF(Tabla142[[#This Row],[frecuencia_new]]="Diaria"," ",RANDBETWEEN(1,6))</f>
        <v>5</v>
      </c>
      <c r="G1184">
        <f ca="1">IF(Tabla142[[#This Row],[frecuencia_new]]="Diaria","",IF(Tabla142[[#This Row],[frecuencia_new]]="Semanal","",IF(Tabla142[[#This Row],[frecuencia_new]]="Quincenal",RANDBETWEEN(1,2),RANDBETWEEN(1,4))))</f>
        <v>2</v>
      </c>
      <c r="H1184">
        <f ca="1">IF(Tabla142[[#This Row],[frecuencia_new]]="Trimestral",RANDBETWEEN(1,3),IF(Tabla142[[#This Row],[frecuencia_new]]="Semestral",RANDBETWEEN(1,6),IF(Tabla142[[#This Row],[frecuencia_new]]="Anual",RANDBETWEEN(1,12),"")))</f>
        <v>3</v>
      </c>
      <c r="J1184" t="s">
        <v>181</v>
      </c>
      <c r="K1184">
        <f>SUM(MID(Tabla142[[#This Row],[Duración]],1,2)*60,MID(Tabla142[[#This Row],[Duración]],6,2))</f>
        <v>30</v>
      </c>
      <c r="L1184" s="4" t="s">
        <v>48</v>
      </c>
      <c r="M1184" t="s">
        <v>239</v>
      </c>
      <c r="N1184" t="s">
        <v>29</v>
      </c>
      <c r="O1184" t="s">
        <v>389</v>
      </c>
      <c r="P1184" t="s">
        <v>363</v>
      </c>
      <c r="Q1184" s="20">
        <v>46032.649155092593</v>
      </c>
      <c r="R1184" t="s">
        <v>18</v>
      </c>
      <c r="T1184" t="s">
        <v>591</v>
      </c>
    </row>
    <row r="1185" spans="1:20" ht="15" customHeight="1" x14ac:dyDescent="0.25">
      <c r="A1185">
        <f t="shared" si="18"/>
        <v>180</v>
      </c>
      <c r="B1185" t="s">
        <v>1817</v>
      </c>
      <c r="C1185" t="s">
        <v>47</v>
      </c>
      <c r="D1185">
        <v>124</v>
      </c>
      <c r="E118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185">
        <f ca="1">IF(Tabla142[[#This Row],[frecuencia_new]]="Diaria"," ",RANDBETWEEN(1,6))</f>
        <v>1</v>
      </c>
      <c r="G1185">
        <f ca="1">IF(Tabla142[[#This Row],[frecuencia_new]]="Diaria","",IF(Tabla142[[#This Row],[frecuencia_new]]="Semanal","",IF(Tabla142[[#This Row],[frecuencia_new]]="Quincenal",RANDBETWEEN(1,2),RANDBETWEEN(1,4))))</f>
        <v>4</v>
      </c>
      <c r="H1185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185" t="s">
        <v>182</v>
      </c>
      <c r="K1185">
        <f>SUM(MID(Tabla142[[#This Row],[Duración]],1,2)*60,MID(Tabla142[[#This Row],[Duración]],6,2))</f>
        <v>30</v>
      </c>
      <c r="L1185" s="4" t="s">
        <v>48</v>
      </c>
      <c r="M1185" t="s">
        <v>239</v>
      </c>
      <c r="N1185" t="s">
        <v>29</v>
      </c>
      <c r="O1185" t="s">
        <v>389</v>
      </c>
      <c r="P1185" t="s">
        <v>363</v>
      </c>
      <c r="Q1185" s="20">
        <v>46032.649155092593</v>
      </c>
      <c r="R1185" t="s">
        <v>18</v>
      </c>
      <c r="T1185" t="s">
        <v>591</v>
      </c>
    </row>
    <row r="1186" spans="1:20" ht="15" customHeight="1" x14ac:dyDescent="0.25">
      <c r="A1186">
        <f t="shared" si="18"/>
        <v>180</v>
      </c>
      <c r="B1186" t="s">
        <v>1818</v>
      </c>
      <c r="C1186" t="s">
        <v>47</v>
      </c>
      <c r="D1186">
        <v>124</v>
      </c>
      <c r="E118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Semestral</v>
      </c>
      <c r="F1186">
        <f ca="1">IF(Tabla142[[#This Row],[frecuencia_new]]="Diaria"," ",RANDBETWEEN(1,6))</f>
        <v>1</v>
      </c>
      <c r="G1186">
        <f ca="1">IF(Tabla142[[#This Row],[frecuencia_new]]="Diaria","",IF(Tabla142[[#This Row],[frecuencia_new]]="Semanal","",IF(Tabla142[[#This Row],[frecuencia_new]]="Quincenal",RANDBETWEEN(1,2),RANDBETWEEN(1,4))))</f>
        <v>3</v>
      </c>
      <c r="H1186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186" t="s">
        <v>183</v>
      </c>
      <c r="K1186">
        <f>SUM(MID(Tabla142[[#This Row],[Duración]],1,2)*60,MID(Tabla142[[#This Row],[Duración]],6,2))</f>
        <v>25</v>
      </c>
      <c r="L1186" s="4" t="s">
        <v>184</v>
      </c>
      <c r="M1186" t="s">
        <v>239</v>
      </c>
      <c r="N1186" t="s">
        <v>29</v>
      </c>
      <c r="O1186" t="s">
        <v>389</v>
      </c>
      <c r="P1186" t="s">
        <v>363</v>
      </c>
      <c r="Q1186" s="20">
        <v>46032.649155092593</v>
      </c>
      <c r="R1186" t="s">
        <v>18</v>
      </c>
      <c r="T1186" t="s">
        <v>591</v>
      </c>
    </row>
    <row r="1187" spans="1:20" ht="15" customHeight="1" x14ac:dyDescent="0.25">
      <c r="A1187">
        <f t="shared" si="18"/>
        <v>180</v>
      </c>
      <c r="B1187" t="s">
        <v>1819</v>
      </c>
      <c r="C1187" t="s">
        <v>47</v>
      </c>
      <c r="D1187">
        <v>124</v>
      </c>
      <c r="E118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87">
        <f ca="1">IF(Tabla142[[#This Row],[frecuencia_new]]="Diaria"," ",RANDBETWEEN(1,6))</f>
        <v>3</v>
      </c>
      <c r="G1187">
        <f ca="1">IF(Tabla142[[#This Row],[frecuencia_new]]="Diaria","",IF(Tabla142[[#This Row],[frecuencia_new]]="Semanal","",IF(Tabla142[[#This Row],[frecuencia_new]]="Quincenal",RANDBETWEEN(1,2),RANDBETWEEN(1,4))))</f>
        <v>2</v>
      </c>
      <c r="H118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7" t="s">
        <v>173</v>
      </c>
      <c r="K1187">
        <f>SUM(MID(Tabla142[[#This Row],[Duración]],1,2)*60,MID(Tabla142[[#This Row],[Duración]],6,2))</f>
        <v>10</v>
      </c>
      <c r="L1187" s="4" t="s">
        <v>71</v>
      </c>
      <c r="M1187" t="s">
        <v>239</v>
      </c>
      <c r="N1187" t="s">
        <v>29</v>
      </c>
      <c r="O1187" t="s">
        <v>389</v>
      </c>
      <c r="P1187" t="s">
        <v>363</v>
      </c>
      <c r="Q1187" s="20">
        <v>46032.649155092593</v>
      </c>
      <c r="R1187" t="s">
        <v>7</v>
      </c>
      <c r="T1187" t="s">
        <v>591</v>
      </c>
    </row>
    <row r="1188" spans="1:20" ht="15" customHeight="1" x14ac:dyDescent="0.25">
      <c r="A1188">
        <f t="shared" si="18"/>
        <v>180</v>
      </c>
      <c r="B1188" t="s">
        <v>1820</v>
      </c>
      <c r="C1188" t="s">
        <v>47</v>
      </c>
      <c r="D1188">
        <v>124</v>
      </c>
      <c r="E118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88" t="str">
        <f ca="1">IF(Tabla142[[#This Row],[frecuencia_new]]="Diaria"," ",RANDBETWEEN(1,6))</f>
        <v xml:space="preserve"> </v>
      </c>
      <c r="G1188" t="str">
        <f ca="1">IF(Tabla142[[#This Row],[frecuencia_new]]="Diaria","",IF(Tabla142[[#This Row],[frecuencia_new]]="Semanal","",IF(Tabla142[[#This Row],[frecuencia_new]]="Quincenal",RANDBETWEEN(1,2),RANDBETWEEN(1,4))))</f>
        <v/>
      </c>
      <c r="H118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8" t="s">
        <v>186</v>
      </c>
      <c r="K1188">
        <f>SUM(MID(Tabla142[[#This Row],[Duración]],1,2)*60,MID(Tabla142[[#This Row],[Duración]],6,2))</f>
        <v>10</v>
      </c>
      <c r="L1188" s="4" t="s">
        <v>71</v>
      </c>
      <c r="M1188" t="s">
        <v>239</v>
      </c>
      <c r="N1188" t="s">
        <v>29</v>
      </c>
      <c r="O1188" t="s">
        <v>389</v>
      </c>
      <c r="P1188" t="s">
        <v>363</v>
      </c>
      <c r="Q1188" s="20">
        <v>46032.649155092593</v>
      </c>
      <c r="R1188" t="s">
        <v>6</v>
      </c>
      <c r="T1188" t="s">
        <v>591</v>
      </c>
    </row>
    <row r="1189" spans="1:20" ht="15" customHeight="1" x14ac:dyDescent="0.25">
      <c r="A1189">
        <f t="shared" si="18"/>
        <v>215</v>
      </c>
      <c r="B1189" t="s">
        <v>1821</v>
      </c>
      <c r="C1189" t="s">
        <v>47</v>
      </c>
      <c r="D1189">
        <v>124</v>
      </c>
      <c r="E118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89" t="str">
        <f ca="1">IF(Tabla142[[#This Row],[frecuencia_new]]="Diaria"," ",RANDBETWEEN(1,6))</f>
        <v xml:space="preserve"> </v>
      </c>
      <c r="G1189" t="str">
        <f ca="1">IF(Tabla142[[#This Row],[frecuencia_new]]="Diaria","",IF(Tabla142[[#This Row],[frecuencia_new]]="Semanal","",IF(Tabla142[[#This Row],[frecuencia_new]]="Quincenal",RANDBETWEEN(1,2),RANDBETWEEN(1,4))))</f>
        <v/>
      </c>
      <c r="H118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89" t="s">
        <v>170</v>
      </c>
      <c r="K1189">
        <f>SUM(MID(Tabla142[[#This Row],[Duración]],1,2)*60,MID(Tabla142[[#This Row],[Duración]],6,2))</f>
        <v>2</v>
      </c>
      <c r="L1189" s="4" t="s">
        <v>60</v>
      </c>
      <c r="M1189" t="s">
        <v>239</v>
      </c>
      <c r="N1189" t="s">
        <v>29</v>
      </c>
      <c r="O1189" t="s">
        <v>399</v>
      </c>
      <c r="P1189" t="s">
        <v>361</v>
      </c>
      <c r="Q1189" s="20">
        <v>46032.649155092593</v>
      </c>
      <c r="R1189" t="s">
        <v>6</v>
      </c>
      <c r="T1189" t="s">
        <v>626</v>
      </c>
    </row>
    <row r="1190" spans="1:20" ht="15" customHeight="1" x14ac:dyDescent="0.25">
      <c r="A1190">
        <f t="shared" si="18"/>
        <v>215</v>
      </c>
      <c r="B1190" t="s">
        <v>1822</v>
      </c>
      <c r="C1190" t="s">
        <v>47</v>
      </c>
      <c r="D1190">
        <v>124</v>
      </c>
      <c r="E119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190">
        <f ca="1">IF(Tabla142[[#This Row],[frecuencia_new]]="Diaria"," ",RANDBETWEEN(1,6))</f>
        <v>1</v>
      </c>
      <c r="G1190" t="str">
        <f ca="1">IF(Tabla142[[#This Row],[frecuencia_new]]="Diaria","",IF(Tabla142[[#This Row],[frecuencia_new]]="Semanal","",IF(Tabla142[[#This Row],[frecuencia_new]]="Quincenal",RANDBETWEEN(1,2),RANDBETWEEN(1,4))))</f>
        <v/>
      </c>
      <c r="H1190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0" t="s">
        <v>179</v>
      </c>
      <c r="K1190">
        <f>SUM(MID(Tabla142[[#This Row],[Duración]],1,2)*60,MID(Tabla142[[#This Row],[Duración]],6,2))</f>
        <v>15</v>
      </c>
      <c r="L1190" s="4" t="s">
        <v>77</v>
      </c>
      <c r="M1190" t="s">
        <v>239</v>
      </c>
      <c r="N1190" t="s">
        <v>29</v>
      </c>
      <c r="O1190" t="s">
        <v>399</v>
      </c>
      <c r="P1190" t="s">
        <v>361</v>
      </c>
      <c r="Q1190" s="20">
        <v>46032.649155092593</v>
      </c>
      <c r="R1190" t="s">
        <v>8</v>
      </c>
      <c r="T1190" t="s">
        <v>626</v>
      </c>
    </row>
    <row r="1191" spans="1:20" ht="15" customHeight="1" x14ac:dyDescent="0.25">
      <c r="A1191">
        <f t="shared" si="18"/>
        <v>215</v>
      </c>
      <c r="B1191" t="s">
        <v>1823</v>
      </c>
      <c r="C1191" t="s">
        <v>47</v>
      </c>
      <c r="D1191">
        <v>124</v>
      </c>
      <c r="E119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91" t="str">
        <f ca="1">IF(Tabla142[[#This Row],[frecuencia_new]]="Diaria"," ",RANDBETWEEN(1,6))</f>
        <v xml:space="preserve"> </v>
      </c>
      <c r="G1191" t="str">
        <f ca="1">IF(Tabla142[[#This Row],[frecuencia_new]]="Diaria","",IF(Tabla142[[#This Row],[frecuencia_new]]="Semanal","",IF(Tabla142[[#This Row],[frecuencia_new]]="Quincenal",RANDBETWEEN(1,2),RANDBETWEEN(1,4))))</f>
        <v/>
      </c>
      <c r="H119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1" t="s">
        <v>172</v>
      </c>
      <c r="K1191">
        <f>SUM(MID(Tabla142[[#This Row],[Duración]],1,2)*60,MID(Tabla142[[#This Row],[Duración]],6,2))</f>
        <v>3</v>
      </c>
      <c r="L1191" s="4" t="s">
        <v>150</v>
      </c>
      <c r="M1191" t="s">
        <v>239</v>
      </c>
      <c r="N1191" t="s">
        <v>29</v>
      </c>
      <c r="O1191" t="s">
        <v>399</v>
      </c>
      <c r="P1191" t="s">
        <v>361</v>
      </c>
      <c r="Q1191" s="20">
        <v>46032.649155092593</v>
      </c>
      <c r="R1191" t="s">
        <v>6</v>
      </c>
      <c r="T1191" t="s">
        <v>626</v>
      </c>
    </row>
    <row r="1192" spans="1:20" ht="15" customHeight="1" x14ac:dyDescent="0.25">
      <c r="A1192">
        <f t="shared" si="18"/>
        <v>15</v>
      </c>
      <c r="B1192" t="s">
        <v>1824</v>
      </c>
      <c r="C1192" t="s">
        <v>47</v>
      </c>
      <c r="D1192">
        <v>201</v>
      </c>
      <c r="E119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92">
        <f ca="1">IF(Tabla142[[#This Row],[frecuencia_new]]="Diaria"," ",RANDBETWEEN(1,6))</f>
        <v>6</v>
      </c>
      <c r="G1192">
        <f ca="1">IF(Tabla142[[#This Row],[frecuencia_new]]="Diaria","",IF(Tabla142[[#This Row],[frecuencia_new]]="Semanal","",IF(Tabla142[[#This Row],[frecuencia_new]]="Quincenal",RANDBETWEEN(1,2),RANDBETWEEN(1,4))))</f>
        <v>3</v>
      </c>
      <c r="H119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2" t="s">
        <v>66</v>
      </c>
      <c r="K1192">
        <f>SUM(MID(Tabla142[[#This Row],[Duración]],1,2)*60,MID(Tabla142[[#This Row],[Duración]],6,2))</f>
        <v>60</v>
      </c>
      <c r="L1192" s="4" t="s">
        <v>58</v>
      </c>
      <c r="M1192" t="s">
        <v>239</v>
      </c>
      <c r="N1192" t="s">
        <v>378</v>
      </c>
      <c r="O1192" t="s">
        <v>390</v>
      </c>
      <c r="P1192" t="s">
        <v>363</v>
      </c>
      <c r="Q1192" s="20">
        <v>46032.649155092593</v>
      </c>
      <c r="R1192" t="s">
        <v>7</v>
      </c>
      <c r="T1192" t="s">
        <v>426</v>
      </c>
    </row>
    <row r="1193" spans="1:20" ht="15" customHeight="1" x14ac:dyDescent="0.25">
      <c r="A1193">
        <f t="shared" si="18"/>
        <v>15</v>
      </c>
      <c r="B1193" t="s">
        <v>1825</v>
      </c>
      <c r="C1193" t="s">
        <v>47</v>
      </c>
      <c r="D1193">
        <v>201</v>
      </c>
      <c r="E119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93" t="str">
        <f ca="1">IF(Tabla142[[#This Row],[frecuencia_new]]="Diaria"," ",RANDBETWEEN(1,6))</f>
        <v xml:space="preserve"> </v>
      </c>
      <c r="G1193" t="str">
        <f ca="1">IF(Tabla142[[#This Row],[frecuencia_new]]="Diaria","",IF(Tabla142[[#This Row],[frecuencia_new]]="Semanal","",IF(Tabla142[[#This Row],[frecuencia_new]]="Quincenal",RANDBETWEEN(1,2),RANDBETWEEN(1,4))))</f>
        <v/>
      </c>
      <c r="H119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3" t="s">
        <v>67</v>
      </c>
      <c r="K1193">
        <f>SUM(MID(Tabla142[[#This Row],[Duración]],1,2)*60,MID(Tabla142[[#This Row],[Duración]],6,2))</f>
        <v>5</v>
      </c>
      <c r="L1193" s="4" t="s">
        <v>50</v>
      </c>
      <c r="M1193" t="s">
        <v>239</v>
      </c>
      <c r="N1193" t="s">
        <v>378</v>
      </c>
      <c r="O1193" t="s">
        <v>390</v>
      </c>
      <c r="P1193" t="s">
        <v>361</v>
      </c>
      <c r="Q1193" s="20">
        <v>46032.649155092593</v>
      </c>
      <c r="R1193" t="s">
        <v>6</v>
      </c>
      <c r="T1193" t="s">
        <v>426</v>
      </c>
    </row>
    <row r="1194" spans="1:20" ht="15" customHeight="1" x14ac:dyDescent="0.25">
      <c r="A1194">
        <f t="shared" si="18"/>
        <v>15</v>
      </c>
      <c r="B1194" t="s">
        <v>1826</v>
      </c>
      <c r="C1194" t="s">
        <v>47</v>
      </c>
      <c r="D1194">
        <v>201</v>
      </c>
      <c r="E119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94" t="str">
        <f ca="1">IF(Tabla142[[#This Row],[frecuencia_new]]="Diaria"," ",RANDBETWEEN(1,6))</f>
        <v xml:space="preserve"> </v>
      </c>
      <c r="G1194" t="str">
        <f ca="1">IF(Tabla142[[#This Row],[frecuencia_new]]="Diaria","",IF(Tabla142[[#This Row],[frecuencia_new]]="Semanal","",IF(Tabla142[[#This Row],[frecuencia_new]]="Quincenal",RANDBETWEEN(1,2),RANDBETWEEN(1,4))))</f>
        <v/>
      </c>
      <c r="H119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4" t="s">
        <v>68</v>
      </c>
      <c r="K1194">
        <f>SUM(MID(Tabla142[[#This Row],[Duración]],1,2)*60,MID(Tabla142[[#This Row],[Duración]],6,2))</f>
        <v>5</v>
      </c>
      <c r="L1194" s="4" t="s">
        <v>50</v>
      </c>
      <c r="M1194" t="s">
        <v>239</v>
      </c>
      <c r="N1194" t="s">
        <v>378</v>
      </c>
      <c r="O1194" t="s">
        <v>390</v>
      </c>
      <c r="P1194" t="s">
        <v>361</v>
      </c>
      <c r="Q1194" s="20">
        <v>46032.649155092593</v>
      </c>
      <c r="R1194" t="s">
        <v>6</v>
      </c>
      <c r="T1194" t="s">
        <v>426</v>
      </c>
    </row>
    <row r="1195" spans="1:20" ht="15" customHeight="1" x14ac:dyDescent="0.25">
      <c r="A1195">
        <f t="shared" si="18"/>
        <v>15</v>
      </c>
      <c r="B1195" t="s">
        <v>1827</v>
      </c>
      <c r="C1195" t="s">
        <v>47</v>
      </c>
      <c r="D1195">
        <v>201</v>
      </c>
      <c r="E119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195">
        <f ca="1">IF(Tabla142[[#This Row],[frecuencia_new]]="Diaria"," ",RANDBETWEEN(1,6))</f>
        <v>6</v>
      </c>
      <c r="G1195">
        <f ca="1">IF(Tabla142[[#This Row],[frecuencia_new]]="Diaria","",IF(Tabla142[[#This Row],[frecuencia_new]]="Semanal","",IF(Tabla142[[#This Row],[frecuencia_new]]="Quincenal",RANDBETWEEN(1,2),RANDBETWEEN(1,4))))</f>
        <v>1</v>
      </c>
      <c r="H119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5" t="s">
        <v>69</v>
      </c>
      <c r="K1195">
        <f>SUM(MID(Tabla142[[#This Row],[Duración]],1,2)*60,MID(Tabla142[[#This Row],[Duración]],6,2))</f>
        <v>60</v>
      </c>
      <c r="L1195" s="4" t="s">
        <v>58</v>
      </c>
      <c r="M1195" t="s">
        <v>239</v>
      </c>
      <c r="N1195" t="s">
        <v>378</v>
      </c>
      <c r="O1195" t="s">
        <v>390</v>
      </c>
      <c r="P1195" t="s">
        <v>361</v>
      </c>
      <c r="Q1195" s="20">
        <v>46032.649155092593</v>
      </c>
      <c r="R1195" t="s">
        <v>7</v>
      </c>
      <c r="T1195" t="s">
        <v>426</v>
      </c>
    </row>
    <row r="1196" spans="1:20" ht="15" customHeight="1" x14ac:dyDescent="0.25">
      <c r="A1196">
        <f t="shared" si="18"/>
        <v>15</v>
      </c>
      <c r="B1196" t="s">
        <v>1828</v>
      </c>
      <c r="C1196" t="s">
        <v>47</v>
      </c>
      <c r="D1196">
        <v>201</v>
      </c>
      <c r="E119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196">
        <f ca="1">IF(Tabla142[[#This Row],[frecuencia_new]]="Diaria"," ",RANDBETWEEN(1,6))</f>
        <v>5</v>
      </c>
      <c r="G1196" t="str">
        <f ca="1">IF(Tabla142[[#This Row],[frecuencia_new]]="Diaria","",IF(Tabla142[[#This Row],[frecuencia_new]]="Semanal","",IF(Tabla142[[#This Row],[frecuencia_new]]="Quincenal",RANDBETWEEN(1,2),RANDBETWEEN(1,4))))</f>
        <v/>
      </c>
      <c r="H119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6" t="s">
        <v>70</v>
      </c>
      <c r="K1196">
        <f>SUM(MID(Tabla142[[#This Row],[Duración]],1,2)*60,MID(Tabla142[[#This Row],[Duración]],6,2))</f>
        <v>30</v>
      </c>
      <c r="L1196" s="4" t="s">
        <v>48</v>
      </c>
      <c r="M1196" t="s">
        <v>239</v>
      </c>
      <c r="N1196" t="s">
        <v>378</v>
      </c>
      <c r="O1196" t="s">
        <v>390</v>
      </c>
      <c r="P1196" t="s">
        <v>361</v>
      </c>
      <c r="Q1196" s="20">
        <v>46032.649155092593</v>
      </c>
      <c r="R1196" t="s">
        <v>8</v>
      </c>
      <c r="T1196" t="s">
        <v>426</v>
      </c>
    </row>
    <row r="1197" spans="1:20" ht="15" customHeight="1" x14ac:dyDescent="0.25">
      <c r="A1197">
        <f t="shared" si="18"/>
        <v>15</v>
      </c>
      <c r="B1197" t="s">
        <v>1829</v>
      </c>
      <c r="C1197" t="s">
        <v>54</v>
      </c>
      <c r="D1197">
        <v>201</v>
      </c>
      <c r="E119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197" t="str">
        <f ca="1">IF(Tabla142[[#This Row],[frecuencia_new]]="Diaria"," ",RANDBETWEEN(1,6))</f>
        <v xml:space="preserve"> </v>
      </c>
      <c r="G1197" t="str">
        <f ca="1">IF(Tabla142[[#This Row],[frecuencia_new]]="Diaria","",IF(Tabla142[[#This Row],[frecuencia_new]]="Semanal","",IF(Tabla142[[#This Row],[frecuencia_new]]="Quincenal",RANDBETWEEN(1,2),RANDBETWEEN(1,4))))</f>
        <v/>
      </c>
      <c r="H119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7" t="s">
        <v>72</v>
      </c>
      <c r="K1197">
        <f>SUM(MID(Tabla142[[#This Row],[Duración]],1,2)*60,MID(Tabla142[[#This Row],[Duración]],6,2))</f>
        <v>5</v>
      </c>
      <c r="L1197" s="4" t="s">
        <v>50</v>
      </c>
      <c r="M1197" t="s">
        <v>239</v>
      </c>
      <c r="N1197" t="s">
        <v>378</v>
      </c>
      <c r="O1197" t="s">
        <v>390</v>
      </c>
      <c r="P1197" t="s">
        <v>361</v>
      </c>
      <c r="Q1197" s="20">
        <v>46032.649155092593</v>
      </c>
      <c r="R1197" t="s">
        <v>6</v>
      </c>
      <c r="T1197" t="s">
        <v>426</v>
      </c>
    </row>
    <row r="1198" spans="1:20" ht="15" customHeight="1" x14ac:dyDescent="0.25">
      <c r="A1198">
        <f t="shared" si="18"/>
        <v>15</v>
      </c>
      <c r="B1198" t="s">
        <v>1830</v>
      </c>
      <c r="C1198" t="s">
        <v>47</v>
      </c>
      <c r="D1198">
        <v>201</v>
      </c>
      <c r="E119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198">
        <f ca="1">IF(Tabla142[[#This Row],[frecuencia_new]]="Diaria"," ",RANDBETWEEN(1,6))</f>
        <v>1</v>
      </c>
      <c r="G1198" t="str">
        <f ca="1">IF(Tabla142[[#This Row],[frecuencia_new]]="Diaria","",IF(Tabla142[[#This Row],[frecuencia_new]]="Semanal","",IF(Tabla142[[#This Row],[frecuencia_new]]="Quincenal",RANDBETWEEN(1,2),RANDBETWEEN(1,4))))</f>
        <v/>
      </c>
      <c r="H119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198" t="s">
        <v>57</v>
      </c>
      <c r="K1198">
        <f>SUM(MID(Tabla142[[#This Row],[Duración]],1,2)*60,MID(Tabla142[[#This Row],[Duración]],6,2))</f>
        <v>10</v>
      </c>
      <c r="L1198" s="4" t="s">
        <v>71</v>
      </c>
      <c r="M1198" t="s">
        <v>239</v>
      </c>
      <c r="N1198" t="s">
        <v>378</v>
      </c>
      <c r="O1198" t="s">
        <v>390</v>
      </c>
      <c r="P1198" t="s">
        <v>363</v>
      </c>
      <c r="Q1198" s="20">
        <v>46032.649155092593</v>
      </c>
      <c r="R1198" t="s">
        <v>8</v>
      </c>
      <c r="T1198" t="s">
        <v>426</v>
      </c>
    </row>
    <row r="1199" spans="1:20" ht="15" customHeight="1" x14ac:dyDescent="0.25">
      <c r="A1199">
        <f t="shared" si="18"/>
        <v>63</v>
      </c>
      <c r="B1199" t="s">
        <v>1831</v>
      </c>
      <c r="C1199" t="s">
        <v>47</v>
      </c>
      <c r="D1199">
        <v>201</v>
      </c>
      <c r="E119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199">
        <f ca="1">IF(Tabla142[[#This Row],[frecuencia_new]]="Diaria"," ",RANDBETWEEN(1,6))</f>
        <v>4</v>
      </c>
      <c r="G1199">
        <f ca="1">IF(Tabla142[[#This Row],[frecuencia_new]]="Diaria","",IF(Tabla142[[#This Row],[frecuencia_new]]="Semanal","",IF(Tabla142[[#This Row],[frecuencia_new]]="Quincenal",RANDBETWEEN(1,2),RANDBETWEEN(1,4))))</f>
        <v>4</v>
      </c>
      <c r="H1199">
        <f ca="1">IF(Tabla142[[#This Row],[frecuencia_new]]="Trimestral",RANDBETWEEN(1,3),IF(Tabla142[[#This Row],[frecuencia_new]]="Semestral",RANDBETWEEN(1,6),IF(Tabla142[[#This Row],[frecuencia_new]]="Anual",RANDBETWEEN(1,12),"")))</f>
        <v>4</v>
      </c>
      <c r="J1199" t="s">
        <v>46</v>
      </c>
      <c r="K1199">
        <f>SUM(MID(Tabla142[[#This Row],[Duración]],1,2)*60,MID(Tabla142[[#This Row],[Duración]],6,2))</f>
        <v>30</v>
      </c>
      <c r="L1199" s="4" t="s">
        <v>48</v>
      </c>
      <c r="M1199" t="s">
        <v>239</v>
      </c>
      <c r="N1199" t="s">
        <v>378</v>
      </c>
      <c r="O1199" t="s">
        <v>384</v>
      </c>
      <c r="P1199" t="s">
        <v>360</v>
      </c>
      <c r="Q1199" s="20">
        <v>46032.649155092593</v>
      </c>
      <c r="R1199" t="s">
        <v>5</v>
      </c>
      <c r="T1199" t="s">
        <v>474</v>
      </c>
    </row>
    <row r="1200" spans="1:20" ht="15" customHeight="1" x14ac:dyDescent="0.25">
      <c r="A1200">
        <f t="shared" si="18"/>
        <v>63</v>
      </c>
      <c r="B1200" t="s">
        <v>1832</v>
      </c>
      <c r="C1200" t="s">
        <v>47</v>
      </c>
      <c r="D1200">
        <v>201</v>
      </c>
      <c r="E120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00">
        <f ca="1">IF(Tabla142[[#This Row],[frecuencia_new]]="Diaria"," ",RANDBETWEEN(1,6))</f>
        <v>4</v>
      </c>
      <c r="G1200">
        <f ca="1">IF(Tabla142[[#This Row],[frecuencia_new]]="Diaria","",IF(Tabla142[[#This Row],[frecuencia_new]]="Semanal","",IF(Tabla142[[#This Row],[frecuencia_new]]="Quincenal",RANDBETWEEN(1,2),RANDBETWEEN(1,4))))</f>
        <v>3</v>
      </c>
      <c r="H1200">
        <f ca="1">IF(Tabla142[[#This Row],[frecuencia_new]]="Trimestral",RANDBETWEEN(1,3),IF(Tabla142[[#This Row],[frecuencia_new]]="Semestral",RANDBETWEEN(1,6),IF(Tabla142[[#This Row],[frecuencia_new]]="Anual",RANDBETWEEN(1,12),"")))</f>
        <v>11</v>
      </c>
      <c r="J1200" t="s">
        <v>52</v>
      </c>
      <c r="K1200">
        <f>SUM(MID(Tabla142[[#This Row],[Duración]],1,2)*60,MID(Tabla142[[#This Row],[Duración]],6,2))</f>
        <v>30</v>
      </c>
      <c r="L1200" s="4" t="s">
        <v>48</v>
      </c>
      <c r="M1200" t="s">
        <v>239</v>
      </c>
      <c r="N1200" t="s">
        <v>378</v>
      </c>
      <c r="O1200" t="s">
        <v>384</v>
      </c>
      <c r="P1200" t="s">
        <v>360</v>
      </c>
      <c r="Q1200" s="20">
        <v>46032.649155092593</v>
      </c>
      <c r="R1200" t="s">
        <v>5</v>
      </c>
      <c r="T1200" t="s">
        <v>474</v>
      </c>
    </row>
    <row r="1201" spans="1:20" ht="15" customHeight="1" x14ac:dyDescent="0.25">
      <c r="A1201">
        <f t="shared" si="18"/>
        <v>63</v>
      </c>
      <c r="B1201" t="s">
        <v>1833</v>
      </c>
      <c r="C1201" t="s">
        <v>54</v>
      </c>
      <c r="D1201">
        <v>201</v>
      </c>
      <c r="E120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01">
        <f ca="1">IF(Tabla142[[#This Row],[frecuencia_new]]="Diaria"," ",RANDBETWEEN(1,6))</f>
        <v>6</v>
      </c>
      <c r="G1201">
        <f ca="1">IF(Tabla142[[#This Row],[frecuencia_new]]="Diaria","",IF(Tabla142[[#This Row],[frecuencia_new]]="Semanal","",IF(Tabla142[[#This Row],[frecuencia_new]]="Quincenal",RANDBETWEEN(1,2),RANDBETWEEN(1,4))))</f>
        <v>2</v>
      </c>
      <c r="H1201">
        <f ca="1">IF(Tabla142[[#This Row],[frecuencia_new]]="Trimestral",RANDBETWEEN(1,3),IF(Tabla142[[#This Row],[frecuencia_new]]="Semestral",RANDBETWEEN(1,6),IF(Tabla142[[#This Row],[frecuencia_new]]="Anual",RANDBETWEEN(1,12),"")))</f>
        <v>7</v>
      </c>
      <c r="J1201" t="s">
        <v>53</v>
      </c>
      <c r="K1201">
        <f>SUM(MID(Tabla142[[#This Row],[Duración]],1,2)*60,MID(Tabla142[[#This Row],[Duración]],6,2))</f>
        <v>30</v>
      </c>
      <c r="L1201" s="4" t="s">
        <v>48</v>
      </c>
      <c r="M1201" t="s">
        <v>239</v>
      </c>
      <c r="N1201" t="s">
        <v>378</v>
      </c>
      <c r="O1201" t="s">
        <v>384</v>
      </c>
      <c r="P1201" t="s">
        <v>360</v>
      </c>
      <c r="Q1201" s="20">
        <v>46032.649155092593</v>
      </c>
      <c r="R1201" t="s">
        <v>5</v>
      </c>
      <c r="T1201" t="s">
        <v>474</v>
      </c>
    </row>
    <row r="1202" spans="1:20" ht="15" customHeight="1" x14ac:dyDescent="0.25">
      <c r="A1202">
        <f t="shared" si="18"/>
        <v>63</v>
      </c>
      <c r="B1202" t="s">
        <v>1834</v>
      </c>
      <c r="C1202" t="s">
        <v>47</v>
      </c>
      <c r="D1202">
        <v>201</v>
      </c>
      <c r="E120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02">
        <f ca="1">IF(Tabla142[[#This Row],[frecuencia_new]]="Diaria"," ",RANDBETWEEN(1,6))</f>
        <v>2</v>
      </c>
      <c r="G1202">
        <f ca="1">IF(Tabla142[[#This Row],[frecuencia_new]]="Diaria","",IF(Tabla142[[#This Row],[frecuencia_new]]="Semanal","",IF(Tabla142[[#This Row],[frecuencia_new]]="Quincenal",RANDBETWEEN(1,2),RANDBETWEEN(1,4))))</f>
        <v>1</v>
      </c>
      <c r="H1202">
        <f ca="1">IF(Tabla142[[#This Row],[frecuencia_new]]="Trimestral",RANDBETWEEN(1,3),IF(Tabla142[[#This Row],[frecuencia_new]]="Semestral",RANDBETWEEN(1,6),IF(Tabla142[[#This Row],[frecuencia_new]]="Anual",RANDBETWEEN(1,12),"")))</f>
        <v>10</v>
      </c>
      <c r="J1202" t="s">
        <v>64</v>
      </c>
      <c r="K1202">
        <f>SUM(MID(Tabla142[[#This Row],[Duración]],1,2)*60,MID(Tabla142[[#This Row],[Duración]],6,2))</f>
        <v>30</v>
      </c>
      <c r="L1202" s="4" t="s">
        <v>48</v>
      </c>
      <c r="M1202" t="s">
        <v>239</v>
      </c>
      <c r="N1202" t="s">
        <v>378</v>
      </c>
      <c r="O1202" t="s">
        <v>384</v>
      </c>
      <c r="P1202" t="s">
        <v>360</v>
      </c>
      <c r="Q1202" s="20">
        <v>46032.649155092593</v>
      </c>
      <c r="R1202" t="s">
        <v>5</v>
      </c>
      <c r="T1202" t="s">
        <v>474</v>
      </c>
    </row>
    <row r="1203" spans="1:20" ht="15" customHeight="1" x14ac:dyDescent="0.25">
      <c r="A1203">
        <f t="shared" si="18"/>
        <v>20</v>
      </c>
      <c r="B1203" t="s">
        <v>1835</v>
      </c>
      <c r="C1203" t="s">
        <v>47</v>
      </c>
      <c r="D1203">
        <v>208</v>
      </c>
      <c r="E120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203">
        <f ca="1">IF(Tabla142[[#This Row],[frecuencia_new]]="Diaria"," ",RANDBETWEEN(1,6))</f>
        <v>1</v>
      </c>
      <c r="G1203">
        <f ca="1">IF(Tabla142[[#This Row],[frecuencia_new]]="Diaria","",IF(Tabla142[[#This Row],[frecuencia_new]]="Semanal","",IF(Tabla142[[#This Row],[frecuencia_new]]="Quincenal",RANDBETWEEN(1,2),RANDBETWEEN(1,4))))</f>
        <v>2</v>
      </c>
      <c r="H120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3" t="s">
        <v>66</v>
      </c>
      <c r="K1203">
        <f>SUM(MID(Tabla142[[#This Row],[Duración]],1,2)*60,MID(Tabla142[[#This Row],[Duración]],6,2))</f>
        <v>60</v>
      </c>
      <c r="L1203" s="4" t="s">
        <v>58</v>
      </c>
      <c r="M1203" t="s">
        <v>239</v>
      </c>
      <c r="N1203" t="s">
        <v>297</v>
      </c>
      <c r="O1203" t="s">
        <v>390</v>
      </c>
      <c r="P1203" t="s">
        <v>363</v>
      </c>
      <c r="Q1203" s="20">
        <v>46032.649155092593</v>
      </c>
      <c r="R1203" t="s">
        <v>7</v>
      </c>
      <c r="T1203" t="s">
        <v>431</v>
      </c>
    </row>
    <row r="1204" spans="1:20" ht="15" customHeight="1" x14ac:dyDescent="0.25">
      <c r="A1204">
        <f t="shared" si="18"/>
        <v>20</v>
      </c>
      <c r="B1204" t="s">
        <v>1836</v>
      </c>
      <c r="C1204" t="s">
        <v>47</v>
      </c>
      <c r="D1204">
        <v>208</v>
      </c>
      <c r="E1204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204" t="str">
        <f ca="1">IF(Tabla142[[#This Row],[frecuencia_new]]="Diaria"," ",RANDBETWEEN(1,6))</f>
        <v xml:space="preserve"> </v>
      </c>
      <c r="G1204" t="str">
        <f ca="1">IF(Tabla142[[#This Row],[frecuencia_new]]="Diaria","",IF(Tabla142[[#This Row],[frecuencia_new]]="Semanal","",IF(Tabla142[[#This Row],[frecuencia_new]]="Quincenal",RANDBETWEEN(1,2),RANDBETWEEN(1,4))))</f>
        <v/>
      </c>
      <c r="H1204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4" t="s">
        <v>67</v>
      </c>
      <c r="K1204">
        <f>SUM(MID(Tabla142[[#This Row],[Duración]],1,2)*60,MID(Tabla142[[#This Row],[Duración]],6,2))</f>
        <v>5</v>
      </c>
      <c r="L1204" s="4" t="s">
        <v>50</v>
      </c>
      <c r="M1204" t="s">
        <v>239</v>
      </c>
      <c r="N1204" t="s">
        <v>297</v>
      </c>
      <c r="O1204" t="s">
        <v>390</v>
      </c>
      <c r="P1204" t="s">
        <v>361</v>
      </c>
      <c r="Q1204" s="20">
        <v>46032.649155092593</v>
      </c>
      <c r="R1204" t="s">
        <v>6</v>
      </c>
      <c r="T1204" t="s">
        <v>431</v>
      </c>
    </row>
    <row r="1205" spans="1:20" ht="15" customHeight="1" x14ac:dyDescent="0.25">
      <c r="A1205">
        <f t="shared" si="18"/>
        <v>20</v>
      </c>
      <c r="B1205" t="s">
        <v>1837</v>
      </c>
      <c r="C1205" t="s">
        <v>47</v>
      </c>
      <c r="D1205">
        <v>208</v>
      </c>
      <c r="E1205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205" t="str">
        <f ca="1">IF(Tabla142[[#This Row],[frecuencia_new]]="Diaria"," ",RANDBETWEEN(1,6))</f>
        <v xml:space="preserve"> </v>
      </c>
      <c r="G1205" t="str">
        <f ca="1">IF(Tabla142[[#This Row],[frecuencia_new]]="Diaria","",IF(Tabla142[[#This Row],[frecuencia_new]]="Semanal","",IF(Tabla142[[#This Row],[frecuencia_new]]="Quincenal",RANDBETWEEN(1,2),RANDBETWEEN(1,4))))</f>
        <v/>
      </c>
      <c r="H1205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5" t="s">
        <v>68</v>
      </c>
      <c r="K1205">
        <f>SUM(MID(Tabla142[[#This Row],[Duración]],1,2)*60,MID(Tabla142[[#This Row],[Duración]],6,2))</f>
        <v>5</v>
      </c>
      <c r="L1205" s="4" t="s">
        <v>50</v>
      </c>
      <c r="M1205" t="s">
        <v>239</v>
      </c>
      <c r="N1205" t="s">
        <v>297</v>
      </c>
      <c r="O1205" t="s">
        <v>390</v>
      </c>
      <c r="P1205" t="s">
        <v>361</v>
      </c>
      <c r="Q1205" s="20">
        <v>46032.649155092593</v>
      </c>
      <c r="R1205" t="s">
        <v>6</v>
      </c>
      <c r="T1205" t="s">
        <v>431</v>
      </c>
    </row>
    <row r="1206" spans="1:20" ht="15" customHeight="1" x14ac:dyDescent="0.25">
      <c r="A1206">
        <f t="shared" si="18"/>
        <v>20</v>
      </c>
      <c r="B1206" t="s">
        <v>1838</v>
      </c>
      <c r="C1206" t="s">
        <v>47</v>
      </c>
      <c r="D1206">
        <v>208</v>
      </c>
      <c r="E1206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206">
        <f ca="1">IF(Tabla142[[#This Row],[frecuencia_new]]="Diaria"," ",RANDBETWEEN(1,6))</f>
        <v>1</v>
      </c>
      <c r="G1206">
        <f ca="1">IF(Tabla142[[#This Row],[frecuencia_new]]="Diaria","",IF(Tabla142[[#This Row],[frecuencia_new]]="Semanal","",IF(Tabla142[[#This Row],[frecuencia_new]]="Quincenal",RANDBETWEEN(1,2),RANDBETWEEN(1,4))))</f>
        <v>3</v>
      </c>
      <c r="H1206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6" t="s">
        <v>69</v>
      </c>
      <c r="K1206">
        <f>SUM(MID(Tabla142[[#This Row],[Duración]],1,2)*60,MID(Tabla142[[#This Row],[Duración]],6,2))</f>
        <v>60</v>
      </c>
      <c r="L1206" s="4" t="s">
        <v>58</v>
      </c>
      <c r="M1206" t="s">
        <v>239</v>
      </c>
      <c r="N1206" t="s">
        <v>297</v>
      </c>
      <c r="O1206" t="s">
        <v>390</v>
      </c>
      <c r="P1206" t="s">
        <v>361</v>
      </c>
      <c r="Q1206" s="20">
        <v>46032.649155092593</v>
      </c>
      <c r="R1206" t="s">
        <v>7</v>
      </c>
      <c r="T1206" t="s">
        <v>431</v>
      </c>
    </row>
    <row r="1207" spans="1:20" ht="15" customHeight="1" x14ac:dyDescent="0.25">
      <c r="A1207">
        <f t="shared" si="18"/>
        <v>20</v>
      </c>
      <c r="B1207" t="s">
        <v>1839</v>
      </c>
      <c r="C1207" t="s">
        <v>47</v>
      </c>
      <c r="D1207">
        <v>208</v>
      </c>
      <c r="E1207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207">
        <f ca="1">IF(Tabla142[[#This Row],[frecuencia_new]]="Diaria"," ",RANDBETWEEN(1,6))</f>
        <v>1</v>
      </c>
      <c r="G1207" t="str">
        <f ca="1">IF(Tabla142[[#This Row],[frecuencia_new]]="Diaria","",IF(Tabla142[[#This Row],[frecuencia_new]]="Semanal","",IF(Tabla142[[#This Row],[frecuencia_new]]="Quincenal",RANDBETWEEN(1,2),RANDBETWEEN(1,4))))</f>
        <v/>
      </c>
      <c r="H1207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7" t="s">
        <v>70</v>
      </c>
      <c r="K1207">
        <f>SUM(MID(Tabla142[[#This Row],[Duración]],1,2)*60,MID(Tabla142[[#This Row],[Duración]],6,2))</f>
        <v>30</v>
      </c>
      <c r="L1207" s="4" t="s">
        <v>48</v>
      </c>
      <c r="M1207" t="s">
        <v>239</v>
      </c>
      <c r="N1207" t="s">
        <v>297</v>
      </c>
      <c r="O1207" t="s">
        <v>390</v>
      </c>
      <c r="P1207" t="s">
        <v>361</v>
      </c>
      <c r="Q1207" s="20">
        <v>46032.649155092593</v>
      </c>
      <c r="R1207" t="s">
        <v>8</v>
      </c>
      <c r="T1207" t="s">
        <v>431</v>
      </c>
    </row>
    <row r="1208" spans="1:20" ht="15" customHeight="1" x14ac:dyDescent="0.25">
      <c r="A1208">
        <f t="shared" si="18"/>
        <v>20</v>
      </c>
      <c r="B1208" t="s">
        <v>1840</v>
      </c>
      <c r="C1208" t="s">
        <v>54</v>
      </c>
      <c r="D1208">
        <v>208</v>
      </c>
      <c r="E1208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Diaria</v>
      </c>
      <c r="F1208" t="str">
        <f ca="1">IF(Tabla142[[#This Row],[frecuencia_new]]="Diaria"," ",RANDBETWEEN(1,6))</f>
        <v xml:space="preserve"> </v>
      </c>
      <c r="G1208" t="str">
        <f ca="1">IF(Tabla142[[#This Row],[frecuencia_new]]="Diaria","",IF(Tabla142[[#This Row],[frecuencia_new]]="Semanal","",IF(Tabla142[[#This Row],[frecuencia_new]]="Quincenal",RANDBETWEEN(1,2),RANDBETWEEN(1,4))))</f>
        <v/>
      </c>
      <c r="H1208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8" t="s">
        <v>72</v>
      </c>
      <c r="K1208">
        <f>SUM(MID(Tabla142[[#This Row],[Duración]],1,2)*60,MID(Tabla142[[#This Row],[Duración]],6,2))</f>
        <v>5</v>
      </c>
      <c r="L1208" s="4" t="s">
        <v>50</v>
      </c>
      <c r="M1208" t="s">
        <v>239</v>
      </c>
      <c r="N1208" t="s">
        <v>297</v>
      </c>
      <c r="O1208" t="s">
        <v>390</v>
      </c>
      <c r="P1208" t="s">
        <v>361</v>
      </c>
      <c r="Q1208" s="20">
        <v>46032.649155092593</v>
      </c>
      <c r="R1208" t="s">
        <v>6</v>
      </c>
      <c r="T1208" t="s">
        <v>431</v>
      </c>
    </row>
    <row r="1209" spans="1:20" ht="15" customHeight="1" x14ac:dyDescent="0.25">
      <c r="A1209">
        <f t="shared" si="18"/>
        <v>20</v>
      </c>
      <c r="B1209" t="s">
        <v>1841</v>
      </c>
      <c r="C1209" t="s">
        <v>47</v>
      </c>
      <c r="D1209">
        <v>208</v>
      </c>
      <c r="E1209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Semanal</v>
      </c>
      <c r="F1209">
        <f ca="1">IF(Tabla142[[#This Row],[frecuencia_new]]="Diaria"," ",RANDBETWEEN(1,6))</f>
        <v>5</v>
      </c>
      <c r="G1209" t="str">
        <f ca="1">IF(Tabla142[[#This Row],[frecuencia_new]]="Diaria","",IF(Tabla142[[#This Row],[frecuencia_new]]="Semanal","",IF(Tabla142[[#This Row],[frecuencia_new]]="Quincenal",RANDBETWEEN(1,2),RANDBETWEEN(1,4))))</f>
        <v/>
      </c>
      <c r="H1209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09" t="s">
        <v>57</v>
      </c>
      <c r="K1209">
        <f>SUM(MID(Tabla142[[#This Row],[Duración]],1,2)*60,MID(Tabla142[[#This Row],[Duración]],6,2))</f>
        <v>10</v>
      </c>
      <c r="L1209" s="4" t="s">
        <v>71</v>
      </c>
      <c r="M1209" t="s">
        <v>239</v>
      </c>
      <c r="N1209" t="s">
        <v>297</v>
      </c>
      <c r="O1209" t="s">
        <v>390</v>
      </c>
      <c r="P1209" t="s">
        <v>363</v>
      </c>
      <c r="Q1209" s="20">
        <v>46032.649155092593</v>
      </c>
      <c r="R1209" t="s">
        <v>8</v>
      </c>
      <c r="T1209" t="s">
        <v>431</v>
      </c>
    </row>
    <row r="1210" spans="1:20" ht="15" customHeight="1" x14ac:dyDescent="0.25">
      <c r="A1210">
        <f t="shared" si="18"/>
        <v>68</v>
      </c>
      <c r="B1210" t="s">
        <v>1842</v>
      </c>
      <c r="C1210" t="s">
        <v>47</v>
      </c>
      <c r="D1210">
        <v>208</v>
      </c>
      <c r="E1210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Anual</v>
      </c>
      <c r="F1210">
        <f ca="1">IF(Tabla142[[#This Row],[frecuencia_new]]="Diaria"," ",RANDBETWEEN(1,6))</f>
        <v>4</v>
      </c>
      <c r="G1210">
        <f ca="1">IF(Tabla142[[#This Row],[frecuencia_new]]="Diaria","",IF(Tabla142[[#This Row],[frecuencia_new]]="Semanal","",IF(Tabla142[[#This Row],[frecuencia_new]]="Quincenal",RANDBETWEEN(1,2),RANDBETWEEN(1,4))))</f>
        <v>4</v>
      </c>
      <c r="H1210">
        <f ca="1">IF(Tabla142[[#This Row],[frecuencia_new]]="Trimestral",RANDBETWEEN(1,3),IF(Tabla142[[#This Row],[frecuencia_new]]="Semestral",RANDBETWEEN(1,6),IF(Tabla142[[#This Row],[frecuencia_new]]="Anual",RANDBETWEEN(1,12),"")))</f>
        <v>2</v>
      </c>
      <c r="J1210" t="s">
        <v>46</v>
      </c>
      <c r="K1210">
        <f>SUM(MID(Tabla142[[#This Row],[Duración]],1,2)*60,MID(Tabla142[[#This Row],[Duración]],6,2))</f>
        <v>30</v>
      </c>
      <c r="L1210" s="4" t="s">
        <v>48</v>
      </c>
      <c r="M1210" t="s">
        <v>239</v>
      </c>
      <c r="N1210" t="s">
        <v>297</v>
      </c>
      <c r="O1210" t="s">
        <v>384</v>
      </c>
      <c r="P1210" t="s">
        <v>360</v>
      </c>
      <c r="Q1210" s="20">
        <v>46032.649155092593</v>
      </c>
      <c r="R1210" t="s">
        <v>5</v>
      </c>
      <c r="T1210" t="s">
        <v>479</v>
      </c>
    </row>
    <row r="1211" spans="1:20" ht="15" customHeight="1" x14ac:dyDescent="0.25">
      <c r="A1211">
        <f t="shared" si="18"/>
        <v>68</v>
      </c>
      <c r="B1211" t="s">
        <v>1843</v>
      </c>
      <c r="C1211" t="s">
        <v>47</v>
      </c>
      <c r="D1211">
        <v>208</v>
      </c>
      <c r="E1211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211">
        <f ca="1">IF(Tabla142[[#This Row],[frecuencia_new]]="Diaria"," ",RANDBETWEEN(1,6))</f>
        <v>4</v>
      </c>
      <c r="G1211">
        <f ca="1">IF(Tabla142[[#This Row],[frecuencia_new]]="Diaria","",IF(Tabla142[[#This Row],[frecuencia_new]]="Semanal","",IF(Tabla142[[#This Row],[frecuencia_new]]="Quincenal",RANDBETWEEN(1,2),RANDBETWEEN(1,4))))</f>
        <v>1</v>
      </c>
      <c r="H1211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11" t="s">
        <v>52</v>
      </c>
      <c r="K1211">
        <f>SUM(MID(Tabla142[[#This Row],[Duración]],1,2)*60,MID(Tabla142[[#This Row],[Duración]],6,2))</f>
        <v>30</v>
      </c>
      <c r="L1211" s="4" t="s">
        <v>48</v>
      </c>
      <c r="M1211" t="s">
        <v>239</v>
      </c>
      <c r="N1211" t="s">
        <v>297</v>
      </c>
      <c r="O1211" t="s">
        <v>384</v>
      </c>
      <c r="P1211" t="s">
        <v>360</v>
      </c>
      <c r="Q1211" s="20">
        <v>46032.649155092593</v>
      </c>
      <c r="R1211" t="s">
        <v>7</v>
      </c>
      <c r="T1211" t="s">
        <v>479</v>
      </c>
    </row>
    <row r="1212" spans="1:20" ht="15" customHeight="1" x14ac:dyDescent="0.25">
      <c r="A1212">
        <f t="shared" si="18"/>
        <v>68</v>
      </c>
      <c r="B1212" t="s">
        <v>1844</v>
      </c>
      <c r="C1212" t="s">
        <v>54</v>
      </c>
      <c r="D1212">
        <v>208</v>
      </c>
      <c r="E1212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Mensual</v>
      </c>
      <c r="F1212">
        <f ca="1">IF(Tabla142[[#This Row],[frecuencia_new]]="Diaria"," ",RANDBETWEEN(1,6))</f>
        <v>3</v>
      </c>
      <c r="G1212">
        <f ca="1">IF(Tabla142[[#This Row],[frecuencia_new]]="Diaria","",IF(Tabla142[[#This Row],[frecuencia_new]]="Semanal","",IF(Tabla142[[#This Row],[frecuencia_new]]="Quincenal",RANDBETWEEN(1,2),RANDBETWEEN(1,4))))</f>
        <v>2</v>
      </c>
      <c r="H1212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12" t="s">
        <v>53</v>
      </c>
      <c r="K1212">
        <f>SUM(MID(Tabla142[[#This Row],[Duración]],1,2)*60,MID(Tabla142[[#This Row],[Duración]],6,2))</f>
        <v>30</v>
      </c>
      <c r="L1212" s="4" t="s">
        <v>48</v>
      </c>
      <c r="M1212" t="s">
        <v>239</v>
      </c>
      <c r="N1212" t="s">
        <v>297</v>
      </c>
      <c r="O1212" t="s">
        <v>384</v>
      </c>
      <c r="P1212" t="s">
        <v>360</v>
      </c>
      <c r="Q1212" s="20">
        <v>46032.649155092593</v>
      </c>
      <c r="R1212" t="s">
        <v>7</v>
      </c>
      <c r="T1212" t="s">
        <v>479</v>
      </c>
    </row>
    <row r="1213" spans="1:20" ht="15" customHeight="1" x14ac:dyDescent="0.25">
      <c r="A1213">
        <f t="shared" si="18"/>
        <v>68</v>
      </c>
      <c r="B1213" t="s">
        <v>1845</v>
      </c>
      <c r="C1213" t="s">
        <v>47</v>
      </c>
      <c r="D1213">
        <v>208</v>
      </c>
      <c r="E1213" t="str">
        <f>IF(Tabla142[[#This Row],[frecuencia]]="1 año","Anual",IF(Tabla142[[#This Row],[frecuencia]]="1 semana","Semanal",IF(Tabla142[[#This Row],[frecuencia]]="Quincenal",Tabla142[[#This Row],[frecuencia]],IF(Tabla142[[#This Row],[frecuencia]]="1 mes","Mensual",IF(Tabla142[[#This Row],[frecuencia]]="3 mes","Trimestral",IF(Tabla142[[#This Row],[frecuencia]]="6 mes","Semestral",IF(Tabla142[[#This Row],[frecuencia]]="1 día","Diaria",IF(Tabla142[[#This Row],[frecuencia]]="1 mes(es)","Mensual",IF(Tabla142[[#This Row],[frecuencia]]="1 semana(s)","Semanal","Horas")))))))))</f>
        <v>Quincenal</v>
      </c>
      <c r="F1213">
        <f ca="1">IF(Tabla142[[#This Row],[frecuencia_new]]="Diaria"," ",RANDBETWEEN(1,6))</f>
        <v>1</v>
      </c>
      <c r="G1213">
        <f ca="1">IF(Tabla142[[#This Row],[frecuencia_new]]="Diaria","",IF(Tabla142[[#This Row],[frecuencia_new]]="Semanal","",IF(Tabla142[[#This Row],[frecuencia_new]]="Quincenal",RANDBETWEEN(1,2),RANDBETWEEN(1,4))))</f>
        <v>2</v>
      </c>
      <c r="H1213" t="str">
        <f ca="1">IF(Tabla142[[#This Row],[frecuencia_new]]="Trimestral",RANDBETWEEN(1,3),IF(Tabla142[[#This Row],[frecuencia_new]]="Semestral",RANDBETWEEN(1,6),IF(Tabla142[[#This Row],[frecuencia_new]]="Anual",RANDBETWEEN(1,12),"")))</f>
        <v/>
      </c>
      <c r="J1213" t="s">
        <v>64</v>
      </c>
      <c r="K1213">
        <f>SUM(MID(Tabla142[[#This Row],[Duración]],1,2)*60,MID(Tabla142[[#This Row],[Duración]],6,2))</f>
        <v>30</v>
      </c>
      <c r="L1213" s="4" t="s">
        <v>48</v>
      </c>
      <c r="M1213" t="s">
        <v>239</v>
      </c>
      <c r="N1213" t="s">
        <v>297</v>
      </c>
      <c r="O1213" t="s">
        <v>384</v>
      </c>
      <c r="P1213" t="s">
        <v>360</v>
      </c>
      <c r="Q1213" s="20">
        <v>46032.649155092593</v>
      </c>
      <c r="R1213" t="s">
        <v>1846</v>
      </c>
      <c r="T1213" t="s">
        <v>479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de datos</vt:lpstr>
      <vt:lpstr>OT</vt:lpstr>
      <vt:lpstr>general</vt:lpstr>
      <vt:lpstr>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Manto Layta</dc:creator>
  <cp:lastModifiedBy>Proyectos</cp:lastModifiedBy>
  <dcterms:created xsi:type="dcterms:W3CDTF">2025-12-11T21:01:14Z</dcterms:created>
  <dcterms:modified xsi:type="dcterms:W3CDTF">2026-01-17T15:53:31Z</dcterms:modified>
</cp:coreProperties>
</file>